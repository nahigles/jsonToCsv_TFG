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B85F578C-E9E9-425D-9D94-6B5FE81BA1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2" i="2"/>
  <c r="D3" i="2"/>
  <c r="D4" i="2"/>
  <c r="D2" i="2"/>
  <c r="E3" i="2"/>
  <c r="E4" i="2"/>
  <c r="E2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6" i="2"/>
  <c r="AG7" i="2" a="1"/>
  <c r="AG8" i="2" a="1"/>
  <c r="AG9" i="2" a="1"/>
  <c r="AG10" i="2" a="1"/>
  <c r="AG11" i="2" a="1"/>
  <c r="AG12" i="2" a="1"/>
  <c r="AG13" i="2" a="1"/>
  <c r="AG14" i="2" a="1"/>
  <c r="AG15" i="2" a="1"/>
  <c r="AG16" i="2" a="1"/>
  <c r="AG17" i="2" a="1"/>
  <c r="AG18" i="2" a="1"/>
  <c r="AG19" i="2" a="1"/>
  <c r="AG20" i="2" a="1"/>
  <c r="AG21" i="2" a="1"/>
  <c r="AG22" i="2" a="1"/>
  <c r="AG23" i="2" a="1"/>
  <c r="AG24" i="2" a="1"/>
  <c r="AG25" i="2" a="1"/>
  <c r="AG26" i="2" a="1"/>
  <c r="AG27" i="2" a="1"/>
  <c r="AG28" i="2" a="1"/>
  <c r="AG29" i="2" a="1"/>
  <c r="AG30" i="2" a="1"/>
  <c r="AG31" i="2" a="1"/>
  <c r="AG32" i="2" a="1"/>
  <c r="AG33" i="2" a="1"/>
  <c r="AG34" i="2" a="1"/>
  <c r="AG35" i="2" a="1"/>
  <c r="AG36" i="2" a="1"/>
  <c r="AG37" i="2" a="1"/>
  <c r="AG38" i="2" a="1"/>
  <c r="AG39" i="2" a="1"/>
  <c r="AG40" i="2" a="1"/>
  <c r="AG41" i="2" a="1"/>
  <c r="AG42" i="2" a="1"/>
  <c r="AG43" i="2" a="1"/>
  <c r="AG44" i="2" a="1"/>
  <c r="AG45" i="2" a="1"/>
  <c r="AG46" i="2" a="1"/>
  <c r="AG47" i="2" a="1"/>
  <c r="AG48" i="2" a="1"/>
  <c r="AG49" i="2" a="1"/>
  <c r="AG50" i="2" a="1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E7" i="2" a="1"/>
  <c r="AE8" i="2" a="1"/>
  <c r="AE9" i="2" a="1"/>
  <c r="AE10" i="2" a="1"/>
  <c r="AE11" i="2" a="1"/>
  <c r="AE12" i="2" a="1"/>
  <c r="AE13" i="2" a="1"/>
  <c r="AE14" i="2" a="1"/>
  <c r="AE15" i="2" a="1"/>
  <c r="AE16" i="2" a="1"/>
  <c r="AE17" i="2" a="1"/>
  <c r="AE18" i="2" a="1"/>
  <c r="AE19" i="2" a="1"/>
  <c r="AE20" i="2" a="1"/>
  <c r="AE21" i="2" a="1"/>
  <c r="AE22" i="2" a="1"/>
  <c r="AE23" i="2" a="1"/>
  <c r="AE24" i="2" a="1"/>
  <c r="AE25" i="2" a="1"/>
  <c r="AE26" i="2" a="1"/>
  <c r="AE27" i="2" a="1"/>
  <c r="AE28" i="2" a="1"/>
  <c r="AE29" i="2" a="1"/>
  <c r="AE30" i="2" a="1"/>
  <c r="AE31" i="2" a="1"/>
  <c r="AE32" i="2" a="1"/>
  <c r="AE33" i="2" a="1"/>
  <c r="AE34" i="2" a="1"/>
  <c r="AE35" i="2" a="1"/>
  <c r="AE36" i="2" a="1"/>
  <c r="AE37" i="2" a="1"/>
  <c r="AE38" i="2" a="1"/>
  <c r="AE39" i="2" a="1"/>
  <c r="AE40" i="2" a="1"/>
  <c r="AE41" i="2" a="1"/>
  <c r="AE42" i="2" a="1"/>
  <c r="AE43" i="2" a="1"/>
  <c r="AE44" i="2" a="1"/>
  <c r="AE45" i="2" a="1"/>
  <c r="AE46" i="2" a="1"/>
  <c r="AE47" i="2" a="1"/>
  <c r="AE48" i="2" a="1"/>
  <c r="AE49" i="2" a="1"/>
  <c r="AE50" i="2" a="1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G6" i="2" a="1"/>
  <c r="AE6" i="2" a="1"/>
  <c r="AF6" i="2"/>
  <c r="AD6" i="2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K7" i="2" a="1"/>
  <c r="K8" i="2" a="1"/>
  <c r="K9" i="2" a="1"/>
  <c r="K10" i="2" a="1"/>
  <c r="K11" i="2" a="1"/>
  <c r="K12" i="2" a="1"/>
  <c r="K13" i="2" a="1"/>
  <c r="K14" i="2" a="1"/>
  <c r="K15" i="2" a="1"/>
  <c r="K16" i="2" a="1"/>
  <c r="K17" i="2" a="1"/>
  <c r="K18" i="2" a="1"/>
  <c r="K19" i="2" a="1"/>
  <c r="K20" i="2" a="1"/>
  <c r="K21" i="2" a="1"/>
  <c r="K22" i="2" a="1"/>
  <c r="K23" i="2" a="1"/>
  <c r="K24" i="2" a="1"/>
  <c r="K25" i="2" a="1"/>
  <c r="K26" i="2" a="1"/>
  <c r="K27" i="2" a="1"/>
  <c r="K28" i="2" a="1"/>
  <c r="K29" i="2" a="1"/>
  <c r="K30" i="2" a="1"/>
  <c r="K31" i="2" a="1"/>
  <c r="K32" i="2" a="1"/>
  <c r="K33" i="2" a="1"/>
  <c r="K34" i="2" a="1"/>
  <c r="K35" i="2" a="1"/>
  <c r="K36" i="2" a="1"/>
  <c r="K37" i="2" a="1"/>
  <c r="K38" i="2" a="1"/>
  <c r="K39" i="2" a="1"/>
  <c r="K40" i="2" a="1"/>
  <c r="K41" i="2" a="1"/>
  <c r="K42" i="2" a="1"/>
  <c r="K43" i="2" a="1"/>
  <c r="K44" i="2" a="1"/>
  <c r="K45" i="2" a="1"/>
  <c r="K46" i="2" a="1"/>
  <c r="K47" i="2" a="1"/>
  <c r="K48" i="2" a="1"/>
  <c r="K49" i="2" a="1"/>
  <c r="K50" i="2" a="1"/>
  <c r="M7" i="2" a="1"/>
  <c r="M8" i="2" a="1"/>
  <c r="M9" i="2" a="1"/>
  <c r="M10" i="2" a="1"/>
  <c r="M11" i="2" a="1"/>
  <c r="M12" i="2" a="1"/>
  <c r="M13" i="2" a="1"/>
  <c r="M14" i="2" a="1"/>
  <c r="M15" i="2" a="1"/>
  <c r="M16" i="2" a="1"/>
  <c r="M17" i="2" a="1"/>
  <c r="M18" i="2" a="1"/>
  <c r="M19" i="2" a="1"/>
  <c r="M20" i="2" a="1"/>
  <c r="M21" i="2" a="1"/>
  <c r="M22" i="2" a="1"/>
  <c r="M23" i="2" a="1"/>
  <c r="M24" i="2" a="1"/>
  <c r="M25" i="2" a="1"/>
  <c r="M26" i="2" a="1"/>
  <c r="M27" i="2" a="1"/>
  <c r="M28" i="2" a="1"/>
  <c r="M29" i="2" a="1"/>
  <c r="M30" i="2" a="1"/>
  <c r="M31" i="2" a="1"/>
  <c r="M32" i="2" a="1"/>
  <c r="M33" i="2" a="1"/>
  <c r="M34" i="2" a="1"/>
  <c r="M35" i="2" a="1"/>
  <c r="M36" i="2" a="1"/>
  <c r="M37" i="2" a="1"/>
  <c r="M38" i="2" a="1"/>
  <c r="M39" i="2" a="1"/>
  <c r="M40" i="2" a="1"/>
  <c r="M41" i="2" a="1"/>
  <c r="M42" i="2" a="1"/>
  <c r="M43" i="2" a="1"/>
  <c r="M44" i="2" a="1"/>
  <c r="M45" i="2" a="1"/>
  <c r="M46" i="2" a="1"/>
  <c r="M47" i="2" a="1"/>
  <c r="M48" i="2" a="1"/>
  <c r="M49" i="2" a="1"/>
  <c r="M50" i="2" a="1"/>
  <c r="O7" i="2" a="1"/>
  <c r="O8" i="2" a="1"/>
  <c r="O9" i="2" a="1"/>
  <c r="O10" i="2" a="1"/>
  <c r="O11" i="2" a="1"/>
  <c r="O12" i="2" a="1"/>
  <c r="O13" i="2" a="1"/>
  <c r="O14" i="2" a="1"/>
  <c r="O15" i="2" a="1"/>
  <c r="O16" i="2" a="1"/>
  <c r="O17" i="2" a="1"/>
  <c r="O18" i="2" a="1"/>
  <c r="O19" i="2" a="1"/>
  <c r="O20" i="2" a="1"/>
  <c r="O21" i="2" a="1"/>
  <c r="O22" i="2" a="1"/>
  <c r="O23" i="2" a="1"/>
  <c r="O24" i="2" a="1"/>
  <c r="O25" i="2" a="1"/>
  <c r="O26" i="2" a="1"/>
  <c r="O27" i="2" a="1"/>
  <c r="O28" i="2" a="1"/>
  <c r="O29" i="2" a="1"/>
  <c r="O30" i="2" a="1"/>
  <c r="O31" i="2" a="1"/>
  <c r="O32" i="2" a="1"/>
  <c r="O33" i="2" a="1"/>
  <c r="O34" i="2" a="1"/>
  <c r="O35" i="2" a="1"/>
  <c r="O36" i="2" a="1"/>
  <c r="O37" i="2" a="1"/>
  <c r="O38" i="2" a="1"/>
  <c r="O39" i="2" a="1"/>
  <c r="O40" i="2" a="1"/>
  <c r="O41" i="2" a="1"/>
  <c r="O42" i="2" a="1"/>
  <c r="O43" i="2" a="1"/>
  <c r="O44" i="2" a="1"/>
  <c r="O45" i="2" a="1"/>
  <c r="O46" i="2" a="1"/>
  <c r="O47" i="2" a="1"/>
  <c r="O48" i="2" a="1"/>
  <c r="O49" i="2" a="1"/>
  <c r="O50" i="2" a="1"/>
  <c r="Q7" i="2" a="1"/>
  <c r="Q8" i="2" a="1"/>
  <c r="Q9" i="2" a="1"/>
  <c r="Q10" i="2" a="1"/>
  <c r="Q11" i="2" a="1"/>
  <c r="Q12" i="2" a="1"/>
  <c r="Q13" i="2" a="1"/>
  <c r="Q14" i="2" a="1"/>
  <c r="Q15" i="2" a="1"/>
  <c r="Q16" i="2" a="1"/>
  <c r="Q17" i="2" a="1"/>
  <c r="Q18" i="2" a="1"/>
  <c r="Q19" i="2" a="1"/>
  <c r="Q20" i="2" a="1"/>
  <c r="Q21" i="2" a="1"/>
  <c r="Q22" i="2" a="1"/>
  <c r="Q23" i="2" a="1"/>
  <c r="Q24" i="2" a="1"/>
  <c r="Q25" i="2" a="1"/>
  <c r="Q26" i="2" a="1"/>
  <c r="Q27" i="2" a="1"/>
  <c r="Q28" i="2" a="1"/>
  <c r="Q29" i="2" a="1"/>
  <c r="Q30" i="2" a="1"/>
  <c r="Q31" i="2" a="1"/>
  <c r="Q32" i="2" a="1"/>
  <c r="Q33" i="2" a="1"/>
  <c r="Q34" i="2" a="1"/>
  <c r="Q35" i="2" a="1"/>
  <c r="Q36" i="2" a="1"/>
  <c r="Q37" i="2" a="1"/>
  <c r="Q38" i="2" a="1"/>
  <c r="Q39" i="2" a="1"/>
  <c r="Q40" i="2" a="1"/>
  <c r="Q41" i="2" a="1"/>
  <c r="Q42" i="2" a="1"/>
  <c r="Q43" i="2" a="1"/>
  <c r="Q44" i="2" a="1"/>
  <c r="Q45" i="2" a="1"/>
  <c r="Q46" i="2" a="1"/>
  <c r="Q47" i="2" a="1"/>
  <c r="Q48" i="2" a="1"/>
  <c r="Q49" i="2" a="1"/>
  <c r="Q50" i="2" a="1"/>
  <c r="S7" i="2" a="1"/>
  <c r="S8" i="2" a="1"/>
  <c r="S9" i="2" a="1"/>
  <c r="S10" i="2" a="1"/>
  <c r="S11" i="2" a="1"/>
  <c r="S12" i="2" a="1"/>
  <c r="S13" i="2" a="1"/>
  <c r="S14" i="2" a="1"/>
  <c r="S15" i="2" a="1"/>
  <c r="S16" i="2" a="1"/>
  <c r="S17" i="2" a="1"/>
  <c r="S18" i="2" a="1"/>
  <c r="S19" i="2" a="1"/>
  <c r="S20" i="2" a="1"/>
  <c r="S21" i="2" a="1"/>
  <c r="S22" i="2" a="1"/>
  <c r="S23" i="2" a="1"/>
  <c r="S24" i="2" a="1"/>
  <c r="S25" i="2" a="1"/>
  <c r="S26" i="2" a="1"/>
  <c r="S27" i="2" a="1"/>
  <c r="S28" i="2" a="1"/>
  <c r="S29" i="2" a="1"/>
  <c r="S30" i="2" a="1"/>
  <c r="S31" i="2" a="1"/>
  <c r="S32" i="2" a="1"/>
  <c r="S33" i="2" a="1"/>
  <c r="S34" i="2" a="1"/>
  <c r="S35" i="2" a="1"/>
  <c r="S36" i="2" a="1"/>
  <c r="S37" i="2" a="1"/>
  <c r="S38" i="2" a="1"/>
  <c r="S39" i="2" a="1"/>
  <c r="S40" i="2" a="1"/>
  <c r="S41" i="2" a="1"/>
  <c r="S42" i="2" a="1"/>
  <c r="S43" i="2" a="1"/>
  <c r="S44" i="2" a="1"/>
  <c r="S45" i="2" a="1"/>
  <c r="S46" i="2" a="1"/>
  <c r="S47" i="2" a="1"/>
  <c r="S48" i="2" a="1"/>
  <c r="S49" i="2" a="1"/>
  <c r="S50" i="2" a="1"/>
  <c r="U7" i="2" a="1"/>
  <c r="U8" i="2" a="1"/>
  <c r="U9" i="2" a="1"/>
  <c r="U10" i="2" a="1"/>
  <c r="U11" i="2" a="1"/>
  <c r="U12" i="2" a="1"/>
  <c r="U13" i="2" a="1"/>
  <c r="U14" i="2" a="1"/>
  <c r="U15" i="2" a="1"/>
  <c r="U16" i="2" a="1"/>
  <c r="U17" i="2" a="1"/>
  <c r="U18" i="2" a="1"/>
  <c r="U19" i="2" a="1"/>
  <c r="U20" i="2" a="1"/>
  <c r="U21" i="2" a="1"/>
  <c r="U22" i="2" a="1"/>
  <c r="U23" i="2" a="1"/>
  <c r="U24" i="2" a="1"/>
  <c r="U25" i="2" a="1"/>
  <c r="U26" i="2" a="1"/>
  <c r="U27" i="2" a="1"/>
  <c r="U28" i="2" a="1"/>
  <c r="U29" i="2" a="1"/>
  <c r="U30" i="2" a="1"/>
  <c r="U31" i="2" a="1"/>
  <c r="U32" i="2" a="1"/>
  <c r="U33" i="2" a="1"/>
  <c r="U34" i="2" a="1"/>
  <c r="U35" i="2" a="1"/>
  <c r="U36" i="2" a="1"/>
  <c r="U37" i="2" a="1"/>
  <c r="U38" i="2" a="1"/>
  <c r="U39" i="2" a="1"/>
  <c r="U40" i="2" a="1"/>
  <c r="U41" i="2" a="1"/>
  <c r="U42" i="2" a="1"/>
  <c r="U43" i="2" a="1"/>
  <c r="U44" i="2" a="1"/>
  <c r="U45" i="2" a="1"/>
  <c r="U46" i="2" a="1"/>
  <c r="U47" i="2" a="1"/>
  <c r="U48" i="2" a="1"/>
  <c r="U49" i="2" a="1"/>
  <c r="U50" i="2" a="1"/>
  <c r="W7" i="2" a="1"/>
  <c r="W8" i="2" a="1"/>
  <c r="W9" i="2" a="1"/>
  <c r="W10" i="2" a="1"/>
  <c r="W11" i="2" a="1"/>
  <c r="W12" i="2" a="1"/>
  <c r="W13" i="2" a="1"/>
  <c r="W14" i="2" a="1"/>
  <c r="W15" i="2" a="1"/>
  <c r="W16" i="2" a="1"/>
  <c r="W17" i="2" a="1"/>
  <c r="W18" i="2" a="1"/>
  <c r="W19" i="2" a="1"/>
  <c r="W20" i="2" a="1"/>
  <c r="W21" i="2" a="1"/>
  <c r="W22" i="2" a="1"/>
  <c r="W23" i="2" a="1"/>
  <c r="W24" i="2" a="1"/>
  <c r="W25" i="2" a="1"/>
  <c r="W26" i="2" a="1"/>
  <c r="W27" i="2" a="1"/>
  <c r="W28" i="2" a="1"/>
  <c r="W29" i="2" a="1"/>
  <c r="W30" i="2" a="1"/>
  <c r="W31" i="2" a="1"/>
  <c r="W32" i="2" a="1"/>
  <c r="W33" i="2" a="1"/>
  <c r="W34" i="2" a="1"/>
  <c r="W35" i="2" a="1"/>
  <c r="W36" i="2" a="1"/>
  <c r="W37" i="2" a="1"/>
  <c r="W38" i="2" a="1"/>
  <c r="W39" i="2" a="1"/>
  <c r="W40" i="2" a="1"/>
  <c r="W41" i="2" a="1"/>
  <c r="W42" i="2" a="1"/>
  <c r="W43" i="2" a="1"/>
  <c r="W44" i="2" a="1"/>
  <c r="W45" i="2" a="1"/>
  <c r="W46" i="2" a="1"/>
  <c r="W47" i="2" a="1"/>
  <c r="W48" i="2" a="1"/>
  <c r="W49" i="2" a="1"/>
  <c r="W50" i="2" a="1"/>
  <c r="Y7" i="2" a="1"/>
  <c r="Y8" i="2" a="1"/>
  <c r="Y9" i="2" a="1"/>
  <c r="Y10" i="2" a="1"/>
  <c r="Y11" i="2" a="1"/>
  <c r="Y12" i="2" a="1"/>
  <c r="Y13" i="2" a="1"/>
  <c r="Y14" i="2" a="1"/>
  <c r="Y15" i="2" a="1"/>
  <c r="Y16" i="2" a="1"/>
  <c r="Y17" i="2" a="1"/>
  <c r="Y18" i="2" a="1"/>
  <c r="Y19" i="2" a="1"/>
  <c r="Y20" i="2" a="1"/>
  <c r="Y21" i="2" a="1"/>
  <c r="Y22" i="2" a="1"/>
  <c r="Y23" i="2" a="1"/>
  <c r="Y24" i="2" a="1"/>
  <c r="Y25" i="2" a="1"/>
  <c r="Y26" i="2" a="1"/>
  <c r="Y27" i="2" a="1"/>
  <c r="Y28" i="2" a="1"/>
  <c r="Y29" i="2" a="1"/>
  <c r="Y30" i="2" a="1"/>
  <c r="Y31" i="2" a="1"/>
  <c r="Y32" i="2" a="1"/>
  <c r="Y33" i="2" a="1"/>
  <c r="Y34" i="2" a="1"/>
  <c r="Y35" i="2" a="1"/>
  <c r="Y36" i="2" a="1"/>
  <c r="Y37" i="2" a="1"/>
  <c r="Y38" i="2" a="1"/>
  <c r="Y39" i="2" a="1"/>
  <c r="Y40" i="2" a="1"/>
  <c r="Y41" i="2" a="1"/>
  <c r="Y42" i="2" a="1"/>
  <c r="Y43" i="2" a="1"/>
  <c r="Y44" i="2" a="1"/>
  <c r="Y45" i="2" a="1"/>
  <c r="Y46" i="2" a="1"/>
  <c r="Y47" i="2" a="1"/>
  <c r="Y48" i="2" a="1"/>
  <c r="Y49" i="2" a="1"/>
  <c r="Y50" i="2" a="1"/>
  <c r="AA7" i="2" a="1"/>
  <c r="AA8" i="2" a="1"/>
  <c r="AA9" i="2" a="1"/>
  <c r="AA10" i="2" a="1"/>
  <c r="AA11" i="2" a="1"/>
  <c r="AA12" i="2" a="1"/>
  <c r="AA13" i="2" a="1"/>
  <c r="AA14" i="2" a="1"/>
  <c r="AA15" i="2" a="1"/>
  <c r="AA16" i="2" a="1"/>
  <c r="AA17" i="2" a="1"/>
  <c r="AA18" i="2" a="1"/>
  <c r="AA19" i="2" a="1"/>
  <c r="AA20" i="2" a="1"/>
  <c r="AA21" i="2" a="1"/>
  <c r="AA22" i="2" a="1"/>
  <c r="AA23" i="2" a="1"/>
  <c r="AA24" i="2" a="1"/>
  <c r="AA25" i="2" a="1"/>
  <c r="AA26" i="2" a="1"/>
  <c r="AA27" i="2" a="1"/>
  <c r="AA28" i="2" a="1"/>
  <c r="AA29" i="2" a="1"/>
  <c r="AA30" i="2" a="1"/>
  <c r="AA31" i="2" a="1"/>
  <c r="AA32" i="2" a="1"/>
  <c r="AA33" i="2" a="1"/>
  <c r="AA34" i="2" a="1"/>
  <c r="AA35" i="2" a="1"/>
  <c r="AA36" i="2" a="1"/>
  <c r="AA37" i="2" a="1"/>
  <c r="AA38" i="2" a="1"/>
  <c r="AA39" i="2" a="1"/>
  <c r="AA40" i="2" a="1"/>
  <c r="AA41" i="2" a="1"/>
  <c r="AA42" i="2" a="1"/>
  <c r="AA43" i="2" a="1"/>
  <c r="AA44" i="2" a="1"/>
  <c r="AA45" i="2" a="1"/>
  <c r="AA46" i="2" a="1"/>
  <c r="AA47" i="2" a="1"/>
  <c r="AA48" i="2" a="1"/>
  <c r="AA49" i="2" a="1"/>
  <c r="AA50" i="2" a="1"/>
  <c r="AC7" i="2" a="1"/>
  <c r="AC8" i="2" a="1"/>
  <c r="AC9" i="2" a="1"/>
  <c r="AC10" i="2" a="1"/>
  <c r="AC11" i="2" a="1"/>
  <c r="AC12" i="2" a="1"/>
  <c r="AC13" i="2" a="1"/>
  <c r="AC14" i="2" a="1"/>
  <c r="AC15" i="2" a="1"/>
  <c r="AC16" i="2" a="1"/>
  <c r="AC17" i="2" a="1"/>
  <c r="AC18" i="2" a="1"/>
  <c r="AC19" i="2" a="1"/>
  <c r="AC20" i="2" a="1"/>
  <c r="AC21" i="2" a="1"/>
  <c r="AC22" i="2" a="1"/>
  <c r="AC23" i="2" a="1"/>
  <c r="AC24" i="2" a="1"/>
  <c r="AC25" i="2" a="1"/>
  <c r="AC26" i="2" a="1"/>
  <c r="AC27" i="2" a="1"/>
  <c r="AC28" i="2" a="1"/>
  <c r="AC29" i="2" a="1"/>
  <c r="AC30" i="2" a="1"/>
  <c r="AC31" i="2" a="1"/>
  <c r="AC32" i="2" a="1"/>
  <c r="AC33" i="2" a="1"/>
  <c r="AC34" i="2" a="1"/>
  <c r="AC35" i="2" a="1"/>
  <c r="AC36" i="2" a="1"/>
  <c r="AC37" i="2" a="1"/>
  <c r="AC38" i="2" a="1"/>
  <c r="AC39" i="2" a="1"/>
  <c r="AC40" i="2" a="1"/>
  <c r="AC41" i="2" a="1"/>
  <c r="AC42" i="2" a="1"/>
  <c r="AC43" i="2" a="1"/>
  <c r="AC44" i="2" a="1"/>
  <c r="AC45" i="2" a="1"/>
  <c r="AC46" i="2" a="1"/>
  <c r="AC47" i="2" a="1"/>
  <c r="AC48" i="2" a="1"/>
  <c r="AC49" i="2" a="1"/>
  <c r="AC50" i="2" a="1"/>
  <c r="AC6" i="2" a="1"/>
  <c r="AA6" i="2" a="1"/>
  <c r="Y6" i="2" a="1"/>
  <c r="W6" i="2" a="1"/>
  <c r="U6" i="2" a="1"/>
  <c r="S6" i="2" a="1"/>
  <c r="Q6" i="2" a="1"/>
  <c r="O6" i="2" a="1"/>
  <c r="M6" i="2" a="1"/>
  <c r="K6" i="2" a="1"/>
  <c r="I6" i="2" a="1"/>
  <c r="G7" i="2" a="1"/>
  <c r="G8" i="2" a="1"/>
  <c r="G9" i="2" a="1"/>
  <c r="G10" i="2" a="1"/>
  <c r="G11" i="2" a="1"/>
  <c r="G12" i="2" a="1"/>
  <c r="G13" i="2" a="1"/>
  <c r="G14" i="2" a="1"/>
  <c r="G15" i="2" a="1"/>
  <c r="G16" i="2" a="1"/>
  <c r="G17" i="2" a="1"/>
  <c r="G18" i="2" a="1"/>
  <c r="G19" i="2" a="1"/>
  <c r="G20" i="2" a="1"/>
  <c r="G21" i="2" a="1"/>
  <c r="G22" i="2" a="1"/>
  <c r="G23" i="2" a="1"/>
  <c r="G24" i="2" a="1"/>
  <c r="G25" i="2" a="1"/>
  <c r="G26" i="2" a="1"/>
  <c r="G27" i="2" a="1"/>
  <c r="G28" i="2" a="1"/>
  <c r="G29" i="2" a="1"/>
  <c r="G30" i="2" a="1"/>
  <c r="G31" i="2" a="1"/>
  <c r="G32" i="2" a="1"/>
  <c r="G33" i="2" a="1"/>
  <c r="G34" i="2" a="1"/>
  <c r="G35" i="2" a="1"/>
  <c r="G36" i="2" a="1"/>
  <c r="G37" i="2" a="1"/>
  <c r="G38" i="2" a="1"/>
  <c r="G39" i="2" a="1"/>
  <c r="G40" i="2" a="1"/>
  <c r="G41" i="2" a="1"/>
  <c r="G42" i="2" a="1"/>
  <c r="G43" i="2" a="1"/>
  <c r="G44" i="2" a="1"/>
  <c r="G45" i="2" a="1"/>
  <c r="G46" i="2" a="1"/>
  <c r="G47" i="2" a="1"/>
  <c r="G48" i="2" a="1"/>
  <c r="G49" i="2" a="1"/>
  <c r="G50" i="2" a="1"/>
  <c r="E7" i="2" a="1"/>
  <c r="E8" i="2" a="1"/>
  <c r="E9" i="2" a="1"/>
  <c r="E10" i="2" a="1"/>
  <c r="E11" i="2" a="1"/>
  <c r="E12" i="2" a="1"/>
  <c r="E13" i="2" a="1"/>
  <c r="E14" i="2" a="1"/>
  <c r="E15" i="2" a="1"/>
  <c r="E16" i="2" a="1"/>
  <c r="E17" i="2" a="1"/>
  <c r="E18" i="2" a="1"/>
  <c r="E19" i="2" a="1"/>
  <c r="E20" i="2" a="1"/>
  <c r="E21" i="2" a="1"/>
  <c r="E22" i="2" a="1"/>
  <c r="E23" i="2" a="1"/>
  <c r="E24" i="2" a="1"/>
  <c r="E25" i="2" a="1"/>
  <c r="E26" i="2" a="1"/>
  <c r="E27" i="2" a="1"/>
  <c r="E28" i="2" a="1"/>
  <c r="E29" i="2" a="1"/>
  <c r="E30" i="2" a="1"/>
  <c r="E31" i="2" a="1"/>
  <c r="E32" i="2" a="1"/>
  <c r="E33" i="2" a="1"/>
  <c r="E34" i="2" a="1"/>
  <c r="E35" i="2" a="1"/>
  <c r="E36" i="2" a="1"/>
  <c r="E37" i="2" a="1"/>
  <c r="E38" i="2" a="1"/>
  <c r="E39" i="2" a="1"/>
  <c r="E40" i="2" a="1"/>
  <c r="E41" i="2" a="1"/>
  <c r="E42" i="2" a="1"/>
  <c r="E43" i="2" a="1"/>
  <c r="E44" i="2" a="1"/>
  <c r="E45" i="2" a="1"/>
  <c r="E46" i="2" a="1"/>
  <c r="E47" i="2" a="1"/>
  <c r="E48" i="2" a="1"/>
  <c r="E49" i="2" a="1"/>
  <c r="E50" i="2" a="1"/>
  <c r="E6" i="2" a="1"/>
  <c r="G6" i="2" a="1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AB6" i="2"/>
  <c r="Z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7" i="2"/>
  <c r="D8" i="2"/>
  <c r="D6" i="2"/>
  <c r="F6" i="2"/>
  <c r="B3" i="2"/>
  <c r="B4" i="2"/>
  <c r="B2" i="2"/>
  <c r="C40" i="2"/>
  <c r="C41" i="2"/>
  <c r="C42" i="2"/>
  <c r="C43" i="2"/>
  <c r="C44" i="2"/>
  <c r="C45" i="2"/>
  <c r="C46" i="2"/>
  <c r="C47" i="2"/>
  <c r="C48" i="2"/>
  <c r="C49" i="2"/>
  <c r="C50" i="2"/>
  <c r="C38" i="2"/>
  <c r="C39" i="2"/>
  <c r="C37" i="2"/>
  <c r="C36" i="2"/>
  <c r="C35" i="2"/>
  <c r="C30" i="2"/>
  <c r="C31" i="2"/>
  <c r="C32" i="2"/>
  <c r="C33" i="2"/>
  <c r="C34" i="2"/>
  <c r="C19" i="2"/>
  <c r="C20" i="2"/>
  <c r="C21" i="2"/>
  <c r="C22" i="2"/>
  <c r="C23" i="2"/>
  <c r="C24" i="2"/>
  <c r="C25" i="2"/>
  <c r="C26" i="2"/>
  <c r="C27" i="2"/>
  <c r="C28" i="2"/>
  <c r="C29" i="2"/>
  <c r="C16" i="2"/>
  <c r="C17" i="2"/>
  <c r="C18" i="2"/>
  <c r="C7" i="2"/>
  <c r="C8" i="2"/>
  <c r="C9" i="2"/>
  <c r="C10" i="2"/>
  <c r="C11" i="2"/>
  <c r="C12" i="2"/>
  <c r="C13" i="2"/>
  <c r="C14" i="2"/>
  <c r="C15" i="2"/>
  <c r="C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<sst xmlns="http://schemas.openxmlformats.org/spreadsheetml/2006/main" count="1413" uniqueCount="809">
  <si>
    <t>ID</t>
  </si>
  <si>
    <t>Sesion</t>
  </si>
  <si>
    <t>Nivel</t>
  </si>
  <si>
    <t>Intento</t>
  </si>
  <si>
    <t>Tiempo inicio</t>
  </si>
  <si>
    <t>Tiempo final</t>
  </si>
  <si>
    <t>Tiempo duracion</t>
  </si>
  <si>
    <t>Completado</t>
  </si>
  <si>
    <t>Reglas planificacion cumplidas</t>
  </si>
  <si>
    <t>%Reglas respetadas ejecucion</t>
  </si>
  <si>
    <t>Pasos planificados</t>
  </si>
  <si>
    <t>Pasos ejecutados</t>
  </si>
  <si>
    <t>Errores ejecucion</t>
  </si>
  <si>
    <t>Num dormir planificado</t>
  </si>
  <si>
    <t>Correctos dormir</t>
  </si>
  <si>
    <t>Errores dormir</t>
  </si>
  <si>
    <t>Num ubicacion planificado</t>
  </si>
  <si>
    <t>Correctos ubicacion</t>
  </si>
  <si>
    <t>Errores ubicacion</t>
  </si>
  <si>
    <t>Paradas posibles</t>
  </si>
  <si>
    <t>Paradas realizadas</t>
  </si>
  <si>
    <t>Errores parada por tiempo excedido</t>
  </si>
  <si>
    <t>Num errores por tiempo excedido</t>
  </si>
  <si>
    <t>15:04:04.517</t>
  </si>
  <si>
    <t>15:06:53.177</t>
  </si>
  <si>
    <t>15:08:14.430</t>
  </si>
  <si>
    <t>15:10:38.193</t>
  </si>
  <si>
    <t>15:13:31.337</t>
  </si>
  <si>
    <t>15:16:31.771</t>
  </si>
  <si>
    <t>15:18:37.553</t>
  </si>
  <si>
    <t>15:20:46.000</t>
  </si>
  <si>
    <t>14:15:08.014</t>
  </si>
  <si>
    <t>14:18:26.124</t>
  </si>
  <si>
    <t>14:33:17.624</t>
  </si>
  <si>
    <t>14:35:15.423</t>
  </si>
  <si>
    <t>14:36:43.433</t>
  </si>
  <si>
    <t>14:38:15.556</t>
  </si>
  <si>
    <t>14:41:08.214</t>
  </si>
  <si>
    <t>14:41:36.785</t>
  </si>
  <si>
    <t>14:22:08.352</t>
  </si>
  <si>
    <t>14:23:43.704</t>
  </si>
  <si>
    <t>14:26:22.464</t>
  </si>
  <si>
    <t>14:28:12.884</t>
  </si>
  <si>
    <t>14:29:14.660</t>
  </si>
  <si>
    <t>14:31:33.694</t>
  </si>
  <si>
    <t>14:33:47.295</t>
  </si>
  <si>
    <t>14:36:27.066</t>
  </si>
  <si>
    <t>14:38:26.067</t>
  </si>
  <si>
    <t>14:41:54.930</t>
  </si>
  <si>
    <t>14:43:50.888</t>
  </si>
  <si>
    <t>14:45:59.368</t>
  </si>
  <si>
    <t>14:13:54.844</t>
  </si>
  <si>
    <t>14:16:36.213</t>
  </si>
  <si>
    <t>14:17:54.671</t>
  </si>
  <si>
    <t>14:20:12.099</t>
  </si>
  <si>
    <t>14:23:53.796</t>
  </si>
  <si>
    <t>14:26:14.354</t>
  </si>
  <si>
    <t>14:29:18.329</t>
  </si>
  <si>
    <t>14:29:18.332</t>
  </si>
  <si>
    <t>14:19:57.019</t>
  </si>
  <si>
    <t>14:22:37.777</t>
  </si>
  <si>
    <t>14:25:35.893</t>
  </si>
  <si>
    <t>14:26:32.030</t>
  </si>
  <si>
    <t>14:30:17.974</t>
  </si>
  <si>
    <t>14:30:43.155</t>
  </si>
  <si>
    <t>14:30:51.920</t>
  </si>
  <si>
    <t>14:32:26.414</t>
  </si>
  <si>
    <t>14:33:28.259</t>
  </si>
  <si>
    <t>14:15:31.568</t>
  </si>
  <si>
    <t>14:19:14.461</t>
  </si>
  <si>
    <t>14:25:11.114</t>
  </si>
  <si>
    <t>14:28:18.519</t>
  </si>
  <si>
    <t>14:31:59.001</t>
  </si>
  <si>
    <t>14:35:10.769</t>
  </si>
  <si>
    <t>14:37:54.641</t>
  </si>
  <si>
    <t>14:40:03.212</t>
  </si>
  <si>
    <t>15:03:20.042</t>
  </si>
  <si>
    <t>15:05:27.916</t>
  </si>
  <si>
    <t>15:11:40.468</t>
  </si>
  <si>
    <t>15:14:35.482</t>
  </si>
  <si>
    <t>15:18:39.148</t>
  </si>
  <si>
    <t>15:20:07.463</t>
  </si>
  <si>
    <t>15:29:42.390</t>
  </si>
  <si>
    <t>15:33:17.847</t>
  </si>
  <si>
    <t>15:34:41.535</t>
  </si>
  <si>
    <t>15:37:23.710</t>
  </si>
  <si>
    <t>15:40:07.396</t>
  </si>
  <si>
    <t>15:42:48.934</t>
  </si>
  <si>
    <t>15:46:00.232</t>
  </si>
  <si>
    <t>15:50:51.005</t>
  </si>
  <si>
    <t>15:55:50.529</t>
  </si>
  <si>
    <t>15:00:03.742</t>
  </si>
  <si>
    <t>15:03:51.380</t>
  </si>
  <si>
    <t>15:07:08.980</t>
  </si>
  <si>
    <t>15:11:50.623</t>
  </si>
  <si>
    <t>15:15:43.972</t>
  </si>
  <si>
    <t>15:19:30.920</t>
  </si>
  <si>
    <t>15:23:30.830</t>
  </si>
  <si>
    <t>15:29:21.792</t>
  </si>
  <si>
    <t>15:36:00.935</t>
  </si>
  <si>
    <t>15:36:46.952</t>
  </si>
  <si>
    <t>14:23:03.711</t>
  </si>
  <si>
    <t>14:25:02.794</t>
  </si>
  <si>
    <t>14:27:34.717</t>
  </si>
  <si>
    <t>14:29:37.620</t>
  </si>
  <si>
    <t>14:31:19.958</t>
  </si>
  <si>
    <t>14:32:13.378</t>
  </si>
  <si>
    <t>14:34:35.589</t>
  </si>
  <si>
    <t>14:36:38.967</t>
  </si>
  <si>
    <t>14:37:52.044</t>
  </si>
  <si>
    <t>14:40:03.021</t>
  </si>
  <si>
    <t>14:42:08.964</t>
  </si>
  <si>
    <t>14:45:28.196</t>
  </si>
  <si>
    <t>14:47:23.112</t>
  </si>
  <si>
    <t>14:14:43.812</t>
  </si>
  <si>
    <t>14:17:46.072</t>
  </si>
  <si>
    <t>14:21:59.767</t>
  </si>
  <si>
    <t>14:28:30.420</t>
  </si>
  <si>
    <t>14:31:57.052</t>
  </si>
  <si>
    <t>14:37:24.618</t>
  </si>
  <si>
    <t>14:43:56.411</t>
  </si>
  <si>
    <t>14:44:49.452</t>
  </si>
  <si>
    <t>14:41:30.786</t>
  </si>
  <si>
    <t>14:44:38.466</t>
  </si>
  <si>
    <t>14:46:25.315</t>
  </si>
  <si>
    <t>14:50:31.503</t>
  </si>
  <si>
    <t>14:51:41.265</t>
  </si>
  <si>
    <t>14:53:44.613</t>
  </si>
  <si>
    <t>14:55:21.747</t>
  </si>
  <si>
    <t>14:56:41.369</t>
  </si>
  <si>
    <t>14:57:50.278</t>
  </si>
  <si>
    <t>15:00:04.877</t>
  </si>
  <si>
    <t>15:04:05.779</t>
  </si>
  <si>
    <t>15:06:20.767</t>
  </si>
  <si>
    <t>15:08:13.571</t>
  </si>
  <si>
    <t>15:10:48.397</t>
  </si>
  <si>
    <t>15:12:14.966</t>
  </si>
  <si>
    <t>15:06:50.654</t>
  </si>
  <si>
    <t>15:08:51.629</t>
  </si>
  <si>
    <t>15:12:14.783</t>
  </si>
  <si>
    <t>15:14:34.972</t>
  </si>
  <si>
    <t>15:19:02.477</t>
  </si>
  <si>
    <t>15:21:08.639</t>
  </si>
  <si>
    <t>15:26:17.052</t>
  </si>
  <si>
    <t>15:43:52.111</t>
  </si>
  <si>
    <t>15:43:52.114</t>
  </si>
  <si>
    <t>14:22:36.656</t>
  </si>
  <si>
    <t>14:23:50.879</t>
  </si>
  <si>
    <t>14:28:57.300</t>
  </si>
  <si>
    <t>14:32:27.714</t>
  </si>
  <si>
    <t>14:35:42.014</t>
  </si>
  <si>
    <t>14:38:57.186</t>
  </si>
  <si>
    <t>14:43:21.606</t>
  </si>
  <si>
    <t>14:48:20.692</t>
  </si>
  <si>
    <t>14:50:51.188</t>
  </si>
  <si>
    <t>14:14:22.689</t>
  </si>
  <si>
    <t>14:19:59.749</t>
  </si>
  <si>
    <t>14:21:14.534</t>
  </si>
  <si>
    <t>14:25:43.947</t>
  </si>
  <si>
    <t>14:29:53.989</t>
  </si>
  <si>
    <t>14:32:03.553</t>
  </si>
  <si>
    <t>15:03:08.992</t>
  </si>
  <si>
    <t>15:10:19.897</t>
  </si>
  <si>
    <t>15:25:15.288</t>
  </si>
  <si>
    <t>15:28:19.596</t>
  </si>
  <si>
    <t>15:30:33.491</t>
  </si>
  <si>
    <t>15:32:57.636</t>
  </si>
  <si>
    <t>15:35:25.737</t>
  </si>
  <si>
    <t>15:38:19.551</t>
  </si>
  <si>
    <t>15:42:19.447</t>
  </si>
  <si>
    <t>15:45:16.383</t>
  </si>
  <si>
    <t>15:47:52.939</t>
  </si>
  <si>
    <t>15:49:51.077</t>
  </si>
  <si>
    <t>15:51:25.871</t>
  </si>
  <si>
    <t>15:05:45.125</t>
  </si>
  <si>
    <t>15:08:17.377</t>
  </si>
  <si>
    <t>15:10:40.174</t>
  </si>
  <si>
    <t>15:13:24.558</t>
  </si>
  <si>
    <t>15:16:07.609</t>
  </si>
  <si>
    <t>15:18:20.726</t>
  </si>
  <si>
    <t>15:21:30.015</t>
  </si>
  <si>
    <t>15:23:06.845</t>
  </si>
  <si>
    <t>15:25:12.441</t>
  </si>
  <si>
    <t>15:26:31.079</t>
  </si>
  <si>
    <t>15:28:52.805</t>
  </si>
  <si>
    <t>15:31:38.862</t>
  </si>
  <si>
    <t>15:33:38.043</t>
  </si>
  <si>
    <t>15:35:42.819</t>
  </si>
  <si>
    <t>15:36:45.811</t>
  </si>
  <si>
    <t>15:37:37.418</t>
  </si>
  <si>
    <t>15:39:15.246</t>
  </si>
  <si>
    <t>15:51:06.616</t>
  </si>
  <si>
    <t>15:51:06.619</t>
  </si>
  <si>
    <t>15:16:10.840</t>
  </si>
  <si>
    <t>15:19:01.309</t>
  </si>
  <si>
    <t>15:21:32.368</t>
  </si>
  <si>
    <t>15:25:29.075</t>
  </si>
  <si>
    <t>15:29:13.092</t>
  </si>
  <si>
    <t>15:34:29.189</t>
  </si>
  <si>
    <t>15:38:46.956</t>
  </si>
  <si>
    <t>15:41:21.069</t>
  </si>
  <si>
    <t>15:43:29.980</t>
  </si>
  <si>
    <t>14:59:31.381</t>
  </si>
  <si>
    <t>15:02:47.426</t>
  </si>
  <si>
    <t>15:04:17.463</t>
  </si>
  <si>
    <t>15:07:16.598</t>
  </si>
  <si>
    <t>15:11:29.321</t>
  </si>
  <si>
    <t>15:16:39.744</t>
  </si>
  <si>
    <t>15:18:03.502</t>
  </si>
  <si>
    <t>15:19:11.584</t>
  </si>
  <si>
    <t>15:23:19.082</t>
  </si>
  <si>
    <t>15:27:51.170</t>
  </si>
  <si>
    <t>15:33:08.179</t>
  </si>
  <si>
    <t>15:43:02.532</t>
  </si>
  <si>
    <t>15:49:43.120</t>
  </si>
  <si>
    <t>15:53:03.221</t>
  </si>
  <si>
    <t>14:22:05.338</t>
  </si>
  <si>
    <t>14:25:14.506</t>
  </si>
  <si>
    <t>14:28:19.700</t>
  </si>
  <si>
    <t>14:31:41.840</t>
  </si>
  <si>
    <t>14:34:37.213</t>
  </si>
  <si>
    <t>14:36:32.453</t>
  </si>
  <si>
    <t>14:39:44.548</t>
  </si>
  <si>
    <t>14:42:16.630</t>
  </si>
  <si>
    <t>14:45:05.046</t>
  </si>
  <si>
    <t>14:49:18.020</t>
  </si>
  <si>
    <t>14:51:11.307</t>
  </si>
  <si>
    <t>14:52:40.532</t>
  </si>
  <si>
    <t>14:53:27.923</t>
  </si>
  <si>
    <t>15:10:23.032</t>
  </si>
  <si>
    <t>15:13:55.156</t>
  </si>
  <si>
    <t>15:16:33.356</t>
  </si>
  <si>
    <t>15:19:22.298</t>
  </si>
  <si>
    <t>15:24:10.400</t>
  </si>
  <si>
    <t>15:24:53.641</t>
  </si>
  <si>
    <t>15:29:19.230</t>
  </si>
  <si>
    <t>15:01:24.561</t>
  </si>
  <si>
    <t>15:03:02.842</t>
  </si>
  <si>
    <t>15:07:19.616</t>
  </si>
  <si>
    <t>15:10:45.645</t>
  </si>
  <si>
    <t>15:15:38.672</t>
  </si>
  <si>
    <t>15:19:31.478</t>
  </si>
  <si>
    <t>15:20:45.614</t>
  </si>
  <si>
    <t>15:27:40.461</t>
  </si>
  <si>
    <t>15:31:39.986</t>
  </si>
  <si>
    <t>15:35:05.464</t>
  </si>
  <si>
    <t>15:38:49.803</t>
  </si>
  <si>
    <t>15:47:51.755</t>
  </si>
  <si>
    <t>15:51:01.360</t>
  </si>
  <si>
    <t>14:56:23.695</t>
  </si>
  <si>
    <t>15:00:51.855</t>
  </si>
  <si>
    <t>15:03:23.660</t>
  </si>
  <si>
    <t>15:06:06.619</t>
  </si>
  <si>
    <t>15:09:18.008</t>
  </si>
  <si>
    <t>15:11:31.344</t>
  </si>
  <si>
    <t>15:13:30.278</t>
  </si>
  <si>
    <t>15:16:53.385</t>
  </si>
  <si>
    <t>15:21:05.316</t>
  </si>
  <si>
    <t>15:22:58.894</t>
  </si>
  <si>
    <t>14:57:25.697</t>
  </si>
  <si>
    <t>15:00:33.665</t>
  </si>
  <si>
    <t>15:03:06.598</t>
  </si>
  <si>
    <t>15:06:43.946</t>
  </si>
  <si>
    <t>15:10:41.431</t>
  </si>
  <si>
    <t>15:14:01.041</t>
  </si>
  <si>
    <t>15:17:47.741</t>
  </si>
  <si>
    <t>15:21:52.108</t>
  </si>
  <si>
    <t>15:25:52.239</t>
  </si>
  <si>
    <t>15:28:24.485</t>
  </si>
  <si>
    <t>15:30:28.542</t>
  </si>
  <si>
    <t>15:33:12.752</t>
  </si>
  <si>
    <t>15:36:05.479</t>
  </si>
  <si>
    <t>15:38:28.291</t>
  </si>
  <si>
    <t>15:40:44.887</t>
  </si>
  <si>
    <t>10:55:38.317</t>
  </si>
  <si>
    <t>10:55:38.321</t>
  </si>
  <si>
    <t>14:57:14.600</t>
  </si>
  <si>
    <t>15:00:39.416</t>
  </si>
  <si>
    <t>15:06:21.431</t>
  </si>
  <si>
    <t>15:12:58.551</t>
  </si>
  <si>
    <t>15:16:17.434</t>
  </si>
  <si>
    <t>15:19:40.268</t>
  </si>
  <si>
    <t>15:22:54.073</t>
  </si>
  <si>
    <t>15:25:56.336</t>
  </si>
  <si>
    <t>14:58:10.940</t>
  </si>
  <si>
    <t>15:01:42.458</t>
  </si>
  <si>
    <t>15:05:06.090</t>
  </si>
  <si>
    <t>15:07:48.682</t>
  </si>
  <si>
    <t>15:09:24.126</t>
  </si>
  <si>
    <t>15:12:05.282</t>
  </si>
  <si>
    <t>15:13:37.051</t>
  </si>
  <si>
    <t>15:17:53.787</t>
  </si>
  <si>
    <t>15:22:18.422</t>
  </si>
  <si>
    <t>15:26:20.905</t>
  </si>
  <si>
    <t>15:30:28.303</t>
  </si>
  <si>
    <t>15:32:51.314</t>
  </si>
  <si>
    <t>15:35:58.257</t>
  </si>
  <si>
    <t>15:36:43.497</t>
  </si>
  <si>
    <t>15:37:20.923</t>
  </si>
  <si>
    <t>15:40:57.790</t>
  </si>
  <si>
    <t>15:40:59.178</t>
  </si>
  <si>
    <t>15:04:46.232</t>
  </si>
  <si>
    <t>15:06:53.139</t>
  </si>
  <si>
    <t>15:10:25.925</t>
  </si>
  <si>
    <t>15:13:16.921</t>
  </si>
  <si>
    <t>15:15:56.242</t>
  </si>
  <si>
    <t>15:18:54.053</t>
  </si>
  <si>
    <t>15:20:10.657</t>
  </si>
  <si>
    <t>15:07:30.039</t>
  </si>
  <si>
    <t>15:09:53.521</t>
  </si>
  <si>
    <t>15:12:23.722</t>
  </si>
  <si>
    <t>15:15:45.220</t>
  </si>
  <si>
    <t>15:16:59.669</t>
  </si>
  <si>
    <t>15:18:03.721</t>
  </si>
  <si>
    <t>15:20:53.907</t>
  </si>
  <si>
    <t>15:24:14.449</t>
  </si>
  <si>
    <t>15:25:15.328</t>
  </si>
  <si>
    <t>15:27:48.047</t>
  </si>
  <si>
    <t>15:29:56.906</t>
  </si>
  <si>
    <t>15:33:21.064</t>
  </si>
  <si>
    <t>15:33:55.720</t>
  </si>
  <si>
    <t>15:38:52.809</t>
  </si>
  <si>
    <t>15:42:01.441</t>
  </si>
  <si>
    <t>15:43:59.450</t>
  </si>
  <si>
    <t>15:44:04.289</t>
  </si>
  <si>
    <t>15:46:25.403</t>
  </si>
  <si>
    <t>15:50:53.087</t>
  </si>
  <si>
    <t>15:53:09.504</t>
  </si>
  <si>
    <t>14:19:54.532</t>
  </si>
  <si>
    <t>14:23:13.551</t>
  </si>
  <si>
    <t>14:26:38.160</t>
  </si>
  <si>
    <t>14:29:38.041</t>
  </si>
  <si>
    <t>14:32:12.452</t>
  </si>
  <si>
    <t>14:34:40.469</t>
  </si>
  <si>
    <t>14:39:49.074</t>
  </si>
  <si>
    <t>14:43:00.169</t>
  </si>
  <si>
    <t>14:46:14.704</t>
  </si>
  <si>
    <t>14:50:35.180</t>
  </si>
  <si>
    <t>14:53:26.155</t>
  </si>
  <si>
    <t>14:55:04.984</t>
  </si>
  <si>
    <t>14:59:28.344</t>
  </si>
  <si>
    <t>15:02:18.425</t>
  </si>
  <si>
    <t>15:05:56.110</t>
  </si>
  <si>
    <t>15:10:25.433</t>
  </si>
  <si>
    <t>15:13:40.313</t>
  </si>
  <si>
    <t>15:16:32.550</t>
  </si>
  <si>
    <t>15:19:35.232</t>
  </si>
  <si>
    <t>15:23:29.960</t>
  </si>
  <si>
    <t>15:24:16.774</t>
  </si>
  <si>
    <t>15:29:11.613</t>
  </si>
  <si>
    <t>15:01:05.154</t>
  </si>
  <si>
    <t>15:04:27.907</t>
  </si>
  <si>
    <t>15:06:32.230</t>
  </si>
  <si>
    <t>15:10:35.900</t>
  </si>
  <si>
    <t>15:14:10.181</t>
  </si>
  <si>
    <t>15:17:26.730</t>
  </si>
  <si>
    <t>15:20:45.106</t>
  </si>
  <si>
    <t>15:22:19.911</t>
  </si>
  <si>
    <t>15:26:44.048</t>
  </si>
  <si>
    <t>15:33:35.140</t>
  </si>
  <si>
    <t>15:35:37.780</t>
  </si>
  <si>
    <t>15:37:20.925</t>
  </si>
  <si>
    <t>15:41:01.961</t>
  </si>
  <si>
    <t>15:42:28.525</t>
  </si>
  <si>
    <t>14:41:32.880</t>
  </si>
  <si>
    <t>14:44:36.906</t>
  </si>
  <si>
    <t>14:46:41.897</t>
  </si>
  <si>
    <t>14:49:12.873</t>
  </si>
  <si>
    <t>14:51:59.233</t>
  </si>
  <si>
    <t>14:56:35.400</t>
  </si>
  <si>
    <t>14:57:34.697</t>
  </si>
  <si>
    <t>15:01:06.236</t>
  </si>
  <si>
    <t>15:05:04.622</t>
  </si>
  <si>
    <t>15:09:12.768</t>
  </si>
  <si>
    <t>15:10:11.915</t>
  </si>
  <si>
    <t>15:11:40.452</t>
  </si>
  <si>
    <t>14:59:05.674</t>
  </si>
  <si>
    <t>15:02:10.107</t>
  </si>
  <si>
    <t>15:04:55.399</t>
  </si>
  <si>
    <t>15:10:35.698</t>
  </si>
  <si>
    <t>15:14:35.262</t>
  </si>
  <si>
    <t>15:17:00.533</t>
  </si>
  <si>
    <t>15:18:47.405</t>
  </si>
  <si>
    <t>15:22:21.071</t>
  </si>
  <si>
    <t>15:23:44.102</t>
  </si>
  <si>
    <t>15:25:02.261</t>
  </si>
  <si>
    <t>15:26:03.898</t>
  </si>
  <si>
    <t>15:27:19.265</t>
  </si>
  <si>
    <t>15:30:58.125</t>
  </si>
  <si>
    <t>15:32:08.945</t>
  </si>
  <si>
    <t>15:33:18.461</t>
  </si>
  <si>
    <t>15:33:47.980</t>
  </si>
  <si>
    <t>15:35:12.952</t>
  </si>
  <si>
    <t>15:38:34.133</t>
  </si>
  <si>
    <t>15:42:15.769</t>
  </si>
  <si>
    <t>15:43:29.484</t>
  </si>
  <si>
    <t>15:44:29.426</t>
  </si>
  <si>
    <t>15:46:46.218</t>
  </si>
  <si>
    <t>15:49:33.842</t>
  </si>
  <si>
    <t>15:53:16.524</t>
  </si>
  <si>
    <t>14:21:40.892</t>
  </si>
  <si>
    <t>14:23:47.679</t>
  </si>
  <si>
    <t>14:26:29.841</t>
  </si>
  <si>
    <t>14:29:21.068</t>
  </si>
  <si>
    <t>14:31:28.273</t>
  </si>
  <si>
    <t>14:33:46.895</t>
  </si>
  <si>
    <t>14:35:51.039</t>
  </si>
  <si>
    <t>14:37:16.095</t>
  </si>
  <si>
    <t>14:38:56.737</t>
  </si>
  <si>
    <t>14:41:46.960</t>
  </si>
  <si>
    <t>14:44:31.489</t>
  </si>
  <si>
    <t>14:47:00.116</t>
  </si>
  <si>
    <t>14:50:32.655</t>
  </si>
  <si>
    <t>14:52:08.199</t>
  </si>
  <si>
    <t>14:53:52.881</t>
  </si>
  <si>
    <t>14:13:26.721</t>
  </si>
  <si>
    <t>14:15:59.905</t>
  </si>
  <si>
    <t>14:19:13.156</t>
  </si>
  <si>
    <t>14:21:04.742</t>
  </si>
  <si>
    <t>14:24:31.487</t>
  </si>
  <si>
    <t>14:26:27.789</t>
  </si>
  <si>
    <t>16:03:16.528</t>
  </si>
  <si>
    <t>16:16:29.656</t>
  </si>
  <si>
    <t>16:18:42.111</t>
  </si>
  <si>
    <t>16:21:20.072</t>
  </si>
  <si>
    <t>16:23:24.414</t>
  </si>
  <si>
    <t>16:27:08.561</t>
  </si>
  <si>
    <t>16:27:39.143</t>
  </si>
  <si>
    <t>14:42:08.696</t>
  </si>
  <si>
    <t>14:44:37.109</t>
  </si>
  <si>
    <t>14:46:23.542</t>
  </si>
  <si>
    <t>14:47:26.167</t>
  </si>
  <si>
    <t>14:49:05.327</t>
  </si>
  <si>
    <t>14:50:06.893</t>
  </si>
  <si>
    <t>14:50:43.507</t>
  </si>
  <si>
    <t>14:54:07.662</t>
  </si>
  <si>
    <t>14:54:48.749</t>
  </si>
  <si>
    <t>14:57:46.969</t>
  </si>
  <si>
    <t>15:01:26.292</t>
  </si>
  <si>
    <t>15:01:47.913</t>
  </si>
  <si>
    <t>15:02:15.678</t>
  </si>
  <si>
    <t>15:02:37.938</t>
  </si>
  <si>
    <t>15:03:16.318</t>
  </si>
  <si>
    <t>15:57:13.889</t>
  </si>
  <si>
    <t>16:01:19.170</t>
  </si>
  <si>
    <t>16:05:13.392</t>
  </si>
  <si>
    <t>16:08:25.006</t>
  </si>
  <si>
    <t>16:08:50.754</t>
  </si>
  <si>
    <t>16:13:17.798</t>
  </si>
  <si>
    <t>16:17:11.271</t>
  </si>
  <si>
    <t>16:21:20.856</t>
  </si>
  <si>
    <t>16:25:24.810</t>
  </si>
  <si>
    <t>16:28:39.032</t>
  </si>
  <si>
    <t>16:28:39.035</t>
  </si>
  <si>
    <t>15:52:12.861</t>
  </si>
  <si>
    <t>15:55:14.707</t>
  </si>
  <si>
    <t>15:58:05.215</t>
  </si>
  <si>
    <t>16:01:48.921</t>
  </si>
  <si>
    <t>16:05:13.003</t>
  </si>
  <si>
    <t>16:08:27.307</t>
  </si>
  <si>
    <t>16:12:21.577</t>
  </si>
  <si>
    <t>16:16:33.251</t>
  </si>
  <si>
    <t>16:20:16.656</t>
  </si>
  <si>
    <t>16:24:01.573</t>
  </si>
  <si>
    <t>16:26:38.973</t>
  </si>
  <si>
    <t>16:29:41.688</t>
  </si>
  <si>
    <t>16:32:40.948</t>
  </si>
  <si>
    <t>16:37:27.987</t>
  </si>
  <si>
    <t>16:41:42.621</t>
  </si>
  <si>
    <t>16:44:13.973</t>
  </si>
  <si>
    <t>15:55:15.139</t>
  </si>
  <si>
    <t>15:58:37.751</t>
  </si>
  <si>
    <t>16:01:36.050</t>
  </si>
  <si>
    <t>16:04:27.053</t>
  </si>
  <si>
    <t>16:08:37.180</t>
  </si>
  <si>
    <t>16:12:52.336</t>
  </si>
  <si>
    <t>16:15:30.335</t>
  </si>
  <si>
    <t>16:19:09.447</t>
  </si>
  <si>
    <t>16:22:20.979</t>
  </si>
  <si>
    <t>16:25:36.572</t>
  </si>
  <si>
    <t>16:28:02.631</t>
  </si>
  <si>
    <t>15:54:22.013</t>
  </si>
  <si>
    <t>15:57:37.255</t>
  </si>
  <si>
    <t>16:01:18.875</t>
  </si>
  <si>
    <t>16:05:59.983</t>
  </si>
  <si>
    <t>16:09:42.515</t>
  </si>
  <si>
    <t>16:13:10.433</t>
  </si>
  <si>
    <t>16:17:01.350</t>
  </si>
  <si>
    <t>16:20:28.972</t>
  </si>
  <si>
    <t>15:03:42.632</t>
  </si>
  <si>
    <t>15:03:42.639</t>
  </si>
  <si>
    <t>15:04:22.854</t>
  </si>
  <si>
    <t>15:06:45.527</t>
  </si>
  <si>
    <t>15:10:42.426</t>
  </si>
  <si>
    <t>15:10:42.429</t>
  </si>
  <si>
    <t>16:46:40.382</t>
  </si>
  <si>
    <t>16:49:33.281</t>
  </si>
  <si>
    <t>16:52:42.370</t>
  </si>
  <si>
    <t>16:57:35.476</t>
  </si>
  <si>
    <t>16:59:36.141</t>
  </si>
  <si>
    <t>17:02:11.366</t>
  </si>
  <si>
    <t>17:04:11.430</t>
  </si>
  <si>
    <t>17:06:26.436</t>
  </si>
  <si>
    <t>17:06:26.439</t>
  </si>
  <si>
    <t>15:04:10.152</t>
  </si>
  <si>
    <t>15:06:50.881</t>
  </si>
  <si>
    <t>15:09:36.193</t>
  </si>
  <si>
    <t>15:13:27.673</t>
  </si>
  <si>
    <t>15:16:59.151</t>
  </si>
  <si>
    <t>15:22:58.870</t>
  </si>
  <si>
    <t>15:22:58.873</t>
  </si>
  <si>
    <t>15:49:17.343</t>
  </si>
  <si>
    <t>15:52:52.421</t>
  </si>
  <si>
    <t>15:55:30.108</t>
  </si>
  <si>
    <t>15:57:52.567</t>
  </si>
  <si>
    <t>15:59:13.034</t>
  </si>
  <si>
    <t>16:00:18.734</t>
  </si>
  <si>
    <t>16:03:02.271</t>
  </si>
  <si>
    <t>16:05:25.434</t>
  </si>
  <si>
    <t>16:07:37.300</t>
  </si>
  <si>
    <t>16:10:22.503</t>
  </si>
  <si>
    <t>16:11:22.196</t>
  </si>
  <si>
    <t>15:27:15.739</t>
  </si>
  <si>
    <t>15:31:27.968</t>
  </si>
  <si>
    <t>15:33:30.773</t>
  </si>
  <si>
    <t>15:36:22.031</t>
  </si>
  <si>
    <t>15:39:14.252</t>
  </si>
  <si>
    <t>15:43:24.946</t>
  </si>
  <si>
    <t>15:46:12.219</t>
  </si>
  <si>
    <t>15:48:01.202</t>
  </si>
  <si>
    <t>15:41:43.128</t>
  </si>
  <si>
    <t>15:45:16.287</t>
  </si>
  <si>
    <t>15:49:43.091</t>
  </si>
  <si>
    <t>15:53:43.646</t>
  </si>
  <si>
    <t>15:54:07.877</t>
  </si>
  <si>
    <t>15:03:20.338</t>
  </si>
  <si>
    <t>15:06:54.139</t>
  </si>
  <si>
    <t>15:09:08.334</t>
  </si>
  <si>
    <t>15:11:06.377</t>
  </si>
  <si>
    <t>15:14:48.851</t>
  </si>
  <si>
    <t>15:22:04.958</t>
  </si>
  <si>
    <t>14:53:45.380</t>
  </si>
  <si>
    <t>14:59:45.802</t>
  </si>
  <si>
    <t>15:04:52.141</t>
  </si>
  <si>
    <t>15:10:53.348</t>
  </si>
  <si>
    <t>15:19:03.070</t>
  </si>
  <si>
    <t>15:27:04.895</t>
  </si>
  <si>
    <t>15:32:58.880</t>
  </si>
  <si>
    <t>15:40:06.795</t>
  </si>
  <si>
    <t>15:43:28.720</t>
  </si>
  <si>
    <t>15:22:11.115</t>
  </si>
  <si>
    <t>15:23:51.156</t>
  </si>
  <si>
    <t>15:26:26.771</t>
  </si>
  <si>
    <t>15:29:07.278</t>
  </si>
  <si>
    <t>15:30:50.876</t>
  </si>
  <si>
    <t>15:35:22.460</t>
  </si>
  <si>
    <t>15:48:24.729</t>
  </si>
  <si>
    <t>15:51:36.519</t>
  </si>
  <si>
    <t>15:52:22.356</t>
  </si>
  <si>
    <t>15:53:27.361</t>
  </si>
  <si>
    <t>14:57:49.153</t>
  </si>
  <si>
    <t>15:00:02.335</t>
  </si>
  <si>
    <t>15:01:59.825</t>
  </si>
  <si>
    <t>15:04:15.192</t>
  </si>
  <si>
    <t>15:04:25.788</t>
  </si>
  <si>
    <t>15:05:24.859</t>
  </si>
  <si>
    <t>15:09:15.709</t>
  </si>
  <si>
    <t>15:12:58.580</t>
  </si>
  <si>
    <t>15:13:21.027</t>
  </si>
  <si>
    <t>15:14:44.760</t>
  </si>
  <si>
    <t>15:17:35.844</t>
  </si>
  <si>
    <t>15:21:07.953</t>
  </si>
  <si>
    <t>15:23:56.436</t>
  </si>
  <si>
    <t>15:25:04.432</t>
  </si>
  <si>
    <t>15:26:33.459</t>
  </si>
  <si>
    <t>15:29:52.796</t>
  </si>
  <si>
    <t>15:31:38.702</t>
  </si>
  <si>
    <t>15:32:08.044</t>
  </si>
  <si>
    <t>15:33:04.059</t>
  </si>
  <si>
    <t>15:35:38.738</t>
  </si>
  <si>
    <t>15:36:54.356</t>
  </si>
  <si>
    <t>15:37:41.473</t>
  </si>
  <si>
    <t>15:38:03.719</t>
  </si>
  <si>
    <t>15:38:19.556</t>
  </si>
  <si>
    <t>15:40:48.694</t>
  </si>
  <si>
    <t>16:00:54.511</t>
  </si>
  <si>
    <t>16:00:54.514</t>
  </si>
  <si>
    <t>16:28:05.381</t>
  </si>
  <si>
    <t>16:31:11.560</t>
  </si>
  <si>
    <t>16:31:27.294</t>
  </si>
  <si>
    <t>16:33:11.228</t>
  </si>
  <si>
    <t>16:37:29.646</t>
  </si>
  <si>
    <t>16:37:52.924</t>
  </si>
  <si>
    <t>16:40:43.606</t>
  </si>
  <si>
    <t>16:43:24.924</t>
  </si>
  <si>
    <t>16:47:27.069</t>
  </si>
  <si>
    <t>16:52:37.603</t>
  </si>
  <si>
    <t>16:56:47.287</t>
  </si>
  <si>
    <t>17:00:40.908</t>
  </si>
  <si>
    <t>17:01:27.938</t>
  </si>
  <si>
    <t>14:14:16.150</t>
  </si>
  <si>
    <t>14:17:20.350</t>
  </si>
  <si>
    <t>14:20:04.415</t>
  </si>
  <si>
    <t>14:22:57.722</t>
  </si>
  <si>
    <t>14:26:23.560</t>
  </si>
  <si>
    <t>14:30:07.057</t>
  </si>
  <si>
    <t>14:33:44.625</t>
  </si>
  <si>
    <t>14:40:58.175</t>
  </si>
  <si>
    <t>14:45:57.823</t>
  </si>
  <si>
    <t>14:50:19.392</t>
  </si>
  <si>
    <t>14:53:31.128</t>
  </si>
  <si>
    <t>14:56:20.562</t>
  </si>
  <si>
    <t>14:58:28.848</t>
  </si>
  <si>
    <t>15:03:08.481</t>
  </si>
  <si>
    <t>15:13:37.079</t>
  </si>
  <si>
    <t>15:22:37.565</t>
  </si>
  <si>
    <t>16:50:34.650</t>
  </si>
  <si>
    <t>16:53:50.872</t>
  </si>
  <si>
    <t>16:55:21.527</t>
  </si>
  <si>
    <t>16:58:35.839</t>
  </si>
  <si>
    <t>17:02:12.374</t>
  </si>
  <si>
    <t>17:04:29.769</t>
  </si>
  <si>
    <t>17:06:46.457</t>
  </si>
  <si>
    <t>17:09:18.376</t>
  </si>
  <si>
    <t>17:12:38.100</t>
  </si>
  <si>
    <t>17:16:54.856</t>
  </si>
  <si>
    <t>17:17:48.165</t>
  </si>
  <si>
    <t>17:19:43.901</t>
  </si>
  <si>
    <t>17:22:19.409</t>
  </si>
  <si>
    <t>14:22:36.481</t>
  </si>
  <si>
    <t>14:29:57.458</t>
  </si>
  <si>
    <t>14:34:10.709</t>
  </si>
  <si>
    <t>14:38:36.438</t>
  </si>
  <si>
    <t>14:42:55.001</t>
  </si>
  <si>
    <t>14:45:28.411</t>
  </si>
  <si>
    <t>14:14:40.795</t>
  </si>
  <si>
    <t>14:16:55.608</t>
  </si>
  <si>
    <t>14:19:59.397</t>
  </si>
  <si>
    <t>14:22:56.009</t>
  </si>
  <si>
    <t>14:27:09.338</t>
  </si>
  <si>
    <t>14:30:28.451</t>
  </si>
  <si>
    <t>14:32:00.853</t>
  </si>
  <si>
    <t>14:21:08.325</t>
  </si>
  <si>
    <t>14:23:45.834</t>
  </si>
  <si>
    <t>14:26:16.258</t>
  </si>
  <si>
    <t>14:29:12.981</t>
  </si>
  <si>
    <t>14:31:44.433</t>
  </si>
  <si>
    <t>14:37:29.047</t>
  </si>
  <si>
    <t>14:40:41.967</t>
  </si>
  <si>
    <t>14:43:44.570</t>
  </si>
  <si>
    <t>14:47:24.483</t>
  </si>
  <si>
    <t>14:51:02.497</t>
  </si>
  <si>
    <t>14:53:33.774</t>
  </si>
  <si>
    <t>14:34:23.248</t>
  </si>
  <si>
    <t>14:40:05.573</t>
  </si>
  <si>
    <t>14:51:09.958</t>
  </si>
  <si>
    <t>14:54:39.372</t>
  </si>
  <si>
    <t>14:58:39.541</t>
  </si>
  <si>
    <t>15:04:15.175</t>
  </si>
  <si>
    <t>15:09:14.320</t>
  </si>
  <si>
    <t>15:13:51.057</t>
  </si>
  <si>
    <t>15:20:21.395</t>
  </si>
  <si>
    <t>14:20:39.906</t>
  </si>
  <si>
    <t>14:22:58.725</t>
  </si>
  <si>
    <t>14:23:39.892</t>
  </si>
  <si>
    <t>14:27:58.112</t>
  </si>
  <si>
    <t>14:37:07.937</t>
  </si>
  <si>
    <t>14:42:54.667</t>
  </si>
  <si>
    <t>14:49:00.795</t>
  </si>
  <si>
    <t>15:41:36.914</t>
  </si>
  <si>
    <t>15:41:05.915</t>
  </si>
  <si>
    <t>15:43:22.538</t>
  </si>
  <si>
    <t>14:21:06.367</t>
  </si>
  <si>
    <t>14:22:58.819</t>
  </si>
  <si>
    <t>14:23:51.497</t>
  </si>
  <si>
    <t>14:25:07.164</t>
  </si>
  <si>
    <t>14:27:53.366</t>
  </si>
  <si>
    <t>14:31:14.405</t>
  </si>
  <si>
    <t>14:31:47.408</t>
  </si>
  <si>
    <t>14:35:38.214</t>
  </si>
  <si>
    <t>14:38:44.179</t>
  </si>
  <si>
    <t>14:40:45.035</t>
  </si>
  <si>
    <t>14:41:19.306</t>
  </si>
  <si>
    <t>14:41:19.309</t>
  </si>
  <si>
    <t>14:43:09.094</t>
  </si>
  <si>
    <t>14:46:22.899</t>
  </si>
  <si>
    <t>14:47:46.469</t>
  </si>
  <si>
    <t>14:50:28.467</t>
  </si>
  <si>
    <t>14:52:54.140</t>
  </si>
  <si>
    <t>14:58:29.878</t>
  </si>
  <si>
    <t>15:01:30.305</t>
  </si>
  <si>
    <t>15:02:53.909</t>
  </si>
  <si>
    <t>15:04:06.630</t>
  </si>
  <si>
    <t>15:07:47.070</t>
  </si>
  <si>
    <t>15:10:33.586</t>
  </si>
  <si>
    <t>15:13:32.209</t>
  </si>
  <si>
    <t>15:14:09.793</t>
  </si>
  <si>
    <t>15:16:39.602</t>
  </si>
  <si>
    <t>15:18:33.196</t>
  </si>
  <si>
    <t>15:04:56.808</t>
  </si>
  <si>
    <t>15:08:53.692</t>
  </si>
  <si>
    <t>15:11:00.642</t>
  </si>
  <si>
    <t>15:15:09.021</t>
  </si>
  <si>
    <t>15:16:07.535</t>
  </si>
  <si>
    <t>15:16:51.224</t>
  </si>
  <si>
    <t>15:20:16.099</t>
  </si>
  <si>
    <t>15:20:16.102</t>
  </si>
  <si>
    <t>14:45:53.780</t>
  </si>
  <si>
    <t>14:46:26.956</t>
  </si>
  <si>
    <t>14:15:14.763</t>
  </si>
  <si>
    <t>14:18:42.111</t>
  </si>
  <si>
    <t>14:22:25.763</t>
  </si>
  <si>
    <t>14:25:50.227</t>
  </si>
  <si>
    <t>14:29:04.608</t>
  </si>
  <si>
    <t>14:31:40.128</t>
  </si>
  <si>
    <t>14:35:53.171</t>
  </si>
  <si>
    <t>14:38:49.040</t>
  </si>
  <si>
    <t>14:42:45.561</t>
  </si>
  <si>
    <t>14:42:45.564</t>
  </si>
  <si>
    <t>14:21:37.576</t>
  </si>
  <si>
    <t>14:24:30.789</t>
  </si>
  <si>
    <t>14:27:54.316</t>
  </si>
  <si>
    <t>14:30:18.748</t>
  </si>
  <si>
    <t>14:34:04.337</t>
  </si>
  <si>
    <t>14:37:57.257</t>
  </si>
  <si>
    <t>14:40:18.233</t>
  </si>
  <si>
    <t>14:42:29.500</t>
  </si>
  <si>
    <t>14:44:51.902</t>
  </si>
  <si>
    <t>14:48:21.897</t>
  </si>
  <si>
    <t>14:48:49.814</t>
  </si>
  <si>
    <t>14:49:53.116</t>
  </si>
  <si>
    <t>14:52:10.781</t>
  </si>
  <si>
    <t>14:58:50.255</t>
  </si>
  <si>
    <t>14:59:25.079</t>
  </si>
  <si>
    <t>14:13:42.166</t>
  </si>
  <si>
    <t>14:16:45.326</t>
  </si>
  <si>
    <t>14:19:44.471</t>
  </si>
  <si>
    <t>14:22:27.486</t>
  </si>
  <si>
    <t>14:25:07.683</t>
  </si>
  <si>
    <t>14:31:21.988</t>
  </si>
  <si>
    <t>14:34:15.963</t>
  </si>
  <si>
    <t>14:36:40.524</t>
  </si>
  <si>
    <t>14:39:31.456</t>
  </si>
  <si>
    <t>14:41:02.458</t>
  </si>
  <si>
    <t>14:44:29.902</t>
  </si>
  <si>
    <t>14:49:35.182</t>
  </si>
  <si>
    <t>14:51:31.387</t>
  </si>
  <si>
    <t>14:58:20.061</t>
  </si>
  <si>
    <t>15:19:07.753</t>
  </si>
  <si>
    <t>15:22:22.171</t>
  </si>
  <si>
    <t>15:24:57.436</t>
  </si>
  <si>
    <t>15:27:52.545</t>
  </si>
  <si>
    <t>15:31:09.499</t>
  </si>
  <si>
    <t>15:35:05.215</t>
  </si>
  <si>
    <t>15:39:10.814</t>
  </si>
  <si>
    <t>15:42:49.649</t>
  </si>
  <si>
    <t>15:44:50.077</t>
  </si>
  <si>
    <t>15:49:09.643</t>
  </si>
  <si>
    <t>15:50:27.387</t>
  </si>
  <si>
    <t>15:52:07.985</t>
  </si>
  <si>
    <t>15:53:54.318</t>
  </si>
  <si>
    <t>15:53:54.322</t>
  </si>
  <si>
    <t>16:01:37.196</t>
  </si>
  <si>
    <t>16:03:32.408</t>
  </si>
  <si>
    <t>16:06:06.209</t>
  </si>
  <si>
    <t>16:08:37.267</t>
  </si>
  <si>
    <t>16:09:27.002</t>
  </si>
  <si>
    <t>16:12:56.886</t>
  </si>
  <si>
    <t>16:16:52.592</t>
  </si>
  <si>
    <t>16:20:00.521</t>
  </si>
  <si>
    <t>16:24:32.743</t>
  </si>
  <si>
    <t>16:28:34.066</t>
  </si>
  <si>
    <t>16:30:37.739</t>
  </si>
  <si>
    <t>Count</t>
  </si>
  <si>
    <t>Count total intentos</t>
  </si>
  <si>
    <t>Media planificados</t>
  </si>
  <si>
    <t>Stdev planificados</t>
  </si>
  <si>
    <t>Media ejecutados</t>
  </si>
  <si>
    <t>Stdev ejecutados</t>
  </si>
  <si>
    <t>Media errores</t>
  </si>
  <si>
    <t>Stdev errores</t>
  </si>
  <si>
    <t>Media dormir planificado</t>
  </si>
  <si>
    <t>Stdev dorm plan</t>
  </si>
  <si>
    <t>Media correctos dormir</t>
  </si>
  <si>
    <t>Stdev correctos dormir</t>
  </si>
  <si>
    <t>Media errores dormir</t>
  </si>
  <si>
    <t>Stdev errores dormir</t>
  </si>
  <si>
    <t>Media ubi planificado</t>
  </si>
  <si>
    <t>Stdev ubi planificado</t>
  </si>
  <si>
    <t>Media correctos ubi</t>
  </si>
  <si>
    <t>Stdev correctos ubi</t>
  </si>
  <si>
    <t>Media errores ubi</t>
  </si>
  <si>
    <t>Stdev errores ubi</t>
  </si>
  <si>
    <t>Media paradas posibles</t>
  </si>
  <si>
    <t>Stdev paradas posibles</t>
  </si>
  <si>
    <t>Media paradas realizadas</t>
  </si>
  <si>
    <t>Stdev paradas realizadas</t>
  </si>
  <si>
    <t>Media error parada tiempo exceido</t>
  </si>
  <si>
    <t>Stdev errores parada tiempo excedido</t>
  </si>
  <si>
    <t>Media errores tiempo excedido</t>
  </si>
  <si>
    <t>Stdev errores tiempo excedido</t>
  </si>
  <si>
    <t>Media duracion</t>
  </si>
  <si>
    <t>Stdev duracion</t>
  </si>
  <si>
    <t>Num completados</t>
  </si>
  <si>
    <t>Num reglas planificacion cumplidas</t>
  </si>
  <si>
    <t>Media % reglas respetadas en ejecucion</t>
  </si>
  <si>
    <t>Stdev % reglas respetadas en ejecucion</t>
  </si>
  <si>
    <t>Completados</t>
  </si>
  <si>
    <t>Num reglas ej 100% cumplidas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</si>
</sst>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4F213-5657-4ECE-BA56-7F7F72F67C05}" name="dataIntentos" displayName="dataIntentos" ref="A1:W676" totalsRowShown="0" headerRowDxfId="2" headerRowBorderDxfId="1" tableBorderDxfId="0">
  <autoFilter ref="A1:W676" xr:uid="{3B04F213-5657-4ECE-BA56-7F7F72F67C05}"/>
  <tableColumns count="23">
    <tableColumn id="1" xr3:uid="{7477C375-A4E8-4348-A5D0-FB5B75CC63B3}" name="ID"/>
    <tableColumn id="2" xr3:uid="{FC934C79-7E34-48F8-95AE-42C94BDB698F}" name="Sesion"/>
    <tableColumn id="3" xr3:uid="{658296AC-68B8-4B65-AB6D-129968EB57B3}" name="Nivel"/>
    <tableColumn id="4" xr3:uid="{4BB531A9-1A87-4B9B-9454-666267E9542D}" name="Intento"/>
    <tableColumn id="5" xr3:uid="{092C91F6-28D2-4591-A175-E4633A8991A8}" name="Tiempo inicio"/>
    <tableColumn id="6" xr3:uid="{65D7A588-785C-4F93-962E-5CB8C79C3431}" name="Tiempo final"/>
    <tableColumn id="7" xr3:uid="{3565D340-953D-422B-A25F-C18FBF96FEDC}" name="Tiempo duracion"/>
    <tableColumn id="8" xr3:uid="{9267E1DA-2C47-40AD-B778-6E48BA09E87C}" name="Completado"/>
    <tableColumn id="9" xr3:uid="{5F5B6FD7-3D7A-4CEF-A0D9-4EE816E257DA}" name="Reglas planificacion cumplidas"/>
    <tableColumn id="10" xr3:uid="{21B16AB5-7952-4D85-A90E-AFBD06A6522C}" name="%Reglas respetadas ejecucion"/>
    <tableColumn id="11" xr3:uid="{32A9BBE3-7390-475A-8180-7F012D8CA88F}" name="Pasos planificados"/>
    <tableColumn id="12" xr3:uid="{875679E9-0D07-4414-BA3B-132C110A9D78}" name="Pasos ejecutados"/>
    <tableColumn id="13" xr3:uid="{C315EEB5-D2DD-412B-8147-F4C3FECC0EF7}" name="Errores ejecucion"/>
    <tableColumn id="14" xr3:uid="{D6EC625F-CE38-40F8-B604-F35CA7480F4C}" name="Num dormir planificado"/>
    <tableColumn id="15" xr3:uid="{310C7E24-5B3D-492D-90C6-DEFFD50C257C}" name="Correctos dormir"/>
    <tableColumn id="16" xr3:uid="{63B63CD5-7CBD-44F0-A2C9-473AFD5D9A5C}" name="Errores dormir"/>
    <tableColumn id="17" xr3:uid="{DF7046EB-4FBD-4587-A82A-F7E9B935F228}" name="Num ubicacion planificado"/>
    <tableColumn id="18" xr3:uid="{856F184A-BE6D-4DEA-950F-DA83DB1B6836}" name="Correctos ubicacion"/>
    <tableColumn id="19" xr3:uid="{AF14B1B2-B272-48EC-8306-F0E3DDF01190}" name="Errores ubicacion"/>
    <tableColumn id="20" xr3:uid="{FD432004-647C-49E1-B577-BF574ADC9363}" name="Paradas posibles"/>
    <tableColumn id="21" xr3:uid="{6D06C2F0-2A29-4CDF-A462-A5C117401FC0}" name="Paradas realizadas"/>
    <tableColumn id="22" xr3:uid="{13A24FDF-7B4E-4FE5-BC0F-31CC73C912B0}" name="Errores parada por tiempo excedido"/>
    <tableColumn id="23" xr3:uid="{1C7D8C8C-535B-47DC-9F0A-D5097D084106}" name="Num errores por tiempo excedi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6"/>
  <sheetViews>
    <sheetView workbookViewId="0">
      <selection activeCell="B4" sqref="B4"/>
    </sheetView>
  </sheetViews>
  <sheetFormatPr baseColWidth="10" defaultColWidth="8.88671875" defaultRowHeight="14.4" x14ac:dyDescent="0.3"/>
  <cols>
    <col min="4" max="4" width="9.109375" customWidth="1"/>
    <col min="5" max="5" width="14.109375" customWidth="1"/>
    <col min="6" max="6" width="13.33203125" customWidth="1"/>
    <col min="7" max="7" width="17.109375" customWidth="1"/>
    <col min="8" max="8" width="13.21875" customWidth="1"/>
    <col min="9" max="9" width="28.33203125" customWidth="1"/>
    <col min="10" max="10" width="27.77734375" customWidth="1"/>
    <col min="11" max="11" width="18.21875" customWidth="1"/>
    <col min="12" max="13" width="17.33203125" customWidth="1"/>
    <col min="14" max="14" width="22.88671875" customWidth="1"/>
    <col min="15" max="15" width="17" customWidth="1"/>
    <col min="16" max="16" width="14.88671875" customWidth="1"/>
    <col min="17" max="17" width="25.33203125" customWidth="1"/>
    <col min="18" max="18" width="19.44140625" customWidth="1"/>
    <col min="19" max="19" width="17.33203125" customWidth="1"/>
    <col min="20" max="20" width="16.77734375" customWidth="1"/>
    <col min="21" max="21" width="18.21875" customWidth="1"/>
    <col min="22" max="22" width="32.88671875" customWidth="1"/>
    <col min="23" max="23" width="31.109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10</v>
      </c>
      <c r="B2">
        <v>1</v>
      </c>
      <c r="C2">
        <v>1</v>
      </c>
      <c r="D2">
        <v>1</v>
      </c>
      <c r="E2" t="s">
        <v>23</v>
      </c>
      <c r="F2" t="s">
        <v>24</v>
      </c>
      <c r="G2">
        <v>168.66</v>
      </c>
      <c r="H2" t="b">
        <v>0</v>
      </c>
      <c r="I2" t="b">
        <v>0</v>
      </c>
      <c r="J2">
        <v>100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</row>
    <row r="3" spans="1:23" x14ac:dyDescent="0.3">
      <c r="A3">
        <v>10</v>
      </c>
      <c r="B3">
        <v>1</v>
      </c>
      <c r="C3">
        <v>1</v>
      </c>
      <c r="D3">
        <v>2</v>
      </c>
      <c r="E3" t="s">
        <v>24</v>
      </c>
      <c r="F3" t="s">
        <v>25</v>
      </c>
      <c r="G3">
        <v>81.253</v>
      </c>
      <c r="H3" t="b">
        <v>0</v>
      </c>
      <c r="I3" t="b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</row>
    <row r="4" spans="1:23" x14ac:dyDescent="0.3">
      <c r="A4">
        <v>10</v>
      </c>
      <c r="B4" s="3">
        <v>1</v>
      </c>
      <c r="C4">
        <v>1</v>
      </c>
      <c r="D4">
        <v>3</v>
      </c>
      <c r="E4" t="s">
        <v>25</v>
      </c>
      <c r="F4" t="s">
        <v>26</v>
      </c>
      <c r="G4">
        <v>143.76300000000001</v>
      </c>
      <c r="H4" t="b">
        <v>0</v>
      </c>
      <c r="I4" t="b">
        <v>0</v>
      </c>
      <c r="J4">
        <v>100</v>
      </c>
      <c r="K4">
        <v>2</v>
      </c>
      <c r="L4">
        <v>2</v>
      </c>
      <c r="M4">
        <v>0</v>
      </c>
      <c r="N4">
        <v>1</v>
      </c>
      <c r="O4">
        <v>1</v>
      </c>
      <c r="P4">
        <v>0</v>
      </c>
      <c r="Q4">
        <v>1</v>
      </c>
      <c r="R4">
        <v>1</v>
      </c>
      <c r="S4">
        <v>0</v>
      </c>
      <c r="T4">
        <v>2</v>
      </c>
      <c r="U4">
        <v>1</v>
      </c>
      <c r="V4">
        <v>0</v>
      </c>
      <c r="W4">
        <v>0</v>
      </c>
    </row>
    <row r="5" spans="1:23" x14ac:dyDescent="0.3">
      <c r="A5">
        <v>10</v>
      </c>
      <c r="B5">
        <v>1</v>
      </c>
      <c r="C5">
        <v>1</v>
      </c>
      <c r="D5">
        <v>4</v>
      </c>
      <c r="E5" t="s">
        <v>26</v>
      </c>
      <c r="F5" t="s">
        <v>27</v>
      </c>
      <c r="G5">
        <v>173.14400000000001</v>
      </c>
      <c r="H5" t="b">
        <v>0</v>
      </c>
      <c r="I5" t="b">
        <v>0</v>
      </c>
      <c r="J5">
        <v>75</v>
      </c>
      <c r="K5">
        <v>5</v>
      </c>
      <c r="L5">
        <v>4</v>
      </c>
      <c r="M5">
        <v>1</v>
      </c>
      <c r="N5">
        <v>4</v>
      </c>
      <c r="O5">
        <v>4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</row>
    <row r="6" spans="1:23" x14ac:dyDescent="0.3">
      <c r="A6">
        <v>10</v>
      </c>
      <c r="B6">
        <v>1</v>
      </c>
      <c r="C6">
        <v>1</v>
      </c>
      <c r="D6">
        <v>5</v>
      </c>
      <c r="E6" t="s">
        <v>27</v>
      </c>
      <c r="F6" t="s">
        <v>28</v>
      </c>
      <c r="G6">
        <v>180.434</v>
      </c>
      <c r="H6" t="b">
        <v>0</v>
      </c>
      <c r="I6" t="b">
        <v>0</v>
      </c>
      <c r="J6">
        <v>100</v>
      </c>
      <c r="K6">
        <v>2</v>
      </c>
      <c r="L6">
        <v>2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2</v>
      </c>
      <c r="U6">
        <v>1</v>
      </c>
      <c r="V6">
        <v>0</v>
      </c>
      <c r="W6">
        <v>0</v>
      </c>
    </row>
    <row r="7" spans="1:23" x14ac:dyDescent="0.3">
      <c r="A7">
        <v>10</v>
      </c>
      <c r="B7">
        <v>1</v>
      </c>
      <c r="C7">
        <v>1</v>
      </c>
      <c r="D7">
        <v>6</v>
      </c>
      <c r="E7" t="s">
        <v>28</v>
      </c>
      <c r="F7" t="s">
        <v>29</v>
      </c>
      <c r="G7">
        <v>125.782</v>
      </c>
      <c r="H7" t="b">
        <v>0</v>
      </c>
      <c r="I7" t="b">
        <v>0</v>
      </c>
      <c r="J7">
        <v>75</v>
      </c>
      <c r="K7">
        <v>2</v>
      </c>
      <c r="L7">
        <v>1</v>
      </c>
      <c r="M7">
        <v>1</v>
      </c>
      <c r="N7">
        <v>2</v>
      </c>
      <c r="O7">
        <v>1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</row>
    <row r="8" spans="1:23" x14ac:dyDescent="0.3">
      <c r="A8">
        <v>10</v>
      </c>
      <c r="B8">
        <v>1</v>
      </c>
      <c r="C8">
        <v>1</v>
      </c>
      <c r="D8">
        <v>7</v>
      </c>
      <c r="E8" t="s">
        <v>29</v>
      </c>
      <c r="F8" t="s">
        <v>30</v>
      </c>
      <c r="G8">
        <v>128.447</v>
      </c>
      <c r="H8" t="b">
        <v>0</v>
      </c>
      <c r="I8" t="b">
        <v>1</v>
      </c>
      <c r="J8">
        <v>75</v>
      </c>
      <c r="K8">
        <v>3</v>
      </c>
      <c r="L8">
        <v>2</v>
      </c>
      <c r="M8">
        <v>1</v>
      </c>
      <c r="N8">
        <v>2</v>
      </c>
      <c r="O8">
        <v>2</v>
      </c>
      <c r="P8">
        <v>0</v>
      </c>
      <c r="Q8">
        <v>1</v>
      </c>
      <c r="R8">
        <v>0</v>
      </c>
      <c r="S8">
        <v>1</v>
      </c>
      <c r="T8">
        <v>4</v>
      </c>
      <c r="U8">
        <v>3</v>
      </c>
      <c r="V8">
        <v>0</v>
      </c>
      <c r="W8">
        <v>0</v>
      </c>
    </row>
    <row r="9" spans="1:23" x14ac:dyDescent="0.3">
      <c r="A9">
        <v>10</v>
      </c>
      <c r="B9">
        <v>3</v>
      </c>
      <c r="C9">
        <v>1</v>
      </c>
      <c r="D9">
        <v>1</v>
      </c>
      <c r="E9" t="s">
        <v>31</v>
      </c>
      <c r="F9" t="s">
        <v>32</v>
      </c>
      <c r="G9">
        <v>198.11</v>
      </c>
      <c r="H9" t="b">
        <v>1</v>
      </c>
      <c r="I9" t="b">
        <v>1</v>
      </c>
      <c r="J9">
        <v>100</v>
      </c>
      <c r="K9">
        <v>4</v>
      </c>
      <c r="L9">
        <v>4</v>
      </c>
      <c r="M9">
        <v>0</v>
      </c>
      <c r="N9">
        <v>2</v>
      </c>
      <c r="O9">
        <v>2</v>
      </c>
      <c r="P9">
        <v>0</v>
      </c>
      <c r="Q9">
        <v>2</v>
      </c>
      <c r="R9">
        <v>2</v>
      </c>
      <c r="S9">
        <v>0</v>
      </c>
      <c r="T9">
        <v>4</v>
      </c>
      <c r="U9">
        <v>3</v>
      </c>
      <c r="V9">
        <v>0</v>
      </c>
      <c r="W9">
        <v>0</v>
      </c>
    </row>
    <row r="10" spans="1:23" x14ac:dyDescent="0.3">
      <c r="A10">
        <v>10</v>
      </c>
      <c r="B10">
        <v>3</v>
      </c>
      <c r="C10">
        <v>2</v>
      </c>
      <c r="D10">
        <v>1</v>
      </c>
      <c r="E10" t="s">
        <v>32</v>
      </c>
      <c r="F10" t="s">
        <v>33</v>
      </c>
      <c r="G10">
        <v>891.5</v>
      </c>
      <c r="H10" t="b">
        <v>0</v>
      </c>
      <c r="I10" t="b">
        <v>1</v>
      </c>
      <c r="J10">
        <v>75</v>
      </c>
      <c r="K10">
        <v>4</v>
      </c>
      <c r="L10">
        <v>4</v>
      </c>
      <c r="M10">
        <v>0</v>
      </c>
      <c r="N10">
        <v>2</v>
      </c>
      <c r="O10">
        <v>2</v>
      </c>
      <c r="P10">
        <v>0</v>
      </c>
      <c r="Q10">
        <v>2</v>
      </c>
      <c r="R10">
        <v>2</v>
      </c>
      <c r="S10">
        <v>0</v>
      </c>
      <c r="T10">
        <v>4</v>
      </c>
      <c r="U10">
        <v>2</v>
      </c>
      <c r="V10">
        <v>1</v>
      </c>
      <c r="W10">
        <v>1</v>
      </c>
    </row>
    <row r="11" spans="1:23" x14ac:dyDescent="0.3">
      <c r="A11">
        <v>10</v>
      </c>
      <c r="B11">
        <v>3</v>
      </c>
      <c r="C11">
        <v>3</v>
      </c>
      <c r="D11">
        <v>1</v>
      </c>
      <c r="E11" t="s">
        <v>33</v>
      </c>
      <c r="F11" t="s">
        <v>34</v>
      </c>
      <c r="G11">
        <v>117.79900000000001</v>
      </c>
      <c r="H11" t="b">
        <v>0</v>
      </c>
      <c r="I11" t="b">
        <v>1</v>
      </c>
      <c r="J11">
        <v>75</v>
      </c>
      <c r="K11">
        <v>1</v>
      </c>
      <c r="L11">
        <v>0</v>
      </c>
      <c r="M11">
        <v>1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3</v>
      </c>
      <c r="U11">
        <v>2</v>
      </c>
      <c r="V11">
        <v>0</v>
      </c>
      <c r="W11">
        <v>1</v>
      </c>
    </row>
    <row r="12" spans="1:23" x14ac:dyDescent="0.3">
      <c r="A12">
        <v>10</v>
      </c>
      <c r="B12">
        <v>3</v>
      </c>
      <c r="C12">
        <v>3</v>
      </c>
      <c r="D12">
        <v>2</v>
      </c>
      <c r="E12" t="s">
        <v>34</v>
      </c>
      <c r="F12" t="s">
        <v>35</v>
      </c>
      <c r="G12">
        <v>88.01</v>
      </c>
      <c r="H12" t="b">
        <v>0</v>
      </c>
      <c r="I12" t="b">
        <v>0</v>
      </c>
      <c r="J12">
        <v>100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1</v>
      </c>
      <c r="V12">
        <v>0</v>
      </c>
      <c r="W12">
        <v>0</v>
      </c>
    </row>
    <row r="13" spans="1:23" x14ac:dyDescent="0.3">
      <c r="A13">
        <v>10</v>
      </c>
      <c r="B13">
        <v>3</v>
      </c>
      <c r="C13">
        <v>3</v>
      </c>
      <c r="D13">
        <v>3</v>
      </c>
      <c r="E13" t="s">
        <v>35</v>
      </c>
      <c r="F13" t="s">
        <v>36</v>
      </c>
      <c r="G13">
        <v>92.123000000000005</v>
      </c>
      <c r="H13" t="b">
        <v>0</v>
      </c>
      <c r="I13" t="b">
        <v>1</v>
      </c>
      <c r="J13">
        <v>75</v>
      </c>
      <c r="K13">
        <v>4</v>
      </c>
      <c r="L13">
        <v>3</v>
      </c>
      <c r="M13">
        <v>1</v>
      </c>
      <c r="N13">
        <v>2</v>
      </c>
      <c r="O13">
        <v>2</v>
      </c>
      <c r="P13">
        <v>0</v>
      </c>
      <c r="Q13">
        <v>2</v>
      </c>
      <c r="R13">
        <v>1</v>
      </c>
      <c r="S13">
        <v>1</v>
      </c>
      <c r="T13">
        <v>4</v>
      </c>
      <c r="U13">
        <v>3</v>
      </c>
      <c r="V13">
        <v>0</v>
      </c>
      <c r="W13">
        <v>0</v>
      </c>
    </row>
    <row r="14" spans="1:23" x14ac:dyDescent="0.3">
      <c r="A14">
        <v>10</v>
      </c>
      <c r="B14">
        <v>3</v>
      </c>
      <c r="C14">
        <v>3</v>
      </c>
      <c r="D14">
        <v>4</v>
      </c>
      <c r="E14" t="s">
        <v>36</v>
      </c>
      <c r="F14" t="s">
        <v>37</v>
      </c>
      <c r="G14">
        <v>172.65799999999999</v>
      </c>
      <c r="H14" t="b">
        <v>1</v>
      </c>
      <c r="I14" t="b">
        <v>1</v>
      </c>
      <c r="J14">
        <v>100</v>
      </c>
      <c r="K14">
        <v>4</v>
      </c>
      <c r="L14">
        <v>4</v>
      </c>
      <c r="M14">
        <v>0</v>
      </c>
      <c r="N14">
        <v>2</v>
      </c>
      <c r="O14">
        <v>2</v>
      </c>
      <c r="P14">
        <v>0</v>
      </c>
      <c r="Q14">
        <v>2</v>
      </c>
      <c r="R14">
        <v>2</v>
      </c>
      <c r="S14">
        <v>0</v>
      </c>
      <c r="T14">
        <v>4</v>
      </c>
      <c r="U14">
        <v>3</v>
      </c>
      <c r="V14">
        <v>0</v>
      </c>
      <c r="W14">
        <v>0</v>
      </c>
    </row>
    <row r="15" spans="1:23" x14ac:dyDescent="0.3">
      <c r="A15">
        <v>10</v>
      </c>
      <c r="B15">
        <v>3</v>
      </c>
      <c r="C15">
        <v>1</v>
      </c>
      <c r="D15">
        <v>1</v>
      </c>
      <c r="E15" t="s">
        <v>37</v>
      </c>
      <c r="F15" t="s">
        <v>38</v>
      </c>
      <c r="G15">
        <v>28.571000000000002</v>
      </c>
      <c r="H15" t="b">
        <v>0</v>
      </c>
      <c r="I15" t="b">
        <v>0</v>
      </c>
      <c r="J15">
        <v>100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>
        <v>11</v>
      </c>
      <c r="B16">
        <v>1</v>
      </c>
      <c r="C16">
        <v>1</v>
      </c>
      <c r="D16">
        <v>1</v>
      </c>
      <c r="E16" t="s">
        <v>39</v>
      </c>
      <c r="F16" t="s">
        <v>40</v>
      </c>
      <c r="G16">
        <v>95.352000000000004</v>
      </c>
      <c r="H16" t="b">
        <v>0</v>
      </c>
      <c r="I16" t="b">
        <v>0</v>
      </c>
      <c r="J16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</row>
    <row r="17" spans="1:23" x14ac:dyDescent="0.3">
      <c r="A17">
        <v>11</v>
      </c>
      <c r="B17">
        <v>1</v>
      </c>
      <c r="C17">
        <v>1</v>
      </c>
      <c r="D17">
        <v>2</v>
      </c>
      <c r="E17" t="s">
        <v>40</v>
      </c>
      <c r="F17" t="s">
        <v>41</v>
      </c>
      <c r="G17">
        <v>158.76</v>
      </c>
      <c r="H17" t="b">
        <v>0</v>
      </c>
      <c r="I17" t="b">
        <v>0</v>
      </c>
      <c r="J17">
        <v>100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</row>
    <row r="18" spans="1:23" x14ac:dyDescent="0.3">
      <c r="A18">
        <v>11</v>
      </c>
      <c r="B18">
        <v>1</v>
      </c>
      <c r="C18">
        <v>1</v>
      </c>
      <c r="D18">
        <v>3</v>
      </c>
      <c r="E18" t="s">
        <v>41</v>
      </c>
      <c r="F18" t="s">
        <v>42</v>
      </c>
      <c r="G18">
        <v>110.42</v>
      </c>
      <c r="H18" t="b">
        <v>1</v>
      </c>
      <c r="I18" t="b">
        <v>1</v>
      </c>
      <c r="J18">
        <v>100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>
        <v>11</v>
      </c>
      <c r="B19">
        <v>1</v>
      </c>
      <c r="C19">
        <v>1</v>
      </c>
      <c r="D19">
        <v>4</v>
      </c>
      <c r="E19" t="s">
        <v>42</v>
      </c>
      <c r="F19" t="s">
        <v>43</v>
      </c>
      <c r="G19">
        <v>61.776000000000003</v>
      </c>
      <c r="H19" t="b">
        <v>0</v>
      </c>
      <c r="I19" t="b">
        <v>1</v>
      </c>
      <c r="J19">
        <v>75</v>
      </c>
      <c r="K19">
        <v>2</v>
      </c>
      <c r="L19">
        <v>1</v>
      </c>
      <c r="M19">
        <v>1</v>
      </c>
      <c r="N19">
        <v>2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</row>
    <row r="20" spans="1:23" x14ac:dyDescent="0.3">
      <c r="A20">
        <v>11</v>
      </c>
      <c r="B20">
        <v>1</v>
      </c>
      <c r="C20">
        <v>1</v>
      </c>
      <c r="D20">
        <v>5</v>
      </c>
      <c r="E20" t="s">
        <v>43</v>
      </c>
      <c r="F20" t="s">
        <v>44</v>
      </c>
      <c r="G20">
        <v>139.03399999999999</v>
      </c>
      <c r="H20" t="b">
        <v>0</v>
      </c>
      <c r="I20" t="b">
        <v>1</v>
      </c>
      <c r="J20">
        <v>75</v>
      </c>
      <c r="K20">
        <v>4</v>
      </c>
      <c r="L20">
        <v>3</v>
      </c>
      <c r="M20">
        <v>1</v>
      </c>
      <c r="N20">
        <v>2</v>
      </c>
      <c r="O20">
        <v>2</v>
      </c>
      <c r="P20">
        <v>0</v>
      </c>
      <c r="Q20">
        <v>2</v>
      </c>
      <c r="R20">
        <v>1</v>
      </c>
      <c r="S20">
        <v>1</v>
      </c>
      <c r="T20">
        <v>4</v>
      </c>
      <c r="U20">
        <v>3</v>
      </c>
      <c r="V20">
        <v>0</v>
      </c>
      <c r="W20">
        <v>0</v>
      </c>
    </row>
    <row r="21" spans="1:23" x14ac:dyDescent="0.3">
      <c r="A21">
        <v>11</v>
      </c>
      <c r="B21">
        <v>1</v>
      </c>
      <c r="C21">
        <v>1</v>
      </c>
      <c r="D21">
        <v>6</v>
      </c>
      <c r="E21" t="s">
        <v>44</v>
      </c>
      <c r="F21" t="s">
        <v>45</v>
      </c>
      <c r="G21">
        <v>133.601</v>
      </c>
      <c r="H21" t="b">
        <v>1</v>
      </c>
      <c r="I21" t="b">
        <v>1</v>
      </c>
      <c r="J21">
        <v>100</v>
      </c>
      <c r="K21">
        <v>4</v>
      </c>
      <c r="L21">
        <v>4</v>
      </c>
      <c r="M21">
        <v>0</v>
      </c>
      <c r="N21">
        <v>2</v>
      </c>
      <c r="O21">
        <v>2</v>
      </c>
      <c r="P21">
        <v>0</v>
      </c>
      <c r="Q21">
        <v>2</v>
      </c>
      <c r="R21">
        <v>2</v>
      </c>
      <c r="S21">
        <v>0</v>
      </c>
      <c r="T21">
        <v>4</v>
      </c>
      <c r="U21">
        <v>3</v>
      </c>
      <c r="V21">
        <v>0</v>
      </c>
      <c r="W21">
        <v>0</v>
      </c>
    </row>
    <row r="22" spans="1:23" x14ac:dyDescent="0.3">
      <c r="A22">
        <v>11</v>
      </c>
      <c r="B22">
        <v>1</v>
      </c>
      <c r="C22">
        <v>2</v>
      </c>
      <c r="D22">
        <v>1</v>
      </c>
      <c r="E22" t="s">
        <v>45</v>
      </c>
      <c r="F22" t="s">
        <v>46</v>
      </c>
      <c r="G22">
        <v>159.77099999999999</v>
      </c>
      <c r="H22" t="b">
        <v>0</v>
      </c>
      <c r="I22" t="b">
        <v>1</v>
      </c>
      <c r="J22">
        <v>75</v>
      </c>
      <c r="K22">
        <v>3</v>
      </c>
      <c r="L22">
        <v>2</v>
      </c>
      <c r="M22">
        <v>1</v>
      </c>
      <c r="N22">
        <v>2</v>
      </c>
      <c r="O22">
        <v>2</v>
      </c>
      <c r="P22">
        <v>0</v>
      </c>
      <c r="Q22">
        <v>1</v>
      </c>
      <c r="R22">
        <v>0</v>
      </c>
      <c r="S22">
        <v>1</v>
      </c>
      <c r="T22">
        <v>3</v>
      </c>
      <c r="U22">
        <v>2</v>
      </c>
      <c r="V22">
        <v>0</v>
      </c>
      <c r="W22">
        <v>0</v>
      </c>
    </row>
    <row r="23" spans="1:23" x14ac:dyDescent="0.3">
      <c r="A23">
        <v>11</v>
      </c>
      <c r="B23">
        <v>1</v>
      </c>
      <c r="C23">
        <v>2</v>
      </c>
      <c r="D23">
        <v>2</v>
      </c>
      <c r="E23" t="s">
        <v>46</v>
      </c>
      <c r="F23" t="s">
        <v>47</v>
      </c>
      <c r="G23">
        <v>119.001</v>
      </c>
      <c r="H23" t="b">
        <v>1</v>
      </c>
      <c r="I23" t="b">
        <v>1</v>
      </c>
      <c r="J23">
        <v>100</v>
      </c>
      <c r="K23">
        <v>3</v>
      </c>
      <c r="L23">
        <v>3</v>
      </c>
      <c r="M23">
        <v>0</v>
      </c>
      <c r="N23">
        <v>2</v>
      </c>
      <c r="O23">
        <v>2</v>
      </c>
      <c r="P23">
        <v>0</v>
      </c>
      <c r="Q23">
        <v>1</v>
      </c>
      <c r="R23">
        <v>1</v>
      </c>
      <c r="S23">
        <v>0</v>
      </c>
      <c r="T23">
        <v>3</v>
      </c>
      <c r="U23">
        <v>0</v>
      </c>
      <c r="V23">
        <v>0</v>
      </c>
      <c r="W23">
        <v>0</v>
      </c>
    </row>
    <row r="24" spans="1:23" x14ac:dyDescent="0.3">
      <c r="A24">
        <v>11</v>
      </c>
      <c r="B24">
        <v>1</v>
      </c>
      <c r="C24">
        <v>2</v>
      </c>
      <c r="D24">
        <v>3</v>
      </c>
      <c r="E24" t="s">
        <v>47</v>
      </c>
      <c r="F24" t="s">
        <v>48</v>
      </c>
      <c r="G24">
        <v>208.863</v>
      </c>
      <c r="H24" t="b">
        <v>0</v>
      </c>
      <c r="I24" t="b">
        <v>1</v>
      </c>
      <c r="J24">
        <v>75</v>
      </c>
      <c r="K24">
        <v>4</v>
      </c>
      <c r="L24">
        <v>4</v>
      </c>
      <c r="M24">
        <v>0</v>
      </c>
      <c r="N24">
        <v>2</v>
      </c>
      <c r="O24">
        <v>2</v>
      </c>
      <c r="P24">
        <v>0</v>
      </c>
      <c r="Q24">
        <v>2</v>
      </c>
      <c r="R24">
        <v>2</v>
      </c>
      <c r="S24">
        <v>0</v>
      </c>
      <c r="T24">
        <v>4</v>
      </c>
      <c r="U24">
        <v>2</v>
      </c>
      <c r="V24">
        <v>1</v>
      </c>
      <c r="W24">
        <v>1</v>
      </c>
    </row>
    <row r="25" spans="1:23" x14ac:dyDescent="0.3">
      <c r="A25">
        <v>11</v>
      </c>
      <c r="B25">
        <v>1</v>
      </c>
      <c r="C25">
        <v>3</v>
      </c>
      <c r="D25">
        <v>1</v>
      </c>
      <c r="E25" t="s">
        <v>48</v>
      </c>
      <c r="F25" t="s">
        <v>49</v>
      </c>
      <c r="G25">
        <v>115.958</v>
      </c>
      <c r="H25" t="b">
        <v>0</v>
      </c>
      <c r="I25" t="b">
        <v>1</v>
      </c>
      <c r="J25">
        <v>75</v>
      </c>
      <c r="K25">
        <v>2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1</v>
      </c>
      <c r="T25">
        <v>4</v>
      </c>
      <c r="U25">
        <v>3</v>
      </c>
      <c r="V25">
        <v>0</v>
      </c>
      <c r="W25">
        <v>0</v>
      </c>
    </row>
    <row r="26" spans="1:23" x14ac:dyDescent="0.3">
      <c r="A26">
        <v>11</v>
      </c>
      <c r="B26">
        <v>1</v>
      </c>
      <c r="C26">
        <v>3</v>
      </c>
      <c r="D26">
        <v>2</v>
      </c>
      <c r="E26" t="s">
        <v>49</v>
      </c>
      <c r="F26" t="s">
        <v>50</v>
      </c>
      <c r="G26">
        <v>128.47999999999999</v>
      </c>
      <c r="H26" t="b">
        <v>1</v>
      </c>
      <c r="I26" t="b">
        <v>1</v>
      </c>
      <c r="J26">
        <v>100</v>
      </c>
      <c r="K26">
        <v>4</v>
      </c>
      <c r="L26">
        <v>4</v>
      </c>
      <c r="M26">
        <v>0</v>
      </c>
      <c r="N26">
        <v>2</v>
      </c>
      <c r="O26">
        <v>2</v>
      </c>
      <c r="P26">
        <v>0</v>
      </c>
      <c r="Q26">
        <v>2</v>
      </c>
      <c r="R26">
        <v>2</v>
      </c>
      <c r="S26">
        <v>0</v>
      </c>
      <c r="T26">
        <v>4</v>
      </c>
      <c r="U26">
        <v>3</v>
      </c>
      <c r="V26">
        <v>0</v>
      </c>
      <c r="W26">
        <v>0</v>
      </c>
    </row>
    <row r="27" spans="1:23" x14ac:dyDescent="0.3">
      <c r="A27">
        <v>11</v>
      </c>
      <c r="B27">
        <v>3</v>
      </c>
      <c r="C27">
        <v>1</v>
      </c>
      <c r="D27">
        <v>1</v>
      </c>
      <c r="E27" t="s">
        <v>51</v>
      </c>
      <c r="F27" t="s">
        <v>52</v>
      </c>
      <c r="G27">
        <v>161.369</v>
      </c>
      <c r="H27" t="b">
        <v>0</v>
      </c>
      <c r="I27" t="b">
        <v>1</v>
      </c>
      <c r="J27">
        <v>75</v>
      </c>
      <c r="K27">
        <v>3</v>
      </c>
      <c r="L27">
        <v>2</v>
      </c>
      <c r="M27">
        <v>1</v>
      </c>
      <c r="N27">
        <v>2</v>
      </c>
      <c r="O27">
        <v>2</v>
      </c>
      <c r="P27">
        <v>0</v>
      </c>
      <c r="Q27">
        <v>1</v>
      </c>
      <c r="R27">
        <v>0</v>
      </c>
      <c r="S27">
        <v>1</v>
      </c>
      <c r="T27">
        <v>3</v>
      </c>
      <c r="U27">
        <v>2</v>
      </c>
      <c r="V27">
        <v>0</v>
      </c>
      <c r="W27">
        <v>0</v>
      </c>
    </row>
    <row r="28" spans="1:23" x14ac:dyDescent="0.3">
      <c r="A28">
        <v>11</v>
      </c>
      <c r="B28">
        <v>3</v>
      </c>
      <c r="C28">
        <v>1</v>
      </c>
      <c r="D28">
        <v>2</v>
      </c>
      <c r="E28" t="s">
        <v>52</v>
      </c>
      <c r="F28" t="s">
        <v>53</v>
      </c>
      <c r="G28">
        <v>78.457999999999998</v>
      </c>
      <c r="H28" t="b">
        <v>0</v>
      </c>
      <c r="I28" t="b">
        <v>1</v>
      </c>
      <c r="J28">
        <v>75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0</v>
      </c>
      <c r="R28">
        <v>0</v>
      </c>
      <c r="S28">
        <v>0</v>
      </c>
      <c r="T28">
        <v>2</v>
      </c>
      <c r="U28">
        <v>2</v>
      </c>
      <c r="V28">
        <v>0</v>
      </c>
      <c r="W28">
        <v>0</v>
      </c>
    </row>
    <row r="29" spans="1:23" x14ac:dyDescent="0.3">
      <c r="A29">
        <v>11</v>
      </c>
      <c r="B29">
        <v>3</v>
      </c>
      <c r="C29">
        <v>1</v>
      </c>
      <c r="D29">
        <v>3</v>
      </c>
      <c r="E29" t="s">
        <v>53</v>
      </c>
      <c r="F29" t="s">
        <v>54</v>
      </c>
      <c r="G29">
        <v>137.428</v>
      </c>
      <c r="H29" t="b">
        <v>1</v>
      </c>
      <c r="I29" t="b">
        <v>1</v>
      </c>
      <c r="J29">
        <v>100</v>
      </c>
      <c r="K29">
        <v>4</v>
      </c>
      <c r="L29">
        <v>4</v>
      </c>
      <c r="M29">
        <v>0</v>
      </c>
      <c r="N29">
        <v>2</v>
      </c>
      <c r="O29">
        <v>2</v>
      </c>
      <c r="P29">
        <v>0</v>
      </c>
      <c r="Q29">
        <v>2</v>
      </c>
      <c r="R29">
        <v>2</v>
      </c>
      <c r="S29">
        <v>0</v>
      </c>
      <c r="T29">
        <v>4</v>
      </c>
      <c r="U29">
        <v>4</v>
      </c>
      <c r="V29">
        <v>0</v>
      </c>
      <c r="W29">
        <v>0</v>
      </c>
    </row>
    <row r="30" spans="1:23" x14ac:dyDescent="0.3">
      <c r="A30">
        <v>11</v>
      </c>
      <c r="B30">
        <v>3</v>
      </c>
      <c r="C30">
        <v>2</v>
      </c>
      <c r="D30">
        <v>1</v>
      </c>
      <c r="E30" t="s">
        <v>54</v>
      </c>
      <c r="F30" t="s">
        <v>55</v>
      </c>
      <c r="G30">
        <v>221.697</v>
      </c>
      <c r="H30" t="b">
        <v>1</v>
      </c>
      <c r="I30" t="b">
        <v>1</v>
      </c>
      <c r="J30">
        <v>100</v>
      </c>
      <c r="K30">
        <v>4</v>
      </c>
      <c r="L30">
        <v>4</v>
      </c>
      <c r="M30">
        <v>0</v>
      </c>
      <c r="N30">
        <v>2</v>
      </c>
      <c r="O30">
        <v>2</v>
      </c>
      <c r="P30">
        <v>0</v>
      </c>
      <c r="Q30">
        <v>2</v>
      </c>
      <c r="R30">
        <v>2</v>
      </c>
      <c r="S30">
        <v>0</v>
      </c>
      <c r="T30">
        <v>4</v>
      </c>
      <c r="U30">
        <v>2</v>
      </c>
      <c r="V30">
        <v>0</v>
      </c>
      <c r="W30">
        <v>0</v>
      </c>
    </row>
    <row r="31" spans="1:23" x14ac:dyDescent="0.3">
      <c r="A31">
        <v>11</v>
      </c>
      <c r="B31">
        <v>3</v>
      </c>
      <c r="C31">
        <v>3</v>
      </c>
      <c r="D31">
        <v>1</v>
      </c>
      <c r="E31" t="s">
        <v>55</v>
      </c>
      <c r="F31" t="s">
        <v>56</v>
      </c>
      <c r="G31">
        <v>140.55799999999999</v>
      </c>
      <c r="H31" t="b">
        <v>0</v>
      </c>
      <c r="I31" t="b">
        <v>1</v>
      </c>
      <c r="J31">
        <v>75</v>
      </c>
      <c r="K31">
        <v>2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1</v>
      </c>
      <c r="T31">
        <v>4</v>
      </c>
      <c r="U31">
        <v>3</v>
      </c>
      <c r="V31">
        <v>0</v>
      </c>
      <c r="W31">
        <v>0</v>
      </c>
    </row>
    <row r="32" spans="1:23" x14ac:dyDescent="0.3">
      <c r="A32">
        <v>11</v>
      </c>
      <c r="B32">
        <v>3</v>
      </c>
      <c r="C32">
        <v>3</v>
      </c>
      <c r="D32">
        <v>2</v>
      </c>
      <c r="E32" t="s">
        <v>56</v>
      </c>
      <c r="F32" t="s">
        <v>57</v>
      </c>
      <c r="G32">
        <v>183.97499999999999</v>
      </c>
      <c r="H32" t="b">
        <v>1</v>
      </c>
      <c r="I32" t="b">
        <v>1</v>
      </c>
      <c r="J32">
        <v>100</v>
      </c>
      <c r="K32">
        <v>4</v>
      </c>
      <c r="L32">
        <v>4</v>
      </c>
      <c r="M32">
        <v>0</v>
      </c>
      <c r="N32">
        <v>2</v>
      </c>
      <c r="O32">
        <v>2</v>
      </c>
      <c r="P32">
        <v>0</v>
      </c>
      <c r="Q32">
        <v>2</v>
      </c>
      <c r="R32">
        <v>2</v>
      </c>
      <c r="S32">
        <v>0</v>
      </c>
      <c r="T32">
        <v>4</v>
      </c>
      <c r="U32">
        <v>3</v>
      </c>
      <c r="V32">
        <v>0</v>
      </c>
      <c r="W32">
        <v>0</v>
      </c>
    </row>
    <row r="33" spans="1:23" x14ac:dyDescent="0.3">
      <c r="A33">
        <v>11</v>
      </c>
      <c r="B33">
        <v>3</v>
      </c>
      <c r="C33">
        <v>1</v>
      </c>
      <c r="D33">
        <v>1</v>
      </c>
      <c r="E33" t="s">
        <v>57</v>
      </c>
      <c r="F33" t="s">
        <v>58</v>
      </c>
      <c r="G33">
        <v>3.0000000000000001E-3</v>
      </c>
      <c r="H33" t="b">
        <v>0</v>
      </c>
      <c r="I33" t="b">
        <v>0</v>
      </c>
      <c r="J33">
        <v>100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>
        <v>13</v>
      </c>
      <c r="B34">
        <v>1</v>
      </c>
      <c r="C34">
        <v>1</v>
      </c>
      <c r="D34">
        <v>1</v>
      </c>
      <c r="E34" t="s">
        <v>59</v>
      </c>
      <c r="F34" t="s">
        <v>60</v>
      </c>
      <c r="G34">
        <v>160.75800000000001</v>
      </c>
      <c r="H34" t="b">
        <v>0</v>
      </c>
      <c r="I34" t="b">
        <v>0</v>
      </c>
      <c r="J34">
        <v>100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</row>
    <row r="35" spans="1:23" x14ac:dyDescent="0.3">
      <c r="A35">
        <v>13</v>
      </c>
      <c r="B35">
        <v>1</v>
      </c>
      <c r="C35">
        <v>1</v>
      </c>
      <c r="D35">
        <v>2</v>
      </c>
      <c r="E35" t="s">
        <v>60</v>
      </c>
      <c r="F35" t="s">
        <v>61</v>
      </c>
      <c r="G35">
        <v>178.11600000000001</v>
      </c>
      <c r="H35" t="b">
        <v>0</v>
      </c>
      <c r="I35" t="b">
        <v>0</v>
      </c>
      <c r="J35">
        <v>100</v>
      </c>
      <c r="K35">
        <v>2</v>
      </c>
      <c r="L35">
        <v>2</v>
      </c>
      <c r="M35">
        <v>0</v>
      </c>
      <c r="N35">
        <v>1</v>
      </c>
      <c r="O35">
        <v>1</v>
      </c>
      <c r="P35">
        <v>0</v>
      </c>
      <c r="Q35">
        <v>1</v>
      </c>
      <c r="R35">
        <v>1</v>
      </c>
      <c r="S35">
        <v>0</v>
      </c>
      <c r="T35">
        <v>2</v>
      </c>
      <c r="U35">
        <v>2</v>
      </c>
      <c r="V35">
        <v>0</v>
      </c>
      <c r="W35">
        <v>0</v>
      </c>
    </row>
    <row r="36" spans="1:23" x14ac:dyDescent="0.3">
      <c r="A36">
        <v>13</v>
      </c>
      <c r="B36">
        <v>1</v>
      </c>
      <c r="C36">
        <v>1</v>
      </c>
      <c r="D36">
        <v>3</v>
      </c>
      <c r="E36" t="s">
        <v>61</v>
      </c>
      <c r="F36" t="s">
        <v>62</v>
      </c>
      <c r="G36">
        <v>56.137</v>
      </c>
      <c r="H36" t="b">
        <v>0</v>
      </c>
      <c r="I36" t="b">
        <v>0</v>
      </c>
      <c r="J36">
        <v>100</v>
      </c>
      <c r="K36">
        <v>1</v>
      </c>
      <c r="L36">
        <v>1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</row>
    <row r="37" spans="1:23" x14ac:dyDescent="0.3">
      <c r="A37">
        <v>13</v>
      </c>
      <c r="B37">
        <v>1</v>
      </c>
      <c r="C37">
        <v>2</v>
      </c>
      <c r="D37">
        <v>1</v>
      </c>
      <c r="E37" t="s">
        <v>62</v>
      </c>
      <c r="F37" t="s">
        <v>63</v>
      </c>
      <c r="G37">
        <v>225.94399999999999</v>
      </c>
      <c r="H37" t="b">
        <v>0</v>
      </c>
      <c r="I37" t="b">
        <v>0</v>
      </c>
      <c r="J37">
        <v>100</v>
      </c>
      <c r="K37">
        <v>2</v>
      </c>
      <c r="L37">
        <v>2</v>
      </c>
      <c r="M37">
        <v>0</v>
      </c>
      <c r="N37">
        <v>1</v>
      </c>
      <c r="O37">
        <v>1</v>
      </c>
      <c r="P37">
        <v>0</v>
      </c>
      <c r="Q37">
        <v>1</v>
      </c>
      <c r="R37">
        <v>1</v>
      </c>
      <c r="S37">
        <v>0</v>
      </c>
      <c r="T37">
        <v>4</v>
      </c>
      <c r="U37">
        <v>3</v>
      </c>
      <c r="V37">
        <v>0</v>
      </c>
      <c r="W37">
        <v>0</v>
      </c>
    </row>
    <row r="38" spans="1:23" x14ac:dyDescent="0.3">
      <c r="A38">
        <v>13</v>
      </c>
      <c r="B38">
        <v>1</v>
      </c>
      <c r="C38">
        <v>2</v>
      </c>
      <c r="D38">
        <v>2</v>
      </c>
      <c r="E38" t="s">
        <v>63</v>
      </c>
      <c r="F38" t="s">
        <v>64</v>
      </c>
      <c r="G38">
        <v>25.181000000000001</v>
      </c>
      <c r="H38" t="b">
        <v>0</v>
      </c>
      <c r="I38" t="b">
        <v>0</v>
      </c>
      <c r="J38">
        <v>100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>
        <v>13</v>
      </c>
      <c r="B39">
        <v>1</v>
      </c>
      <c r="C39">
        <v>3</v>
      </c>
      <c r="D39">
        <v>1</v>
      </c>
      <c r="E39" t="s">
        <v>64</v>
      </c>
      <c r="F39" t="s">
        <v>65</v>
      </c>
      <c r="G39">
        <v>8.7650000000000006</v>
      </c>
      <c r="H39" t="b">
        <v>0</v>
      </c>
      <c r="I39" t="b">
        <v>0</v>
      </c>
      <c r="J39">
        <v>100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>
        <v>13</v>
      </c>
      <c r="B40">
        <v>1</v>
      </c>
      <c r="C40">
        <v>3</v>
      </c>
      <c r="D40">
        <v>2</v>
      </c>
      <c r="E40" t="s">
        <v>65</v>
      </c>
      <c r="F40" t="s">
        <v>66</v>
      </c>
      <c r="G40">
        <v>94.494</v>
      </c>
      <c r="H40" t="b">
        <v>0</v>
      </c>
      <c r="I40" t="b">
        <v>0</v>
      </c>
      <c r="J40">
        <v>50</v>
      </c>
      <c r="K40">
        <v>2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1</v>
      </c>
      <c r="T40">
        <v>3</v>
      </c>
      <c r="U40">
        <v>2</v>
      </c>
      <c r="V40">
        <v>1</v>
      </c>
      <c r="W40">
        <v>1</v>
      </c>
    </row>
    <row r="41" spans="1:23" x14ac:dyDescent="0.3">
      <c r="A41">
        <v>13</v>
      </c>
      <c r="B41">
        <v>1</v>
      </c>
      <c r="C41">
        <v>3</v>
      </c>
      <c r="D41">
        <v>3</v>
      </c>
      <c r="E41" t="s">
        <v>66</v>
      </c>
      <c r="F41" t="s">
        <v>67</v>
      </c>
      <c r="G41">
        <v>61.844999999999999</v>
      </c>
      <c r="H41" t="b">
        <v>0</v>
      </c>
      <c r="I41" t="b">
        <v>0</v>
      </c>
      <c r="J41">
        <v>100</v>
      </c>
      <c r="K41">
        <v>2</v>
      </c>
      <c r="L41">
        <v>2</v>
      </c>
      <c r="M41">
        <v>0</v>
      </c>
      <c r="N41">
        <v>1</v>
      </c>
      <c r="O41">
        <v>1</v>
      </c>
      <c r="P41">
        <v>0</v>
      </c>
      <c r="Q41">
        <v>1</v>
      </c>
      <c r="R41">
        <v>1</v>
      </c>
      <c r="S41">
        <v>0</v>
      </c>
      <c r="T41">
        <v>4</v>
      </c>
      <c r="U41">
        <v>4</v>
      </c>
      <c r="V41">
        <v>0</v>
      </c>
      <c r="W41">
        <v>0</v>
      </c>
    </row>
    <row r="42" spans="1:23" x14ac:dyDescent="0.3">
      <c r="A42">
        <v>13</v>
      </c>
      <c r="B42">
        <v>3</v>
      </c>
      <c r="C42">
        <v>1</v>
      </c>
      <c r="D42">
        <v>1</v>
      </c>
      <c r="E42" t="s">
        <v>68</v>
      </c>
      <c r="F42" t="s">
        <v>69</v>
      </c>
      <c r="G42">
        <v>222.893</v>
      </c>
      <c r="H42" t="b">
        <v>0</v>
      </c>
      <c r="I42" t="b">
        <v>0</v>
      </c>
      <c r="J42">
        <v>100</v>
      </c>
      <c r="K42">
        <v>2</v>
      </c>
      <c r="L42">
        <v>2</v>
      </c>
      <c r="M42">
        <v>0</v>
      </c>
      <c r="N42">
        <v>1</v>
      </c>
      <c r="O42">
        <v>1</v>
      </c>
      <c r="P42">
        <v>0</v>
      </c>
      <c r="Q42">
        <v>1</v>
      </c>
      <c r="R42">
        <v>1</v>
      </c>
      <c r="S42">
        <v>0</v>
      </c>
      <c r="T42">
        <v>4</v>
      </c>
      <c r="U42">
        <v>3</v>
      </c>
      <c r="V42">
        <v>0</v>
      </c>
      <c r="W42">
        <v>0</v>
      </c>
    </row>
    <row r="43" spans="1:23" x14ac:dyDescent="0.3">
      <c r="A43">
        <v>13</v>
      </c>
      <c r="B43">
        <v>3</v>
      </c>
      <c r="C43">
        <v>1</v>
      </c>
      <c r="D43">
        <v>2</v>
      </c>
      <c r="E43" t="s">
        <v>69</v>
      </c>
      <c r="F43" t="s">
        <v>70</v>
      </c>
      <c r="G43">
        <v>356.65300000000002</v>
      </c>
      <c r="H43" t="b">
        <v>0</v>
      </c>
      <c r="I43" t="b">
        <v>0</v>
      </c>
      <c r="J43">
        <v>100</v>
      </c>
      <c r="K43">
        <v>3</v>
      </c>
      <c r="L43">
        <v>3</v>
      </c>
      <c r="M43">
        <v>0</v>
      </c>
      <c r="N43">
        <v>2</v>
      </c>
      <c r="O43">
        <v>2</v>
      </c>
      <c r="P43">
        <v>0</v>
      </c>
      <c r="Q43">
        <v>1</v>
      </c>
      <c r="R43">
        <v>1</v>
      </c>
      <c r="S43">
        <v>0</v>
      </c>
      <c r="T43">
        <v>4</v>
      </c>
      <c r="U43">
        <v>3</v>
      </c>
      <c r="V43">
        <v>0</v>
      </c>
      <c r="W43">
        <v>0</v>
      </c>
    </row>
    <row r="44" spans="1:23" x14ac:dyDescent="0.3">
      <c r="A44">
        <v>13</v>
      </c>
      <c r="B44">
        <v>3</v>
      </c>
      <c r="C44">
        <v>1</v>
      </c>
      <c r="D44">
        <v>3</v>
      </c>
      <c r="E44" t="s">
        <v>70</v>
      </c>
      <c r="F44" t="s">
        <v>71</v>
      </c>
      <c r="G44">
        <v>187.405</v>
      </c>
      <c r="H44" t="b">
        <v>0</v>
      </c>
      <c r="I44" t="b">
        <v>0</v>
      </c>
      <c r="J44">
        <v>100</v>
      </c>
      <c r="K44">
        <v>3</v>
      </c>
      <c r="L44">
        <v>3</v>
      </c>
      <c r="M44">
        <v>0</v>
      </c>
      <c r="N44">
        <v>2</v>
      </c>
      <c r="O44">
        <v>2</v>
      </c>
      <c r="P44">
        <v>0</v>
      </c>
      <c r="Q44">
        <v>1</v>
      </c>
      <c r="R44">
        <v>1</v>
      </c>
      <c r="S44">
        <v>0</v>
      </c>
      <c r="T44">
        <v>4</v>
      </c>
      <c r="U44">
        <v>3</v>
      </c>
      <c r="V44">
        <v>0</v>
      </c>
      <c r="W44">
        <v>0</v>
      </c>
    </row>
    <row r="45" spans="1:23" x14ac:dyDescent="0.3">
      <c r="A45">
        <v>13</v>
      </c>
      <c r="B45">
        <v>3</v>
      </c>
      <c r="C45">
        <v>2</v>
      </c>
      <c r="D45">
        <v>1</v>
      </c>
      <c r="E45" t="s">
        <v>71</v>
      </c>
      <c r="F45" t="s">
        <v>72</v>
      </c>
      <c r="G45">
        <v>220.482</v>
      </c>
      <c r="H45" t="b">
        <v>0</v>
      </c>
      <c r="I45" t="b">
        <v>1</v>
      </c>
      <c r="J45">
        <v>75</v>
      </c>
      <c r="K45">
        <v>2</v>
      </c>
      <c r="L45">
        <v>2</v>
      </c>
      <c r="M45">
        <v>0</v>
      </c>
      <c r="N45">
        <v>2</v>
      </c>
      <c r="O45">
        <v>2</v>
      </c>
      <c r="P45">
        <v>0</v>
      </c>
      <c r="Q45">
        <v>0</v>
      </c>
      <c r="R45">
        <v>0</v>
      </c>
      <c r="S45">
        <v>0</v>
      </c>
      <c r="T45">
        <v>2</v>
      </c>
      <c r="U45">
        <v>1</v>
      </c>
      <c r="V45">
        <v>1</v>
      </c>
      <c r="W45">
        <v>1</v>
      </c>
    </row>
    <row r="46" spans="1:23" x14ac:dyDescent="0.3">
      <c r="A46">
        <v>13</v>
      </c>
      <c r="B46">
        <v>3</v>
      </c>
      <c r="C46">
        <v>2</v>
      </c>
      <c r="D46">
        <v>2</v>
      </c>
      <c r="E46" t="s">
        <v>72</v>
      </c>
      <c r="F46" t="s">
        <v>73</v>
      </c>
      <c r="G46">
        <v>191.768</v>
      </c>
      <c r="H46" t="b">
        <v>1</v>
      </c>
      <c r="I46" t="b">
        <v>1</v>
      </c>
      <c r="J46">
        <v>100</v>
      </c>
      <c r="K46">
        <v>3</v>
      </c>
      <c r="L46">
        <v>3</v>
      </c>
      <c r="M46">
        <v>0</v>
      </c>
      <c r="N46">
        <v>2</v>
      </c>
      <c r="O46">
        <v>2</v>
      </c>
      <c r="P46">
        <v>0</v>
      </c>
      <c r="Q46">
        <v>1</v>
      </c>
      <c r="R46">
        <v>1</v>
      </c>
      <c r="S46">
        <v>0</v>
      </c>
      <c r="T46">
        <v>4</v>
      </c>
      <c r="U46">
        <v>3</v>
      </c>
      <c r="V46">
        <v>0</v>
      </c>
      <c r="W46">
        <v>0</v>
      </c>
    </row>
    <row r="47" spans="1:23" x14ac:dyDescent="0.3">
      <c r="A47">
        <v>13</v>
      </c>
      <c r="B47">
        <v>3</v>
      </c>
      <c r="C47">
        <v>3</v>
      </c>
      <c r="D47">
        <v>1</v>
      </c>
      <c r="E47" t="s">
        <v>73</v>
      </c>
      <c r="F47" t="s">
        <v>74</v>
      </c>
      <c r="G47">
        <v>163.87200000000001</v>
      </c>
      <c r="H47" t="b">
        <v>0</v>
      </c>
      <c r="I47" t="b">
        <v>1</v>
      </c>
      <c r="J47">
        <v>75</v>
      </c>
      <c r="K47">
        <v>3</v>
      </c>
      <c r="L47">
        <v>2</v>
      </c>
      <c r="M47">
        <v>1</v>
      </c>
      <c r="N47">
        <v>2</v>
      </c>
      <c r="O47">
        <v>2</v>
      </c>
      <c r="P47">
        <v>0</v>
      </c>
      <c r="Q47">
        <v>1</v>
      </c>
      <c r="R47">
        <v>0</v>
      </c>
      <c r="S47">
        <v>1</v>
      </c>
      <c r="T47">
        <v>2</v>
      </c>
      <c r="U47">
        <v>1</v>
      </c>
      <c r="V47">
        <v>0</v>
      </c>
      <c r="W47">
        <v>0</v>
      </c>
    </row>
    <row r="48" spans="1:23" x14ac:dyDescent="0.3">
      <c r="A48">
        <v>13</v>
      </c>
      <c r="B48">
        <v>3</v>
      </c>
      <c r="C48">
        <v>3</v>
      </c>
      <c r="D48">
        <v>2</v>
      </c>
      <c r="E48" t="s">
        <v>74</v>
      </c>
      <c r="F48" t="s">
        <v>75</v>
      </c>
      <c r="G48">
        <v>128.571</v>
      </c>
      <c r="H48" t="b">
        <v>1</v>
      </c>
      <c r="I48" t="b">
        <v>1</v>
      </c>
      <c r="J48">
        <v>100</v>
      </c>
      <c r="K48">
        <v>4</v>
      </c>
      <c r="L48">
        <v>4</v>
      </c>
      <c r="M48">
        <v>0</v>
      </c>
      <c r="N48">
        <v>2</v>
      </c>
      <c r="O48">
        <v>2</v>
      </c>
      <c r="P48">
        <v>0</v>
      </c>
      <c r="Q48">
        <v>2</v>
      </c>
      <c r="R48">
        <v>2</v>
      </c>
      <c r="S48">
        <v>0</v>
      </c>
      <c r="T48">
        <v>4</v>
      </c>
      <c r="U48">
        <v>3</v>
      </c>
      <c r="V48">
        <v>0</v>
      </c>
      <c r="W48">
        <v>0</v>
      </c>
    </row>
    <row r="49" spans="1:23" x14ac:dyDescent="0.3">
      <c r="A49">
        <v>15</v>
      </c>
      <c r="B49">
        <v>1</v>
      </c>
      <c r="C49">
        <v>1</v>
      </c>
      <c r="D49">
        <v>1</v>
      </c>
      <c r="E49" t="s">
        <v>76</v>
      </c>
      <c r="F49" t="s">
        <v>77</v>
      </c>
      <c r="G49">
        <v>127.874</v>
      </c>
      <c r="H49" t="b">
        <v>0</v>
      </c>
      <c r="I49" t="b">
        <v>0</v>
      </c>
      <c r="J49">
        <v>100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>
        <v>15</v>
      </c>
      <c r="B50">
        <v>1</v>
      </c>
      <c r="C50">
        <v>1</v>
      </c>
      <c r="D50">
        <v>2</v>
      </c>
      <c r="E50" t="s">
        <v>77</v>
      </c>
      <c r="F50" t="s">
        <v>78</v>
      </c>
      <c r="G50">
        <v>372.55200000000002</v>
      </c>
      <c r="H50" t="b">
        <v>0</v>
      </c>
      <c r="I50" t="b">
        <v>0</v>
      </c>
      <c r="J50">
        <v>100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</row>
    <row r="51" spans="1:23" x14ac:dyDescent="0.3">
      <c r="A51">
        <v>15</v>
      </c>
      <c r="B51">
        <v>1</v>
      </c>
      <c r="C51">
        <v>1</v>
      </c>
      <c r="D51">
        <v>3</v>
      </c>
      <c r="E51" t="s">
        <v>78</v>
      </c>
      <c r="F51" t="s">
        <v>79</v>
      </c>
      <c r="G51">
        <v>175.01400000000001</v>
      </c>
      <c r="H51" t="b">
        <v>0</v>
      </c>
      <c r="I51" t="b">
        <v>0</v>
      </c>
      <c r="J51">
        <v>100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</row>
    <row r="52" spans="1:23" x14ac:dyDescent="0.3">
      <c r="A52">
        <v>15</v>
      </c>
      <c r="B52">
        <v>1</v>
      </c>
      <c r="C52">
        <v>2</v>
      </c>
      <c r="D52">
        <v>1</v>
      </c>
      <c r="E52" t="s">
        <v>79</v>
      </c>
      <c r="F52" t="s">
        <v>80</v>
      </c>
      <c r="G52">
        <v>243.666</v>
      </c>
      <c r="H52" t="b">
        <v>0</v>
      </c>
      <c r="I52" t="b">
        <v>0</v>
      </c>
      <c r="J52">
        <v>75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2</v>
      </c>
      <c r="W52">
        <v>2</v>
      </c>
    </row>
    <row r="53" spans="1:23" x14ac:dyDescent="0.3">
      <c r="A53">
        <v>15</v>
      </c>
      <c r="B53">
        <v>1</v>
      </c>
      <c r="C53">
        <v>2</v>
      </c>
      <c r="D53">
        <v>2</v>
      </c>
      <c r="E53" t="s">
        <v>80</v>
      </c>
      <c r="F53" t="s">
        <v>81</v>
      </c>
      <c r="G53">
        <v>88.314999999999998</v>
      </c>
      <c r="H53" t="b">
        <v>0</v>
      </c>
      <c r="I53" t="b">
        <v>0</v>
      </c>
      <c r="J53">
        <v>100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0</v>
      </c>
      <c r="V53">
        <v>0</v>
      </c>
      <c r="W53">
        <v>0</v>
      </c>
    </row>
    <row r="54" spans="1:23" x14ac:dyDescent="0.3">
      <c r="A54">
        <v>16</v>
      </c>
      <c r="B54">
        <v>1</v>
      </c>
      <c r="C54">
        <v>1</v>
      </c>
      <c r="D54">
        <v>1</v>
      </c>
      <c r="E54" t="s">
        <v>82</v>
      </c>
      <c r="F54" t="s">
        <v>83</v>
      </c>
      <c r="G54">
        <v>215.45699999999999</v>
      </c>
      <c r="H54" t="b">
        <v>0</v>
      </c>
      <c r="I54" t="b">
        <v>0</v>
      </c>
      <c r="J54">
        <v>100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</row>
    <row r="55" spans="1:23" x14ac:dyDescent="0.3">
      <c r="A55">
        <v>16</v>
      </c>
      <c r="B55">
        <v>1</v>
      </c>
      <c r="C55">
        <v>1</v>
      </c>
      <c r="D55">
        <v>2</v>
      </c>
      <c r="E55" t="s">
        <v>83</v>
      </c>
      <c r="F55" t="s">
        <v>84</v>
      </c>
      <c r="G55">
        <v>83.688000000000002</v>
      </c>
      <c r="H55" t="b">
        <v>0</v>
      </c>
      <c r="I55" t="b">
        <v>0</v>
      </c>
      <c r="J55">
        <v>100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>
        <v>16</v>
      </c>
      <c r="B56">
        <v>1</v>
      </c>
      <c r="C56">
        <v>1</v>
      </c>
      <c r="D56">
        <v>3</v>
      </c>
      <c r="E56" t="s">
        <v>84</v>
      </c>
      <c r="F56" t="s">
        <v>85</v>
      </c>
      <c r="G56">
        <v>162.17500000000001</v>
      </c>
      <c r="H56" t="b">
        <v>0</v>
      </c>
      <c r="I56" t="b">
        <v>0</v>
      </c>
      <c r="J56">
        <v>100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2</v>
      </c>
      <c r="U56">
        <v>2</v>
      </c>
      <c r="V56">
        <v>0</v>
      </c>
      <c r="W56">
        <v>0</v>
      </c>
    </row>
    <row r="57" spans="1:23" x14ac:dyDescent="0.3">
      <c r="A57">
        <v>16</v>
      </c>
      <c r="B57">
        <v>1</v>
      </c>
      <c r="C57">
        <v>1</v>
      </c>
      <c r="D57">
        <v>4</v>
      </c>
      <c r="E57" t="s">
        <v>85</v>
      </c>
      <c r="F57" t="s">
        <v>86</v>
      </c>
      <c r="G57">
        <v>163.68600000000001</v>
      </c>
      <c r="H57" t="b">
        <v>0</v>
      </c>
      <c r="I57" t="b">
        <v>0</v>
      </c>
      <c r="J57">
        <v>75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2</v>
      </c>
      <c r="U57">
        <v>1</v>
      </c>
      <c r="V57">
        <v>0</v>
      </c>
      <c r="W57">
        <v>0</v>
      </c>
    </row>
    <row r="58" spans="1:23" x14ac:dyDescent="0.3">
      <c r="A58">
        <v>16</v>
      </c>
      <c r="B58">
        <v>1</v>
      </c>
      <c r="C58">
        <v>2</v>
      </c>
      <c r="D58">
        <v>1</v>
      </c>
      <c r="E58" t="s">
        <v>86</v>
      </c>
      <c r="F58" t="s">
        <v>87</v>
      </c>
      <c r="G58">
        <v>161.53800000000001</v>
      </c>
      <c r="H58" t="b">
        <v>0</v>
      </c>
      <c r="I58" t="b">
        <v>0</v>
      </c>
      <c r="J58">
        <v>50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3</v>
      </c>
      <c r="U58">
        <v>1</v>
      </c>
      <c r="V58">
        <v>1</v>
      </c>
      <c r="W58">
        <v>1</v>
      </c>
    </row>
    <row r="59" spans="1:23" x14ac:dyDescent="0.3">
      <c r="A59">
        <v>16</v>
      </c>
      <c r="B59">
        <v>1</v>
      </c>
      <c r="C59">
        <v>1</v>
      </c>
      <c r="D59">
        <v>1</v>
      </c>
      <c r="E59" t="s">
        <v>87</v>
      </c>
      <c r="F59" t="s">
        <v>88</v>
      </c>
      <c r="G59">
        <v>191.298</v>
      </c>
      <c r="H59" t="b">
        <v>0</v>
      </c>
      <c r="I59" t="b">
        <v>0</v>
      </c>
      <c r="J59">
        <v>100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0</v>
      </c>
      <c r="T59">
        <v>2</v>
      </c>
      <c r="U59">
        <v>2</v>
      </c>
      <c r="V59">
        <v>0</v>
      </c>
      <c r="W59">
        <v>0</v>
      </c>
    </row>
    <row r="60" spans="1:23" x14ac:dyDescent="0.3">
      <c r="A60">
        <v>16</v>
      </c>
      <c r="B60">
        <v>1</v>
      </c>
      <c r="C60">
        <v>2</v>
      </c>
      <c r="D60">
        <v>1</v>
      </c>
      <c r="E60" t="s">
        <v>88</v>
      </c>
      <c r="F60" t="s">
        <v>89</v>
      </c>
      <c r="G60">
        <v>290.77300000000002</v>
      </c>
      <c r="H60" t="b">
        <v>0</v>
      </c>
      <c r="I60" t="b">
        <v>0</v>
      </c>
      <c r="J60">
        <v>50</v>
      </c>
      <c r="K60">
        <v>2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1</v>
      </c>
      <c r="T60">
        <v>3</v>
      </c>
      <c r="U60">
        <v>2</v>
      </c>
      <c r="V60">
        <v>1</v>
      </c>
      <c r="W60">
        <v>1</v>
      </c>
    </row>
    <row r="61" spans="1:23" x14ac:dyDescent="0.3">
      <c r="A61">
        <v>16</v>
      </c>
      <c r="B61">
        <v>1</v>
      </c>
      <c r="C61">
        <v>2</v>
      </c>
      <c r="D61">
        <v>2</v>
      </c>
      <c r="E61" t="s">
        <v>89</v>
      </c>
      <c r="F61" t="s">
        <v>90</v>
      </c>
      <c r="G61">
        <v>299.524</v>
      </c>
      <c r="H61" t="b">
        <v>0</v>
      </c>
      <c r="I61" t="b">
        <v>0</v>
      </c>
      <c r="J61">
        <v>100</v>
      </c>
      <c r="K61">
        <v>2</v>
      </c>
      <c r="L61">
        <v>2</v>
      </c>
      <c r="M61">
        <v>0</v>
      </c>
      <c r="N61">
        <v>1</v>
      </c>
      <c r="O61">
        <v>1</v>
      </c>
      <c r="P61">
        <v>0</v>
      </c>
      <c r="Q61">
        <v>1</v>
      </c>
      <c r="R61">
        <v>1</v>
      </c>
      <c r="S61">
        <v>0</v>
      </c>
      <c r="T61">
        <v>4</v>
      </c>
      <c r="U61">
        <v>4</v>
      </c>
      <c r="V61">
        <v>0</v>
      </c>
      <c r="W61">
        <v>0</v>
      </c>
    </row>
    <row r="62" spans="1:23" x14ac:dyDescent="0.3">
      <c r="A62">
        <v>16</v>
      </c>
      <c r="B62">
        <v>3</v>
      </c>
      <c r="C62">
        <v>1</v>
      </c>
      <c r="D62">
        <v>1</v>
      </c>
      <c r="E62" t="s">
        <v>91</v>
      </c>
      <c r="F62" t="s">
        <v>92</v>
      </c>
      <c r="G62">
        <v>227.63800000000001</v>
      </c>
      <c r="H62" t="b">
        <v>0</v>
      </c>
      <c r="I62" t="b">
        <v>0</v>
      </c>
      <c r="J62">
        <v>100</v>
      </c>
      <c r="K62">
        <v>2</v>
      </c>
      <c r="L62">
        <v>2</v>
      </c>
      <c r="M62">
        <v>0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2</v>
      </c>
      <c r="U62">
        <v>2</v>
      </c>
      <c r="V62">
        <v>0</v>
      </c>
      <c r="W62">
        <v>0</v>
      </c>
    </row>
    <row r="63" spans="1:23" x14ac:dyDescent="0.3">
      <c r="A63">
        <v>16</v>
      </c>
      <c r="B63">
        <v>3</v>
      </c>
      <c r="C63">
        <v>1</v>
      </c>
      <c r="D63">
        <v>2</v>
      </c>
      <c r="E63" t="s">
        <v>92</v>
      </c>
      <c r="F63" t="s">
        <v>93</v>
      </c>
      <c r="G63">
        <v>197.6</v>
      </c>
      <c r="H63" t="b">
        <v>0</v>
      </c>
      <c r="I63" t="b">
        <v>0</v>
      </c>
      <c r="J63">
        <v>75</v>
      </c>
      <c r="K63">
        <v>2</v>
      </c>
      <c r="L63">
        <v>2</v>
      </c>
      <c r="M63">
        <v>0</v>
      </c>
      <c r="N63">
        <v>1</v>
      </c>
      <c r="O63">
        <v>1</v>
      </c>
      <c r="P63">
        <v>0</v>
      </c>
      <c r="Q63">
        <v>1</v>
      </c>
      <c r="R63">
        <v>1</v>
      </c>
      <c r="S63">
        <v>0</v>
      </c>
      <c r="T63">
        <v>2</v>
      </c>
      <c r="U63">
        <v>1</v>
      </c>
      <c r="V63">
        <v>1</v>
      </c>
      <c r="W63">
        <v>1</v>
      </c>
    </row>
    <row r="64" spans="1:23" x14ac:dyDescent="0.3">
      <c r="A64">
        <v>16</v>
      </c>
      <c r="B64">
        <v>3</v>
      </c>
      <c r="C64">
        <v>2</v>
      </c>
      <c r="D64">
        <v>1</v>
      </c>
      <c r="E64" t="s">
        <v>93</v>
      </c>
      <c r="F64" t="s">
        <v>94</v>
      </c>
      <c r="G64">
        <v>281.64299999999997</v>
      </c>
      <c r="H64" t="b">
        <v>0</v>
      </c>
      <c r="I64" t="b">
        <v>0</v>
      </c>
      <c r="J64">
        <v>100</v>
      </c>
      <c r="K64">
        <v>1</v>
      </c>
      <c r="L64">
        <v>1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3</v>
      </c>
      <c r="U64">
        <v>3</v>
      </c>
      <c r="V64">
        <v>0</v>
      </c>
      <c r="W64">
        <v>0</v>
      </c>
    </row>
    <row r="65" spans="1:23" x14ac:dyDescent="0.3">
      <c r="A65">
        <v>16</v>
      </c>
      <c r="B65">
        <v>3</v>
      </c>
      <c r="C65">
        <v>2</v>
      </c>
      <c r="D65">
        <v>2</v>
      </c>
      <c r="E65" t="s">
        <v>94</v>
      </c>
      <c r="F65" t="s">
        <v>95</v>
      </c>
      <c r="G65">
        <v>233.34899999999999</v>
      </c>
      <c r="H65" t="b">
        <v>0</v>
      </c>
      <c r="I65" t="b">
        <v>0</v>
      </c>
      <c r="J65">
        <v>100</v>
      </c>
      <c r="K65">
        <v>2</v>
      </c>
      <c r="L65">
        <v>2</v>
      </c>
      <c r="M65">
        <v>0</v>
      </c>
      <c r="N65">
        <v>1</v>
      </c>
      <c r="O65">
        <v>1</v>
      </c>
      <c r="P65">
        <v>0</v>
      </c>
      <c r="Q65">
        <v>1</v>
      </c>
      <c r="R65">
        <v>1</v>
      </c>
      <c r="S65">
        <v>0</v>
      </c>
      <c r="T65">
        <v>3</v>
      </c>
      <c r="U65">
        <v>3</v>
      </c>
      <c r="V65">
        <v>0</v>
      </c>
      <c r="W65">
        <v>0</v>
      </c>
    </row>
    <row r="66" spans="1:23" x14ac:dyDescent="0.3">
      <c r="A66">
        <v>16</v>
      </c>
      <c r="B66">
        <v>3</v>
      </c>
      <c r="C66">
        <v>3</v>
      </c>
      <c r="D66">
        <v>1</v>
      </c>
      <c r="E66" t="s">
        <v>95</v>
      </c>
      <c r="F66" t="s">
        <v>96</v>
      </c>
      <c r="G66">
        <v>226.94800000000001</v>
      </c>
      <c r="H66" t="b">
        <v>0</v>
      </c>
      <c r="I66" t="b">
        <v>0</v>
      </c>
      <c r="J66">
        <v>100</v>
      </c>
      <c r="K66">
        <v>2</v>
      </c>
      <c r="L66">
        <v>2</v>
      </c>
      <c r="M66">
        <v>0</v>
      </c>
      <c r="N66">
        <v>1</v>
      </c>
      <c r="O66">
        <v>1</v>
      </c>
      <c r="P66">
        <v>0</v>
      </c>
      <c r="Q66">
        <v>1</v>
      </c>
      <c r="R66">
        <v>1</v>
      </c>
      <c r="S66">
        <v>0</v>
      </c>
      <c r="T66">
        <v>2</v>
      </c>
      <c r="U66">
        <v>2</v>
      </c>
      <c r="V66">
        <v>0</v>
      </c>
      <c r="W66">
        <v>0</v>
      </c>
    </row>
    <row r="67" spans="1:23" x14ac:dyDescent="0.3">
      <c r="A67">
        <v>16</v>
      </c>
      <c r="B67">
        <v>3</v>
      </c>
      <c r="C67">
        <v>1</v>
      </c>
      <c r="D67">
        <v>1</v>
      </c>
      <c r="E67" t="s">
        <v>96</v>
      </c>
      <c r="F67" t="s">
        <v>97</v>
      </c>
      <c r="G67">
        <v>239.91</v>
      </c>
      <c r="H67" t="b">
        <v>0</v>
      </c>
      <c r="I67" t="b">
        <v>1</v>
      </c>
      <c r="J67">
        <v>75</v>
      </c>
      <c r="K67">
        <v>4</v>
      </c>
      <c r="L67">
        <v>4</v>
      </c>
      <c r="M67">
        <v>0</v>
      </c>
      <c r="N67">
        <v>2</v>
      </c>
      <c r="O67">
        <v>2</v>
      </c>
      <c r="P67">
        <v>0</v>
      </c>
      <c r="Q67">
        <v>2</v>
      </c>
      <c r="R67">
        <v>2</v>
      </c>
      <c r="S67">
        <v>0</v>
      </c>
      <c r="T67">
        <v>4</v>
      </c>
      <c r="U67">
        <v>3</v>
      </c>
      <c r="V67">
        <v>1</v>
      </c>
      <c r="W67">
        <v>1</v>
      </c>
    </row>
    <row r="68" spans="1:23" x14ac:dyDescent="0.3">
      <c r="A68">
        <v>16</v>
      </c>
      <c r="B68">
        <v>3</v>
      </c>
      <c r="C68">
        <v>2</v>
      </c>
      <c r="D68">
        <v>1</v>
      </c>
      <c r="E68" t="s">
        <v>97</v>
      </c>
      <c r="F68" t="s">
        <v>98</v>
      </c>
      <c r="G68">
        <v>350.96199999999999</v>
      </c>
      <c r="H68" t="b">
        <v>0</v>
      </c>
      <c r="I68" t="b">
        <v>1</v>
      </c>
      <c r="J68">
        <v>75</v>
      </c>
      <c r="K68">
        <v>4</v>
      </c>
      <c r="L68">
        <v>4</v>
      </c>
      <c r="M68">
        <v>0</v>
      </c>
      <c r="N68">
        <v>2</v>
      </c>
      <c r="O68">
        <v>2</v>
      </c>
      <c r="P68">
        <v>0</v>
      </c>
      <c r="Q68">
        <v>2</v>
      </c>
      <c r="R68">
        <v>2</v>
      </c>
      <c r="S68">
        <v>0</v>
      </c>
      <c r="T68">
        <v>4</v>
      </c>
      <c r="U68">
        <v>2</v>
      </c>
      <c r="V68">
        <v>2</v>
      </c>
      <c r="W68">
        <v>2</v>
      </c>
    </row>
    <row r="69" spans="1:23" x14ac:dyDescent="0.3">
      <c r="A69">
        <v>16</v>
      </c>
      <c r="B69">
        <v>3</v>
      </c>
      <c r="C69">
        <v>3</v>
      </c>
      <c r="D69">
        <v>1</v>
      </c>
      <c r="E69" t="s">
        <v>98</v>
      </c>
      <c r="F69" t="s">
        <v>99</v>
      </c>
      <c r="G69">
        <v>399.14299999999997</v>
      </c>
      <c r="H69" t="b">
        <v>0</v>
      </c>
      <c r="I69" t="b">
        <v>1</v>
      </c>
      <c r="J69">
        <v>75</v>
      </c>
      <c r="K69">
        <v>4</v>
      </c>
      <c r="L69">
        <v>3</v>
      </c>
      <c r="M69">
        <v>1</v>
      </c>
      <c r="N69">
        <v>2</v>
      </c>
      <c r="O69">
        <v>2</v>
      </c>
      <c r="P69">
        <v>0</v>
      </c>
      <c r="Q69">
        <v>2</v>
      </c>
      <c r="R69">
        <v>1</v>
      </c>
      <c r="S69">
        <v>1</v>
      </c>
      <c r="T69">
        <v>4</v>
      </c>
      <c r="U69">
        <v>4</v>
      </c>
      <c r="V69">
        <v>0</v>
      </c>
      <c r="W69">
        <v>0</v>
      </c>
    </row>
    <row r="70" spans="1:23" x14ac:dyDescent="0.3">
      <c r="A70">
        <v>16</v>
      </c>
      <c r="B70">
        <v>3</v>
      </c>
      <c r="C70">
        <v>3</v>
      </c>
      <c r="D70">
        <v>2</v>
      </c>
      <c r="E70" t="s">
        <v>99</v>
      </c>
      <c r="F70" t="s">
        <v>100</v>
      </c>
      <c r="G70">
        <v>46.017000000000003</v>
      </c>
      <c r="H70" t="b">
        <v>0</v>
      </c>
      <c r="I70" t="b">
        <v>0</v>
      </c>
      <c r="J70">
        <v>100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>
        <v>17</v>
      </c>
      <c r="B71">
        <v>1</v>
      </c>
      <c r="C71">
        <v>1</v>
      </c>
      <c r="D71">
        <v>1</v>
      </c>
      <c r="E71" t="s">
        <v>101</v>
      </c>
      <c r="F71" t="s">
        <v>102</v>
      </c>
      <c r="G71">
        <v>119.083</v>
      </c>
      <c r="H71" t="b">
        <v>0</v>
      </c>
      <c r="I71" t="b">
        <v>0</v>
      </c>
      <c r="J71">
        <v>100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</row>
    <row r="72" spans="1:23" x14ac:dyDescent="0.3">
      <c r="A72">
        <v>17</v>
      </c>
      <c r="B72">
        <v>1</v>
      </c>
      <c r="C72">
        <v>1</v>
      </c>
      <c r="D72">
        <v>2</v>
      </c>
      <c r="E72" t="s">
        <v>102</v>
      </c>
      <c r="F72" t="s">
        <v>103</v>
      </c>
      <c r="G72">
        <v>151.923</v>
      </c>
      <c r="H72" t="b">
        <v>0</v>
      </c>
      <c r="I72" t="b">
        <v>0</v>
      </c>
      <c r="J72">
        <v>100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</row>
    <row r="73" spans="1:23" x14ac:dyDescent="0.3">
      <c r="A73">
        <v>17</v>
      </c>
      <c r="B73">
        <v>1</v>
      </c>
      <c r="C73">
        <v>1</v>
      </c>
      <c r="D73">
        <v>3</v>
      </c>
      <c r="E73" t="s">
        <v>103</v>
      </c>
      <c r="F73" t="s">
        <v>104</v>
      </c>
      <c r="G73">
        <v>122.90300000000001</v>
      </c>
      <c r="H73" t="b">
        <v>0</v>
      </c>
      <c r="I73" t="b">
        <v>0</v>
      </c>
      <c r="J73">
        <v>100</v>
      </c>
      <c r="K73">
        <v>2</v>
      </c>
      <c r="L73">
        <v>2</v>
      </c>
      <c r="M73">
        <v>0</v>
      </c>
      <c r="N73">
        <v>2</v>
      </c>
      <c r="O73">
        <v>2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</row>
    <row r="74" spans="1:23" x14ac:dyDescent="0.3">
      <c r="A74">
        <v>17</v>
      </c>
      <c r="B74">
        <v>1</v>
      </c>
      <c r="C74">
        <v>1</v>
      </c>
      <c r="D74">
        <v>4</v>
      </c>
      <c r="E74" t="s">
        <v>104</v>
      </c>
      <c r="F74" t="s">
        <v>105</v>
      </c>
      <c r="G74">
        <v>102.33799999999999</v>
      </c>
      <c r="H74" t="b">
        <v>0</v>
      </c>
      <c r="I74" t="b">
        <v>0</v>
      </c>
      <c r="J74">
        <v>75</v>
      </c>
      <c r="K74">
        <v>3</v>
      </c>
      <c r="L74">
        <v>2</v>
      </c>
      <c r="M74">
        <v>1</v>
      </c>
      <c r="N74">
        <v>2</v>
      </c>
      <c r="O74">
        <v>2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0</v>
      </c>
    </row>
    <row r="75" spans="1:23" x14ac:dyDescent="0.3">
      <c r="A75">
        <v>17</v>
      </c>
      <c r="B75">
        <v>1</v>
      </c>
      <c r="C75">
        <v>1</v>
      </c>
      <c r="D75">
        <v>5</v>
      </c>
      <c r="E75" t="s">
        <v>105</v>
      </c>
      <c r="F75" t="s">
        <v>106</v>
      </c>
      <c r="G75">
        <v>53.42</v>
      </c>
      <c r="H75" t="b">
        <v>0</v>
      </c>
      <c r="I75" t="b">
        <v>0</v>
      </c>
      <c r="J75">
        <v>100</v>
      </c>
      <c r="K75">
        <v>2</v>
      </c>
      <c r="L75">
        <v>2</v>
      </c>
      <c r="M75">
        <v>0</v>
      </c>
      <c r="N75">
        <v>2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3">
      <c r="A76">
        <v>17</v>
      </c>
      <c r="B76">
        <v>1</v>
      </c>
      <c r="C76">
        <v>1</v>
      </c>
      <c r="D76">
        <v>6</v>
      </c>
      <c r="E76" t="s">
        <v>106</v>
      </c>
      <c r="F76" t="s">
        <v>107</v>
      </c>
      <c r="G76">
        <v>142.21100000000001</v>
      </c>
      <c r="H76" t="b">
        <v>0</v>
      </c>
      <c r="I76" t="b">
        <v>0</v>
      </c>
      <c r="J76">
        <v>100</v>
      </c>
      <c r="K76">
        <v>4</v>
      </c>
      <c r="L76">
        <v>4</v>
      </c>
      <c r="M76">
        <v>0</v>
      </c>
      <c r="N76">
        <v>2</v>
      </c>
      <c r="O76">
        <v>2</v>
      </c>
      <c r="P76">
        <v>0</v>
      </c>
      <c r="Q76">
        <v>2</v>
      </c>
      <c r="R76">
        <v>2</v>
      </c>
      <c r="S76">
        <v>0</v>
      </c>
      <c r="T76">
        <v>1</v>
      </c>
      <c r="U76">
        <v>1</v>
      </c>
      <c r="V76">
        <v>0</v>
      </c>
      <c r="W76">
        <v>0</v>
      </c>
    </row>
    <row r="77" spans="1:23" x14ac:dyDescent="0.3">
      <c r="A77">
        <v>17</v>
      </c>
      <c r="B77">
        <v>1</v>
      </c>
      <c r="C77">
        <v>1</v>
      </c>
      <c r="D77">
        <v>7</v>
      </c>
      <c r="E77" t="s">
        <v>107</v>
      </c>
      <c r="F77" t="s">
        <v>108</v>
      </c>
      <c r="G77">
        <v>123.378</v>
      </c>
      <c r="H77" t="b">
        <v>0</v>
      </c>
      <c r="I77" t="b">
        <v>0</v>
      </c>
      <c r="J77">
        <v>100</v>
      </c>
      <c r="K77">
        <v>3</v>
      </c>
      <c r="L77">
        <v>3</v>
      </c>
      <c r="M77">
        <v>0</v>
      </c>
      <c r="N77">
        <v>2</v>
      </c>
      <c r="O77">
        <v>2</v>
      </c>
      <c r="P77">
        <v>0</v>
      </c>
      <c r="Q77">
        <v>1</v>
      </c>
      <c r="R77">
        <v>1</v>
      </c>
      <c r="S77">
        <v>0</v>
      </c>
      <c r="T77">
        <v>2</v>
      </c>
      <c r="U77">
        <v>2</v>
      </c>
      <c r="V77">
        <v>0</v>
      </c>
      <c r="W77">
        <v>0</v>
      </c>
    </row>
    <row r="78" spans="1:23" x14ac:dyDescent="0.3">
      <c r="A78">
        <v>17</v>
      </c>
      <c r="B78">
        <v>1</v>
      </c>
      <c r="C78">
        <v>1</v>
      </c>
      <c r="D78">
        <v>8</v>
      </c>
      <c r="E78" t="s">
        <v>108</v>
      </c>
      <c r="F78" t="s">
        <v>109</v>
      </c>
      <c r="G78">
        <v>73.076999999999998</v>
      </c>
      <c r="H78" t="b">
        <v>0</v>
      </c>
      <c r="I78" t="b">
        <v>0</v>
      </c>
      <c r="J78">
        <v>100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2</v>
      </c>
      <c r="V78">
        <v>0</v>
      </c>
      <c r="W78">
        <v>0</v>
      </c>
    </row>
    <row r="79" spans="1:23" x14ac:dyDescent="0.3">
      <c r="A79">
        <v>17</v>
      </c>
      <c r="B79">
        <v>1</v>
      </c>
      <c r="C79">
        <v>1</v>
      </c>
      <c r="D79">
        <v>9</v>
      </c>
      <c r="E79" t="s">
        <v>109</v>
      </c>
      <c r="F79" t="s">
        <v>110</v>
      </c>
      <c r="G79">
        <v>130.977</v>
      </c>
      <c r="H79" t="b">
        <v>0</v>
      </c>
      <c r="I79" t="b">
        <v>0</v>
      </c>
      <c r="J79">
        <v>100</v>
      </c>
      <c r="K79">
        <v>4</v>
      </c>
      <c r="L79">
        <v>4</v>
      </c>
      <c r="M79">
        <v>0</v>
      </c>
      <c r="N79">
        <v>2</v>
      </c>
      <c r="O79">
        <v>2</v>
      </c>
      <c r="P79">
        <v>0</v>
      </c>
      <c r="Q79">
        <v>2</v>
      </c>
      <c r="R79">
        <v>2</v>
      </c>
      <c r="S79">
        <v>0</v>
      </c>
      <c r="T79">
        <v>4</v>
      </c>
      <c r="U79">
        <v>4</v>
      </c>
      <c r="V79">
        <v>0</v>
      </c>
      <c r="W79">
        <v>0</v>
      </c>
    </row>
    <row r="80" spans="1:23" x14ac:dyDescent="0.3">
      <c r="A80">
        <v>17</v>
      </c>
      <c r="B80">
        <v>1</v>
      </c>
      <c r="C80">
        <v>2</v>
      </c>
      <c r="D80">
        <v>1</v>
      </c>
      <c r="E80" t="s">
        <v>110</v>
      </c>
      <c r="F80" t="s">
        <v>111</v>
      </c>
      <c r="G80">
        <v>125.943</v>
      </c>
      <c r="H80" t="b">
        <v>0</v>
      </c>
      <c r="I80" t="b">
        <v>1</v>
      </c>
      <c r="J80">
        <v>75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2</v>
      </c>
      <c r="U80">
        <v>2</v>
      </c>
      <c r="V80">
        <v>0</v>
      </c>
      <c r="W80">
        <v>0</v>
      </c>
    </row>
    <row r="81" spans="1:23" x14ac:dyDescent="0.3">
      <c r="A81">
        <v>17</v>
      </c>
      <c r="B81">
        <v>1</v>
      </c>
      <c r="C81">
        <v>2</v>
      </c>
      <c r="D81">
        <v>2</v>
      </c>
      <c r="E81" t="s">
        <v>111</v>
      </c>
      <c r="F81" t="s">
        <v>112</v>
      </c>
      <c r="G81">
        <v>199.232</v>
      </c>
      <c r="H81" t="b">
        <v>1</v>
      </c>
      <c r="I81" t="b">
        <v>1</v>
      </c>
      <c r="J81">
        <v>100</v>
      </c>
      <c r="K81">
        <v>4</v>
      </c>
      <c r="L81">
        <v>4</v>
      </c>
      <c r="M81">
        <v>0</v>
      </c>
      <c r="N81">
        <v>2</v>
      </c>
      <c r="O81">
        <v>2</v>
      </c>
      <c r="P81">
        <v>0</v>
      </c>
      <c r="Q81">
        <v>2</v>
      </c>
      <c r="R81">
        <v>2</v>
      </c>
      <c r="S81">
        <v>0</v>
      </c>
      <c r="T81">
        <v>4</v>
      </c>
      <c r="U81">
        <v>4</v>
      </c>
      <c r="V81">
        <v>0</v>
      </c>
      <c r="W81">
        <v>0</v>
      </c>
    </row>
    <row r="82" spans="1:23" x14ac:dyDescent="0.3">
      <c r="A82">
        <v>17</v>
      </c>
      <c r="B82">
        <v>1</v>
      </c>
      <c r="C82">
        <v>3</v>
      </c>
      <c r="D82">
        <v>1</v>
      </c>
      <c r="E82" t="s">
        <v>112</v>
      </c>
      <c r="F82" t="s">
        <v>113</v>
      </c>
      <c r="G82">
        <v>114.916</v>
      </c>
      <c r="H82" t="b">
        <v>1</v>
      </c>
      <c r="I82" t="b">
        <v>1</v>
      </c>
      <c r="J82">
        <v>100</v>
      </c>
      <c r="K82">
        <v>5</v>
      </c>
      <c r="L82">
        <v>5</v>
      </c>
      <c r="M82">
        <v>0</v>
      </c>
      <c r="N82">
        <v>2</v>
      </c>
      <c r="O82">
        <v>2</v>
      </c>
      <c r="P82">
        <v>0</v>
      </c>
      <c r="Q82">
        <v>3</v>
      </c>
      <c r="R82">
        <v>3</v>
      </c>
      <c r="S82">
        <v>0</v>
      </c>
      <c r="T82">
        <v>4</v>
      </c>
      <c r="U82">
        <v>4</v>
      </c>
      <c r="V82">
        <v>0</v>
      </c>
      <c r="W82">
        <v>0</v>
      </c>
    </row>
    <row r="83" spans="1:23" x14ac:dyDescent="0.3">
      <c r="A83">
        <v>17</v>
      </c>
      <c r="B83">
        <v>3</v>
      </c>
      <c r="C83">
        <v>1</v>
      </c>
      <c r="D83">
        <v>1</v>
      </c>
      <c r="E83" t="s">
        <v>114</v>
      </c>
      <c r="F83" t="s">
        <v>115</v>
      </c>
      <c r="G83">
        <v>182.26</v>
      </c>
      <c r="H83" t="b">
        <v>0</v>
      </c>
      <c r="I83" t="b">
        <v>0</v>
      </c>
      <c r="J83">
        <v>75</v>
      </c>
      <c r="K83">
        <v>3</v>
      </c>
      <c r="L83">
        <v>2</v>
      </c>
      <c r="M83">
        <v>1</v>
      </c>
      <c r="N83">
        <v>2</v>
      </c>
      <c r="O83">
        <v>2</v>
      </c>
      <c r="P83">
        <v>0</v>
      </c>
      <c r="Q83">
        <v>1</v>
      </c>
      <c r="R83">
        <v>0</v>
      </c>
      <c r="S83">
        <v>1</v>
      </c>
      <c r="T83">
        <v>4</v>
      </c>
      <c r="U83">
        <v>4</v>
      </c>
      <c r="V83">
        <v>0</v>
      </c>
      <c r="W83">
        <v>0</v>
      </c>
    </row>
    <row r="84" spans="1:23" x14ac:dyDescent="0.3">
      <c r="A84">
        <v>17</v>
      </c>
      <c r="B84">
        <v>3</v>
      </c>
      <c r="C84">
        <v>1</v>
      </c>
      <c r="D84">
        <v>2</v>
      </c>
      <c r="E84" t="s">
        <v>115</v>
      </c>
      <c r="F84" t="s">
        <v>116</v>
      </c>
      <c r="G84">
        <v>253.69499999999999</v>
      </c>
      <c r="H84" t="b">
        <v>0</v>
      </c>
      <c r="I84" t="b">
        <v>0</v>
      </c>
      <c r="J84">
        <v>100</v>
      </c>
      <c r="K84">
        <v>3</v>
      </c>
      <c r="L84">
        <v>3</v>
      </c>
      <c r="M84">
        <v>0</v>
      </c>
      <c r="N84">
        <v>2</v>
      </c>
      <c r="O84">
        <v>2</v>
      </c>
      <c r="P84">
        <v>0</v>
      </c>
      <c r="Q84">
        <v>1</v>
      </c>
      <c r="R84">
        <v>1</v>
      </c>
      <c r="S84">
        <v>0</v>
      </c>
      <c r="T84">
        <v>4</v>
      </c>
      <c r="U84">
        <v>4</v>
      </c>
      <c r="V84">
        <v>0</v>
      </c>
      <c r="W84">
        <v>0</v>
      </c>
    </row>
    <row r="85" spans="1:23" x14ac:dyDescent="0.3">
      <c r="A85">
        <v>17</v>
      </c>
      <c r="B85">
        <v>3</v>
      </c>
      <c r="C85">
        <v>1</v>
      </c>
      <c r="D85">
        <v>3</v>
      </c>
      <c r="E85" t="s">
        <v>116</v>
      </c>
      <c r="F85" t="s">
        <v>117</v>
      </c>
      <c r="G85">
        <v>390.65300000000002</v>
      </c>
      <c r="H85" t="b">
        <v>0</v>
      </c>
      <c r="I85" t="b">
        <v>0</v>
      </c>
      <c r="J85">
        <v>100</v>
      </c>
      <c r="K85">
        <v>3</v>
      </c>
      <c r="L85">
        <v>3</v>
      </c>
      <c r="M85">
        <v>0</v>
      </c>
      <c r="N85">
        <v>2</v>
      </c>
      <c r="O85">
        <v>2</v>
      </c>
      <c r="P85">
        <v>0</v>
      </c>
      <c r="Q85">
        <v>1</v>
      </c>
      <c r="R85">
        <v>1</v>
      </c>
      <c r="S85">
        <v>0</v>
      </c>
      <c r="T85">
        <v>4</v>
      </c>
      <c r="U85">
        <v>4</v>
      </c>
      <c r="V85">
        <v>0</v>
      </c>
      <c r="W85">
        <v>0</v>
      </c>
    </row>
    <row r="86" spans="1:23" x14ac:dyDescent="0.3">
      <c r="A86">
        <v>17</v>
      </c>
      <c r="B86">
        <v>3</v>
      </c>
      <c r="C86">
        <v>1</v>
      </c>
      <c r="D86">
        <v>4</v>
      </c>
      <c r="E86" t="s">
        <v>117</v>
      </c>
      <c r="F86" t="s">
        <v>118</v>
      </c>
      <c r="G86">
        <v>206.63200000000001</v>
      </c>
      <c r="H86" t="b">
        <v>0</v>
      </c>
      <c r="I86" t="b">
        <v>0</v>
      </c>
      <c r="J86">
        <v>100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>
        <v>2</v>
      </c>
      <c r="V86">
        <v>0</v>
      </c>
      <c r="W86">
        <v>0</v>
      </c>
    </row>
    <row r="87" spans="1:23" x14ac:dyDescent="0.3">
      <c r="A87">
        <v>17</v>
      </c>
      <c r="B87">
        <v>3</v>
      </c>
      <c r="C87">
        <v>2</v>
      </c>
      <c r="D87">
        <v>1</v>
      </c>
      <c r="E87" t="s">
        <v>118</v>
      </c>
      <c r="F87" t="s">
        <v>119</v>
      </c>
      <c r="G87">
        <v>327.56599999999997</v>
      </c>
      <c r="H87" t="b">
        <v>0</v>
      </c>
      <c r="I87" t="b">
        <v>0</v>
      </c>
      <c r="J87">
        <v>100</v>
      </c>
      <c r="K87">
        <v>3</v>
      </c>
      <c r="L87">
        <v>3</v>
      </c>
      <c r="M87">
        <v>0</v>
      </c>
      <c r="N87">
        <v>2</v>
      </c>
      <c r="O87">
        <v>2</v>
      </c>
      <c r="P87">
        <v>0</v>
      </c>
      <c r="Q87">
        <v>1</v>
      </c>
      <c r="R87">
        <v>1</v>
      </c>
      <c r="S87">
        <v>0</v>
      </c>
      <c r="T87">
        <v>4</v>
      </c>
      <c r="U87">
        <v>4</v>
      </c>
      <c r="V87">
        <v>0</v>
      </c>
      <c r="W87">
        <v>0</v>
      </c>
    </row>
    <row r="88" spans="1:23" x14ac:dyDescent="0.3">
      <c r="A88">
        <v>17</v>
      </c>
      <c r="B88">
        <v>3</v>
      </c>
      <c r="C88">
        <v>3</v>
      </c>
      <c r="D88">
        <v>1</v>
      </c>
      <c r="E88" t="s">
        <v>119</v>
      </c>
      <c r="F88" t="s">
        <v>120</v>
      </c>
      <c r="G88">
        <v>391.79300000000001</v>
      </c>
      <c r="H88" t="b">
        <v>0</v>
      </c>
      <c r="I88" t="b">
        <v>0</v>
      </c>
      <c r="J88">
        <v>100</v>
      </c>
      <c r="K88">
        <v>4</v>
      </c>
      <c r="L88">
        <v>4</v>
      </c>
      <c r="M88">
        <v>0</v>
      </c>
      <c r="N88">
        <v>2</v>
      </c>
      <c r="O88">
        <v>2</v>
      </c>
      <c r="P88">
        <v>0</v>
      </c>
      <c r="Q88">
        <v>2</v>
      </c>
      <c r="R88">
        <v>2</v>
      </c>
      <c r="S88">
        <v>0</v>
      </c>
      <c r="T88">
        <v>4</v>
      </c>
      <c r="U88">
        <v>4</v>
      </c>
      <c r="V88">
        <v>0</v>
      </c>
      <c r="W88">
        <v>0</v>
      </c>
    </row>
    <row r="89" spans="1:23" x14ac:dyDescent="0.3">
      <c r="A89">
        <v>17</v>
      </c>
      <c r="B89">
        <v>3</v>
      </c>
      <c r="C89">
        <v>1</v>
      </c>
      <c r="D89">
        <v>1</v>
      </c>
      <c r="E89" t="s">
        <v>120</v>
      </c>
      <c r="F89" t="s">
        <v>121</v>
      </c>
      <c r="G89">
        <v>53.040999999999997</v>
      </c>
      <c r="H89" t="b">
        <v>0</v>
      </c>
      <c r="I89" t="b">
        <v>0</v>
      </c>
      <c r="J89">
        <v>75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1</v>
      </c>
    </row>
    <row r="90" spans="1:23" x14ac:dyDescent="0.3">
      <c r="A90">
        <v>18</v>
      </c>
      <c r="B90">
        <v>1</v>
      </c>
      <c r="C90">
        <v>1</v>
      </c>
      <c r="D90">
        <v>1</v>
      </c>
      <c r="E90" t="s">
        <v>122</v>
      </c>
      <c r="F90" t="s">
        <v>123</v>
      </c>
      <c r="G90">
        <v>187.68</v>
      </c>
      <c r="H90" t="b">
        <v>0</v>
      </c>
      <c r="I90" t="b">
        <v>0</v>
      </c>
      <c r="J90">
        <v>100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</row>
    <row r="91" spans="1:23" x14ac:dyDescent="0.3">
      <c r="A91">
        <v>18</v>
      </c>
      <c r="B91">
        <v>1</v>
      </c>
      <c r="C91">
        <v>1</v>
      </c>
      <c r="D91">
        <v>2</v>
      </c>
      <c r="E91" t="s">
        <v>123</v>
      </c>
      <c r="F91" t="s">
        <v>124</v>
      </c>
      <c r="G91">
        <v>106.849</v>
      </c>
      <c r="H91" t="b">
        <v>0</v>
      </c>
      <c r="I91" t="b">
        <v>0</v>
      </c>
      <c r="J91">
        <v>100</v>
      </c>
      <c r="K91">
        <v>1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">
      <c r="A92">
        <v>18</v>
      </c>
      <c r="B92">
        <v>1</v>
      </c>
      <c r="C92">
        <v>1</v>
      </c>
      <c r="D92">
        <v>3</v>
      </c>
      <c r="E92" t="s">
        <v>124</v>
      </c>
      <c r="F92" t="s">
        <v>125</v>
      </c>
      <c r="G92">
        <v>246.18799999999999</v>
      </c>
      <c r="H92" t="b">
        <v>0</v>
      </c>
      <c r="I92" t="b">
        <v>0</v>
      </c>
      <c r="J92">
        <v>75</v>
      </c>
      <c r="K92">
        <v>4</v>
      </c>
      <c r="L92">
        <v>1</v>
      </c>
      <c r="M92">
        <v>3</v>
      </c>
      <c r="N92">
        <v>1</v>
      </c>
      <c r="O92">
        <v>1</v>
      </c>
      <c r="P92">
        <v>0</v>
      </c>
      <c r="Q92">
        <v>3</v>
      </c>
      <c r="R92">
        <v>0</v>
      </c>
      <c r="S92">
        <v>3</v>
      </c>
      <c r="T92">
        <v>2</v>
      </c>
      <c r="U92">
        <v>1</v>
      </c>
      <c r="V92">
        <v>0</v>
      </c>
      <c r="W92">
        <v>0</v>
      </c>
    </row>
    <row r="93" spans="1:23" x14ac:dyDescent="0.3">
      <c r="A93">
        <v>18</v>
      </c>
      <c r="B93">
        <v>1</v>
      </c>
      <c r="C93">
        <v>1</v>
      </c>
      <c r="D93">
        <v>4</v>
      </c>
      <c r="E93" t="s">
        <v>125</v>
      </c>
      <c r="F93" t="s">
        <v>126</v>
      </c>
      <c r="G93">
        <v>69.762</v>
      </c>
      <c r="H93" t="b">
        <v>0</v>
      </c>
      <c r="I93" t="b">
        <v>0</v>
      </c>
      <c r="J93">
        <v>75</v>
      </c>
      <c r="K93">
        <v>2</v>
      </c>
      <c r="L93">
        <v>1</v>
      </c>
      <c r="M93">
        <v>1</v>
      </c>
      <c r="N93">
        <v>1</v>
      </c>
      <c r="O93">
        <v>1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</row>
    <row r="94" spans="1:23" x14ac:dyDescent="0.3">
      <c r="A94">
        <v>18</v>
      </c>
      <c r="B94">
        <v>1</v>
      </c>
      <c r="C94">
        <v>1</v>
      </c>
      <c r="D94">
        <v>5</v>
      </c>
      <c r="E94" t="s">
        <v>126</v>
      </c>
      <c r="F94" t="s">
        <v>127</v>
      </c>
      <c r="G94">
        <v>123.348</v>
      </c>
      <c r="H94" t="b">
        <v>0</v>
      </c>
      <c r="I94" t="b">
        <v>0</v>
      </c>
      <c r="J94">
        <v>100</v>
      </c>
      <c r="K94">
        <v>5</v>
      </c>
      <c r="L94">
        <v>5</v>
      </c>
      <c r="M94">
        <v>0</v>
      </c>
      <c r="N94">
        <v>2</v>
      </c>
      <c r="O94">
        <v>2</v>
      </c>
      <c r="P94">
        <v>0</v>
      </c>
      <c r="Q94">
        <v>3</v>
      </c>
      <c r="R94">
        <v>3</v>
      </c>
      <c r="S94">
        <v>0</v>
      </c>
      <c r="T94">
        <v>2</v>
      </c>
      <c r="U94">
        <v>0</v>
      </c>
      <c r="V94">
        <v>0</v>
      </c>
      <c r="W94">
        <v>0</v>
      </c>
    </row>
    <row r="95" spans="1:23" x14ac:dyDescent="0.3">
      <c r="A95">
        <v>18</v>
      </c>
      <c r="B95">
        <v>1</v>
      </c>
      <c r="C95">
        <v>1</v>
      </c>
      <c r="D95">
        <v>6</v>
      </c>
      <c r="E95" t="s">
        <v>127</v>
      </c>
      <c r="F95" t="s">
        <v>128</v>
      </c>
      <c r="G95">
        <v>97.134</v>
      </c>
      <c r="H95" t="b">
        <v>0</v>
      </c>
      <c r="I95" t="b">
        <v>0</v>
      </c>
      <c r="J95">
        <v>100</v>
      </c>
      <c r="K95">
        <v>5</v>
      </c>
      <c r="L95">
        <v>5</v>
      </c>
      <c r="M95">
        <v>0</v>
      </c>
      <c r="N95">
        <v>2</v>
      </c>
      <c r="O95">
        <v>2</v>
      </c>
      <c r="P95">
        <v>0</v>
      </c>
      <c r="Q95">
        <v>3</v>
      </c>
      <c r="R95">
        <v>3</v>
      </c>
      <c r="S95">
        <v>0</v>
      </c>
      <c r="T95">
        <v>2</v>
      </c>
      <c r="U95">
        <v>1</v>
      </c>
      <c r="V95">
        <v>0</v>
      </c>
      <c r="W95">
        <v>0</v>
      </c>
    </row>
    <row r="96" spans="1:23" x14ac:dyDescent="0.3">
      <c r="A96">
        <v>18</v>
      </c>
      <c r="B96">
        <v>1</v>
      </c>
      <c r="C96">
        <v>1</v>
      </c>
      <c r="D96">
        <v>1</v>
      </c>
      <c r="E96" t="s">
        <v>129</v>
      </c>
      <c r="F96" t="s">
        <v>130</v>
      </c>
      <c r="G96">
        <v>68.909000000000006</v>
      </c>
      <c r="H96" t="b">
        <v>0</v>
      </c>
      <c r="I96" t="b">
        <v>0</v>
      </c>
      <c r="J96">
        <v>100</v>
      </c>
      <c r="K96">
        <v>1</v>
      </c>
      <c r="L96">
        <v>1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>
        <v>18</v>
      </c>
      <c r="B97">
        <v>1</v>
      </c>
      <c r="C97">
        <v>1</v>
      </c>
      <c r="D97">
        <v>2</v>
      </c>
      <c r="E97" t="s">
        <v>130</v>
      </c>
      <c r="F97" t="s">
        <v>131</v>
      </c>
      <c r="G97">
        <v>134.59899999999999</v>
      </c>
      <c r="H97" t="b">
        <v>1</v>
      </c>
      <c r="I97" t="b">
        <v>1</v>
      </c>
      <c r="J97">
        <v>100</v>
      </c>
      <c r="K97">
        <v>5</v>
      </c>
      <c r="L97">
        <v>5</v>
      </c>
      <c r="M97">
        <v>0</v>
      </c>
      <c r="N97">
        <v>2</v>
      </c>
      <c r="O97">
        <v>2</v>
      </c>
      <c r="P97">
        <v>0</v>
      </c>
      <c r="Q97">
        <v>3</v>
      </c>
      <c r="R97">
        <v>3</v>
      </c>
      <c r="S97">
        <v>0</v>
      </c>
      <c r="T97">
        <v>4</v>
      </c>
      <c r="U97">
        <v>3</v>
      </c>
      <c r="V97">
        <v>0</v>
      </c>
      <c r="W97">
        <v>0</v>
      </c>
    </row>
    <row r="98" spans="1:23" x14ac:dyDescent="0.3">
      <c r="A98">
        <v>18</v>
      </c>
      <c r="B98">
        <v>1</v>
      </c>
      <c r="C98">
        <v>2</v>
      </c>
      <c r="D98">
        <v>1</v>
      </c>
      <c r="E98" t="s">
        <v>131</v>
      </c>
      <c r="F98" t="s">
        <v>132</v>
      </c>
      <c r="G98">
        <v>240.90199999999999</v>
      </c>
      <c r="H98" t="b">
        <v>1</v>
      </c>
      <c r="I98" t="b">
        <v>1</v>
      </c>
      <c r="J98">
        <v>100</v>
      </c>
      <c r="K98">
        <v>4</v>
      </c>
      <c r="L98">
        <v>4</v>
      </c>
      <c r="M98">
        <v>0</v>
      </c>
      <c r="N98">
        <v>2</v>
      </c>
      <c r="O98">
        <v>2</v>
      </c>
      <c r="P98">
        <v>0</v>
      </c>
      <c r="Q98">
        <v>2</v>
      </c>
      <c r="R98">
        <v>2</v>
      </c>
      <c r="S98">
        <v>0</v>
      </c>
      <c r="T98">
        <v>4</v>
      </c>
      <c r="U98">
        <v>3</v>
      </c>
      <c r="V98">
        <v>0</v>
      </c>
      <c r="W98">
        <v>0</v>
      </c>
    </row>
    <row r="99" spans="1:23" x14ac:dyDescent="0.3">
      <c r="A99">
        <v>18</v>
      </c>
      <c r="B99">
        <v>1</v>
      </c>
      <c r="C99">
        <v>3</v>
      </c>
      <c r="D99">
        <v>1</v>
      </c>
      <c r="E99" t="s">
        <v>132</v>
      </c>
      <c r="F99" t="s">
        <v>133</v>
      </c>
      <c r="G99">
        <v>134.988</v>
      </c>
      <c r="H99" t="b">
        <v>0</v>
      </c>
      <c r="I99" t="b">
        <v>1</v>
      </c>
      <c r="J99">
        <v>75</v>
      </c>
      <c r="K99">
        <v>2</v>
      </c>
      <c r="L99">
        <v>1</v>
      </c>
      <c r="M99">
        <v>1</v>
      </c>
      <c r="N99">
        <v>1</v>
      </c>
      <c r="O99">
        <v>1</v>
      </c>
      <c r="P99">
        <v>0</v>
      </c>
      <c r="Q99">
        <v>1</v>
      </c>
      <c r="R99">
        <v>0</v>
      </c>
      <c r="S99">
        <v>1</v>
      </c>
      <c r="T99">
        <v>4</v>
      </c>
      <c r="U99">
        <v>3</v>
      </c>
      <c r="V99">
        <v>0</v>
      </c>
      <c r="W99">
        <v>0</v>
      </c>
    </row>
    <row r="100" spans="1:23" x14ac:dyDescent="0.3">
      <c r="A100">
        <v>18</v>
      </c>
      <c r="B100">
        <v>1</v>
      </c>
      <c r="C100">
        <v>3</v>
      </c>
      <c r="D100">
        <v>2</v>
      </c>
      <c r="E100" t="s">
        <v>133</v>
      </c>
      <c r="F100" t="s">
        <v>134</v>
      </c>
      <c r="G100">
        <v>112.804</v>
      </c>
      <c r="H100" t="b">
        <v>0</v>
      </c>
      <c r="I100" t="b">
        <v>0</v>
      </c>
      <c r="J100">
        <v>75</v>
      </c>
      <c r="K100">
        <v>3</v>
      </c>
      <c r="L100">
        <v>2</v>
      </c>
      <c r="M100">
        <v>1</v>
      </c>
      <c r="N100">
        <v>2</v>
      </c>
      <c r="O100">
        <v>2</v>
      </c>
      <c r="P100">
        <v>0</v>
      </c>
      <c r="Q100">
        <v>1</v>
      </c>
      <c r="R100">
        <v>0</v>
      </c>
      <c r="S100">
        <v>1</v>
      </c>
      <c r="T100">
        <v>4</v>
      </c>
      <c r="U100">
        <v>3</v>
      </c>
      <c r="V100">
        <v>0</v>
      </c>
      <c r="W100">
        <v>0</v>
      </c>
    </row>
    <row r="101" spans="1:23" x14ac:dyDescent="0.3">
      <c r="A101">
        <v>18</v>
      </c>
      <c r="B101">
        <v>1</v>
      </c>
      <c r="C101">
        <v>3</v>
      </c>
      <c r="D101">
        <v>3</v>
      </c>
      <c r="E101" t="s">
        <v>134</v>
      </c>
      <c r="F101" t="s">
        <v>135</v>
      </c>
      <c r="G101">
        <v>154.82599999999999</v>
      </c>
      <c r="H101" t="b">
        <v>1</v>
      </c>
      <c r="I101" t="b">
        <v>1</v>
      </c>
      <c r="J101">
        <v>100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</v>
      </c>
      <c r="U101">
        <v>2</v>
      </c>
      <c r="V101">
        <v>0</v>
      </c>
      <c r="W101">
        <v>0</v>
      </c>
    </row>
    <row r="102" spans="1:23" x14ac:dyDescent="0.3">
      <c r="A102">
        <v>18</v>
      </c>
      <c r="B102">
        <v>1</v>
      </c>
      <c r="C102">
        <v>3</v>
      </c>
      <c r="D102">
        <v>4</v>
      </c>
      <c r="E102" t="s">
        <v>135</v>
      </c>
      <c r="F102" t="s">
        <v>136</v>
      </c>
      <c r="G102">
        <v>86.569000000000003</v>
      </c>
      <c r="H102" t="b">
        <v>0</v>
      </c>
      <c r="I102" t="b">
        <v>0</v>
      </c>
      <c r="J102">
        <v>100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>
        <v>18</v>
      </c>
      <c r="B103">
        <v>3</v>
      </c>
      <c r="C103">
        <v>1</v>
      </c>
      <c r="D103">
        <v>1</v>
      </c>
      <c r="E103" t="s">
        <v>137</v>
      </c>
      <c r="F103" t="s">
        <v>138</v>
      </c>
      <c r="G103">
        <v>120.97499999999999</v>
      </c>
      <c r="H103" t="b">
        <v>0</v>
      </c>
      <c r="I103" t="b">
        <v>1</v>
      </c>
      <c r="J103">
        <v>75</v>
      </c>
      <c r="K103">
        <v>3</v>
      </c>
      <c r="L103">
        <v>2</v>
      </c>
      <c r="M103">
        <v>1</v>
      </c>
      <c r="N103">
        <v>2</v>
      </c>
      <c r="O103">
        <v>2</v>
      </c>
      <c r="P103">
        <v>0</v>
      </c>
      <c r="Q103">
        <v>1</v>
      </c>
      <c r="R103">
        <v>0</v>
      </c>
      <c r="S103">
        <v>1</v>
      </c>
      <c r="T103">
        <v>3</v>
      </c>
      <c r="U103">
        <v>2</v>
      </c>
      <c r="V103">
        <v>0</v>
      </c>
      <c r="W103">
        <v>0</v>
      </c>
    </row>
    <row r="104" spans="1:23" x14ac:dyDescent="0.3">
      <c r="A104">
        <v>18</v>
      </c>
      <c r="B104">
        <v>3</v>
      </c>
      <c r="C104">
        <v>1</v>
      </c>
      <c r="D104">
        <v>2</v>
      </c>
      <c r="E104" t="s">
        <v>138</v>
      </c>
      <c r="F104" t="s">
        <v>139</v>
      </c>
      <c r="G104">
        <v>203.154</v>
      </c>
      <c r="H104" t="b">
        <v>1</v>
      </c>
      <c r="I104" t="b">
        <v>1</v>
      </c>
      <c r="J104">
        <v>100</v>
      </c>
      <c r="K104">
        <v>5</v>
      </c>
      <c r="L104">
        <v>5</v>
      </c>
      <c r="M104">
        <v>0</v>
      </c>
      <c r="N104">
        <v>2</v>
      </c>
      <c r="O104">
        <v>2</v>
      </c>
      <c r="P104">
        <v>0</v>
      </c>
      <c r="Q104">
        <v>3</v>
      </c>
      <c r="R104">
        <v>3</v>
      </c>
      <c r="S104">
        <v>0</v>
      </c>
      <c r="T104">
        <v>4</v>
      </c>
      <c r="U104">
        <v>3</v>
      </c>
      <c r="V104">
        <v>0</v>
      </c>
      <c r="W104">
        <v>0</v>
      </c>
    </row>
    <row r="105" spans="1:23" x14ac:dyDescent="0.3">
      <c r="A105">
        <v>18</v>
      </c>
      <c r="B105">
        <v>3</v>
      </c>
      <c r="C105">
        <v>2</v>
      </c>
      <c r="D105">
        <v>1</v>
      </c>
      <c r="E105" t="s">
        <v>139</v>
      </c>
      <c r="F105" t="s">
        <v>140</v>
      </c>
      <c r="G105">
        <v>140.18899999999999</v>
      </c>
      <c r="H105" t="b">
        <v>0</v>
      </c>
      <c r="I105" t="b">
        <v>1</v>
      </c>
      <c r="J105">
        <v>75</v>
      </c>
      <c r="K105">
        <v>2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0</v>
      </c>
      <c r="T105">
        <v>2</v>
      </c>
      <c r="U105">
        <v>2</v>
      </c>
      <c r="V105">
        <v>0</v>
      </c>
      <c r="W105">
        <v>1</v>
      </c>
    </row>
    <row r="106" spans="1:23" x14ac:dyDescent="0.3">
      <c r="A106">
        <v>18</v>
      </c>
      <c r="B106">
        <v>3</v>
      </c>
      <c r="C106">
        <v>2</v>
      </c>
      <c r="D106">
        <v>2</v>
      </c>
      <c r="E106" t="s">
        <v>140</v>
      </c>
      <c r="F106" t="s">
        <v>141</v>
      </c>
      <c r="G106">
        <v>267.505</v>
      </c>
      <c r="H106" t="b">
        <v>1</v>
      </c>
      <c r="I106" t="b">
        <v>1</v>
      </c>
      <c r="J106">
        <v>100</v>
      </c>
      <c r="K106">
        <v>4</v>
      </c>
      <c r="L106">
        <v>4</v>
      </c>
      <c r="M106">
        <v>0</v>
      </c>
      <c r="N106">
        <v>2</v>
      </c>
      <c r="O106">
        <v>2</v>
      </c>
      <c r="P106">
        <v>0</v>
      </c>
      <c r="Q106">
        <v>2</v>
      </c>
      <c r="R106">
        <v>2</v>
      </c>
      <c r="S106">
        <v>0</v>
      </c>
      <c r="T106">
        <v>4</v>
      </c>
      <c r="U106">
        <v>3</v>
      </c>
      <c r="V106">
        <v>0</v>
      </c>
      <c r="W106">
        <v>0</v>
      </c>
    </row>
    <row r="107" spans="1:23" x14ac:dyDescent="0.3">
      <c r="A107">
        <v>18</v>
      </c>
      <c r="B107">
        <v>3</v>
      </c>
      <c r="C107">
        <v>3</v>
      </c>
      <c r="D107">
        <v>1</v>
      </c>
      <c r="E107" t="s">
        <v>141</v>
      </c>
      <c r="F107" t="s">
        <v>142</v>
      </c>
      <c r="G107">
        <v>126.16200000000001</v>
      </c>
      <c r="H107" t="b">
        <v>0</v>
      </c>
      <c r="I107" t="b">
        <v>1</v>
      </c>
      <c r="J107">
        <v>75</v>
      </c>
      <c r="K107">
        <v>3</v>
      </c>
      <c r="L107">
        <v>2</v>
      </c>
      <c r="M107">
        <v>1</v>
      </c>
      <c r="N107">
        <v>2</v>
      </c>
      <c r="O107">
        <v>2</v>
      </c>
      <c r="P107">
        <v>0</v>
      </c>
      <c r="Q107">
        <v>1</v>
      </c>
      <c r="R107">
        <v>0</v>
      </c>
      <c r="S107">
        <v>1</v>
      </c>
      <c r="T107">
        <v>3</v>
      </c>
      <c r="U107">
        <v>2</v>
      </c>
      <c r="V107">
        <v>0</v>
      </c>
      <c r="W107">
        <v>0</v>
      </c>
    </row>
    <row r="108" spans="1:23" x14ac:dyDescent="0.3">
      <c r="A108">
        <v>18</v>
      </c>
      <c r="B108">
        <v>3</v>
      </c>
      <c r="C108">
        <v>3</v>
      </c>
      <c r="D108">
        <v>2</v>
      </c>
      <c r="E108" t="s">
        <v>142</v>
      </c>
      <c r="F108" t="s">
        <v>143</v>
      </c>
      <c r="G108">
        <v>308.41300000000001</v>
      </c>
      <c r="H108" t="b">
        <v>1</v>
      </c>
      <c r="I108" t="b">
        <v>1</v>
      </c>
      <c r="J108">
        <v>100</v>
      </c>
      <c r="K108">
        <v>4</v>
      </c>
      <c r="L108">
        <v>4</v>
      </c>
      <c r="M108">
        <v>0</v>
      </c>
      <c r="N108">
        <v>2</v>
      </c>
      <c r="O108">
        <v>2</v>
      </c>
      <c r="P108">
        <v>0</v>
      </c>
      <c r="Q108">
        <v>2</v>
      </c>
      <c r="R108">
        <v>2</v>
      </c>
      <c r="S108">
        <v>0</v>
      </c>
      <c r="T108">
        <v>4</v>
      </c>
      <c r="U108">
        <v>3</v>
      </c>
      <c r="V108">
        <v>0</v>
      </c>
      <c r="W108">
        <v>0</v>
      </c>
    </row>
    <row r="109" spans="1:23" x14ac:dyDescent="0.3">
      <c r="A109">
        <v>18</v>
      </c>
      <c r="B109">
        <v>3</v>
      </c>
      <c r="C109">
        <v>3</v>
      </c>
      <c r="D109">
        <v>3</v>
      </c>
      <c r="E109" t="s">
        <v>143</v>
      </c>
      <c r="F109" t="s">
        <v>144</v>
      </c>
      <c r="G109">
        <v>1055.059</v>
      </c>
      <c r="H109" t="b">
        <v>0</v>
      </c>
      <c r="I109" t="b">
        <v>1</v>
      </c>
      <c r="J109">
        <v>75</v>
      </c>
      <c r="K109">
        <v>3</v>
      </c>
      <c r="L109">
        <v>2</v>
      </c>
      <c r="M109">
        <v>1</v>
      </c>
      <c r="N109">
        <v>2</v>
      </c>
      <c r="O109">
        <v>2</v>
      </c>
      <c r="P109">
        <v>0</v>
      </c>
      <c r="Q109">
        <v>1</v>
      </c>
      <c r="R109">
        <v>0</v>
      </c>
      <c r="S109">
        <v>1</v>
      </c>
      <c r="T109">
        <v>2</v>
      </c>
      <c r="U109">
        <v>2</v>
      </c>
      <c r="V109">
        <v>0</v>
      </c>
      <c r="W109">
        <v>0</v>
      </c>
    </row>
    <row r="110" spans="1:23" x14ac:dyDescent="0.3">
      <c r="A110">
        <v>18</v>
      </c>
      <c r="B110">
        <v>3</v>
      </c>
      <c r="C110">
        <v>1</v>
      </c>
      <c r="D110">
        <v>1</v>
      </c>
      <c r="E110" t="s">
        <v>144</v>
      </c>
      <c r="F110" t="s">
        <v>145</v>
      </c>
      <c r="G110">
        <v>3.0000000000000001E-3</v>
      </c>
      <c r="H110" t="b">
        <v>0</v>
      </c>
      <c r="I110" t="b">
        <v>0</v>
      </c>
      <c r="J110">
        <v>100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>
        <v>19</v>
      </c>
      <c r="B111">
        <v>1</v>
      </c>
      <c r="C111">
        <v>1</v>
      </c>
      <c r="D111">
        <v>1</v>
      </c>
      <c r="E111" t="s">
        <v>146</v>
      </c>
      <c r="F111" t="s">
        <v>147</v>
      </c>
      <c r="G111">
        <v>74.222999999999999</v>
      </c>
      <c r="H111" t="b">
        <v>0</v>
      </c>
      <c r="I111" t="b">
        <v>0</v>
      </c>
      <c r="J111">
        <v>100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</row>
    <row r="112" spans="1:23" x14ac:dyDescent="0.3">
      <c r="A112">
        <v>19</v>
      </c>
      <c r="B112">
        <v>1</v>
      </c>
      <c r="C112">
        <v>1</v>
      </c>
      <c r="D112">
        <v>2</v>
      </c>
      <c r="E112" t="s">
        <v>147</v>
      </c>
      <c r="F112" t="s">
        <v>148</v>
      </c>
      <c r="G112">
        <v>306.42099999999999</v>
      </c>
      <c r="H112" t="b">
        <v>0</v>
      </c>
      <c r="I112" t="b">
        <v>1</v>
      </c>
      <c r="J112">
        <v>50</v>
      </c>
      <c r="K112">
        <v>16</v>
      </c>
      <c r="L112">
        <v>9</v>
      </c>
      <c r="M112">
        <v>7</v>
      </c>
      <c r="N112">
        <v>5</v>
      </c>
      <c r="O112">
        <v>3</v>
      </c>
      <c r="P112">
        <v>2</v>
      </c>
      <c r="Q112">
        <v>11</v>
      </c>
      <c r="R112">
        <v>6</v>
      </c>
      <c r="S112">
        <v>5</v>
      </c>
      <c r="T112">
        <v>4</v>
      </c>
      <c r="U112">
        <v>2</v>
      </c>
      <c r="V112">
        <v>0</v>
      </c>
      <c r="W112">
        <v>0</v>
      </c>
    </row>
    <row r="113" spans="1:23" x14ac:dyDescent="0.3">
      <c r="A113">
        <v>19</v>
      </c>
      <c r="B113">
        <v>1</v>
      </c>
      <c r="C113">
        <v>1</v>
      </c>
      <c r="D113">
        <v>3</v>
      </c>
      <c r="E113" t="s">
        <v>148</v>
      </c>
      <c r="F113" t="s">
        <v>149</v>
      </c>
      <c r="G113">
        <v>210.41399999999999</v>
      </c>
      <c r="H113" t="b">
        <v>1</v>
      </c>
      <c r="I113" t="b">
        <v>1</v>
      </c>
      <c r="J113">
        <v>100</v>
      </c>
      <c r="K113">
        <v>6</v>
      </c>
      <c r="L113">
        <v>6</v>
      </c>
      <c r="M113">
        <v>0</v>
      </c>
      <c r="N113">
        <v>1</v>
      </c>
      <c r="O113">
        <v>1</v>
      </c>
      <c r="P113">
        <v>0</v>
      </c>
      <c r="Q113">
        <v>5</v>
      </c>
      <c r="R113">
        <v>5</v>
      </c>
      <c r="S113">
        <v>0</v>
      </c>
      <c r="T113">
        <v>4</v>
      </c>
      <c r="U113">
        <v>4</v>
      </c>
      <c r="V113">
        <v>0</v>
      </c>
      <c r="W113">
        <v>0</v>
      </c>
    </row>
    <row r="114" spans="1:23" x14ac:dyDescent="0.3">
      <c r="A114">
        <v>19</v>
      </c>
      <c r="B114">
        <v>1</v>
      </c>
      <c r="C114">
        <v>1</v>
      </c>
      <c r="D114">
        <v>4</v>
      </c>
      <c r="E114" t="s">
        <v>149</v>
      </c>
      <c r="F114" t="s">
        <v>150</v>
      </c>
      <c r="G114">
        <v>194.3</v>
      </c>
      <c r="H114" t="b">
        <v>0</v>
      </c>
      <c r="I114" t="b">
        <v>1</v>
      </c>
      <c r="J114">
        <v>75</v>
      </c>
      <c r="K114">
        <v>7</v>
      </c>
      <c r="L114">
        <v>6</v>
      </c>
      <c r="M114">
        <v>1</v>
      </c>
      <c r="N114">
        <v>2</v>
      </c>
      <c r="O114">
        <v>2</v>
      </c>
      <c r="P114">
        <v>0</v>
      </c>
      <c r="Q114">
        <v>5</v>
      </c>
      <c r="R114">
        <v>4</v>
      </c>
      <c r="S114">
        <v>1</v>
      </c>
      <c r="T114">
        <v>4</v>
      </c>
      <c r="U114">
        <v>4</v>
      </c>
      <c r="V114">
        <v>0</v>
      </c>
      <c r="W114">
        <v>0</v>
      </c>
    </row>
    <row r="115" spans="1:23" x14ac:dyDescent="0.3">
      <c r="A115">
        <v>19</v>
      </c>
      <c r="B115">
        <v>1</v>
      </c>
      <c r="C115">
        <v>1</v>
      </c>
      <c r="D115">
        <v>5</v>
      </c>
      <c r="E115" t="s">
        <v>150</v>
      </c>
      <c r="F115" t="s">
        <v>151</v>
      </c>
      <c r="G115">
        <v>195.172</v>
      </c>
      <c r="H115" t="b">
        <v>0</v>
      </c>
      <c r="I115" t="b">
        <v>1</v>
      </c>
      <c r="J115">
        <v>75</v>
      </c>
      <c r="K115">
        <v>3</v>
      </c>
      <c r="L115">
        <v>2</v>
      </c>
      <c r="M115">
        <v>1</v>
      </c>
      <c r="N115">
        <v>2</v>
      </c>
      <c r="O115">
        <v>2</v>
      </c>
      <c r="P115">
        <v>0</v>
      </c>
      <c r="Q115">
        <v>1</v>
      </c>
      <c r="R115">
        <v>0</v>
      </c>
      <c r="S115">
        <v>1</v>
      </c>
      <c r="T115">
        <v>2</v>
      </c>
      <c r="U115">
        <v>1</v>
      </c>
      <c r="V115">
        <v>0</v>
      </c>
      <c r="W115">
        <v>0</v>
      </c>
    </row>
    <row r="116" spans="1:23" x14ac:dyDescent="0.3">
      <c r="A116">
        <v>19</v>
      </c>
      <c r="B116">
        <v>1</v>
      </c>
      <c r="C116">
        <v>1</v>
      </c>
      <c r="D116">
        <v>6</v>
      </c>
      <c r="E116" t="s">
        <v>151</v>
      </c>
      <c r="F116" t="s">
        <v>152</v>
      </c>
      <c r="G116">
        <v>264.42</v>
      </c>
      <c r="H116" t="b">
        <v>1</v>
      </c>
      <c r="I116" t="b">
        <v>1</v>
      </c>
      <c r="J116">
        <v>100</v>
      </c>
      <c r="K116">
        <v>7</v>
      </c>
      <c r="L116">
        <v>7</v>
      </c>
      <c r="M116">
        <v>0</v>
      </c>
      <c r="N116">
        <v>2</v>
      </c>
      <c r="O116">
        <v>2</v>
      </c>
      <c r="P116">
        <v>0</v>
      </c>
      <c r="Q116">
        <v>5</v>
      </c>
      <c r="R116">
        <v>5</v>
      </c>
      <c r="S116">
        <v>0</v>
      </c>
      <c r="T116">
        <v>4</v>
      </c>
      <c r="U116">
        <v>4</v>
      </c>
      <c r="V116">
        <v>0</v>
      </c>
      <c r="W116">
        <v>0</v>
      </c>
    </row>
    <row r="117" spans="1:23" x14ac:dyDescent="0.3">
      <c r="A117">
        <v>19</v>
      </c>
      <c r="B117">
        <v>1</v>
      </c>
      <c r="C117">
        <v>2</v>
      </c>
      <c r="D117">
        <v>1</v>
      </c>
      <c r="E117" t="s">
        <v>152</v>
      </c>
      <c r="F117" t="s">
        <v>153</v>
      </c>
      <c r="G117">
        <v>299.08600000000001</v>
      </c>
      <c r="H117" t="b">
        <v>1</v>
      </c>
      <c r="I117" t="b">
        <v>1</v>
      </c>
      <c r="J117">
        <v>100</v>
      </c>
      <c r="K117">
        <v>5</v>
      </c>
      <c r="L117">
        <v>5</v>
      </c>
      <c r="M117">
        <v>0</v>
      </c>
      <c r="N117">
        <v>2</v>
      </c>
      <c r="O117">
        <v>2</v>
      </c>
      <c r="P117">
        <v>0</v>
      </c>
      <c r="Q117">
        <v>3</v>
      </c>
      <c r="R117">
        <v>3</v>
      </c>
      <c r="S117">
        <v>0</v>
      </c>
      <c r="T117">
        <v>4</v>
      </c>
      <c r="U117">
        <v>4</v>
      </c>
      <c r="V117">
        <v>0</v>
      </c>
      <c r="W117">
        <v>0</v>
      </c>
    </row>
    <row r="118" spans="1:23" x14ac:dyDescent="0.3">
      <c r="A118">
        <v>19</v>
      </c>
      <c r="B118">
        <v>1</v>
      </c>
      <c r="C118">
        <v>3</v>
      </c>
      <c r="D118">
        <v>1</v>
      </c>
      <c r="E118" t="s">
        <v>153</v>
      </c>
      <c r="F118" t="s">
        <v>154</v>
      </c>
      <c r="G118">
        <v>150.49600000000001</v>
      </c>
      <c r="H118" t="b">
        <v>1</v>
      </c>
      <c r="I118" t="b">
        <v>1</v>
      </c>
      <c r="J118">
        <v>100</v>
      </c>
      <c r="K118">
        <v>4</v>
      </c>
      <c r="L118">
        <v>4</v>
      </c>
      <c r="M118">
        <v>0</v>
      </c>
      <c r="N118">
        <v>2</v>
      </c>
      <c r="O118">
        <v>2</v>
      </c>
      <c r="P118">
        <v>0</v>
      </c>
      <c r="Q118">
        <v>2</v>
      </c>
      <c r="R118">
        <v>2</v>
      </c>
      <c r="S118">
        <v>0</v>
      </c>
      <c r="T118">
        <v>4</v>
      </c>
      <c r="U118">
        <v>4</v>
      </c>
      <c r="V118">
        <v>0</v>
      </c>
      <c r="W118">
        <v>0</v>
      </c>
    </row>
    <row r="119" spans="1:23" x14ac:dyDescent="0.3">
      <c r="A119">
        <v>19</v>
      </c>
      <c r="B119">
        <v>3</v>
      </c>
      <c r="C119">
        <v>1</v>
      </c>
      <c r="D119">
        <v>1</v>
      </c>
      <c r="E119" t="s">
        <v>155</v>
      </c>
      <c r="F119" t="s">
        <v>156</v>
      </c>
      <c r="G119">
        <v>337.06</v>
      </c>
      <c r="H119" t="b">
        <v>1</v>
      </c>
      <c r="I119" t="b">
        <v>1</v>
      </c>
      <c r="J119">
        <v>100</v>
      </c>
      <c r="K119">
        <v>8</v>
      </c>
      <c r="L119">
        <v>8</v>
      </c>
      <c r="M119">
        <v>0</v>
      </c>
      <c r="N119">
        <v>2</v>
      </c>
      <c r="O119">
        <v>2</v>
      </c>
      <c r="P119">
        <v>0</v>
      </c>
      <c r="Q119">
        <v>6</v>
      </c>
      <c r="R119">
        <v>6</v>
      </c>
      <c r="S119">
        <v>0</v>
      </c>
      <c r="T119">
        <v>4</v>
      </c>
      <c r="U119">
        <v>4</v>
      </c>
      <c r="V119">
        <v>0</v>
      </c>
      <c r="W119">
        <v>0</v>
      </c>
    </row>
    <row r="120" spans="1:23" x14ac:dyDescent="0.3">
      <c r="A120">
        <v>19</v>
      </c>
      <c r="B120">
        <v>3</v>
      </c>
      <c r="C120">
        <v>2</v>
      </c>
      <c r="D120">
        <v>1</v>
      </c>
      <c r="E120" t="s">
        <v>156</v>
      </c>
      <c r="F120" t="s">
        <v>157</v>
      </c>
      <c r="G120">
        <v>74.784999999999997</v>
      </c>
      <c r="H120" t="b">
        <v>1</v>
      </c>
      <c r="I120" t="b">
        <v>1</v>
      </c>
      <c r="J120">
        <v>100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>
        <v>19</v>
      </c>
      <c r="B121">
        <v>3</v>
      </c>
      <c r="C121">
        <v>2</v>
      </c>
      <c r="D121">
        <v>2</v>
      </c>
      <c r="E121" t="s">
        <v>157</v>
      </c>
      <c r="F121" t="s">
        <v>158</v>
      </c>
      <c r="G121">
        <v>269.41300000000001</v>
      </c>
      <c r="H121" t="b">
        <v>1</v>
      </c>
      <c r="I121" t="b">
        <v>1</v>
      </c>
      <c r="J121">
        <v>100</v>
      </c>
      <c r="K121">
        <v>5</v>
      </c>
      <c r="L121">
        <v>5</v>
      </c>
      <c r="M121">
        <v>0</v>
      </c>
      <c r="N121">
        <v>2</v>
      </c>
      <c r="O121">
        <v>2</v>
      </c>
      <c r="P121">
        <v>0</v>
      </c>
      <c r="Q121">
        <v>3</v>
      </c>
      <c r="R121">
        <v>3</v>
      </c>
      <c r="S121">
        <v>0</v>
      </c>
      <c r="T121">
        <v>4</v>
      </c>
      <c r="U121">
        <v>4</v>
      </c>
      <c r="V121">
        <v>0</v>
      </c>
      <c r="W121">
        <v>0</v>
      </c>
    </row>
    <row r="122" spans="1:23" x14ac:dyDescent="0.3">
      <c r="A122">
        <v>19</v>
      </c>
      <c r="B122">
        <v>3</v>
      </c>
      <c r="C122">
        <v>3</v>
      </c>
      <c r="D122">
        <v>1</v>
      </c>
      <c r="E122" t="s">
        <v>158</v>
      </c>
      <c r="F122" t="s">
        <v>159</v>
      </c>
      <c r="G122">
        <v>250.042</v>
      </c>
      <c r="H122" t="b">
        <v>0</v>
      </c>
      <c r="I122" t="b">
        <v>1</v>
      </c>
      <c r="J122">
        <v>75</v>
      </c>
      <c r="K122">
        <v>5</v>
      </c>
      <c r="L122">
        <v>3</v>
      </c>
      <c r="M122">
        <v>2</v>
      </c>
      <c r="N122">
        <v>1</v>
      </c>
      <c r="O122">
        <v>1</v>
      </c>
      <c r="P122">
        <v>0</v>
      </c>
      <c r="Q122">
        <v>4</v>
      </c>
      <c r="R122">
        <v>2</v>
      </c>
      <c r="S122">
        <v>2</v>
      </c>
      <c r="T122">
        <v>4</v>
      </c>
      <c r="U122">
        <v>4</v>
      </c>
      <c r="V122">
        <v>0</v>
      </c>
      <c r="W122">
        <v>0</v>
      </c>
    </row>
    <row r="123" spans="1:23" x14ac:dyDescent="0.3">
      <c r="A123">
        <v>19</v>
      </c>
      <c r="B123">
        <v>3</v>
      </c>
      <c r="C123">
        <v>3</v>
      </c>
      <c r="D123">
        <v>2</v>
      </c>
      <c r="E123" t="s">
        <v>159</v>
      </c>
      <c r="F123" t="s">
        <v>160</v>
      </c>
      <c r="G123">
        <v>129.56399999999999</v>
      </c>
      <c r="H123" t="b">
        <v>1</v>
      </c>
      <c r="I123" t="b">
        <v>1</v>
      </c>
      <c r="J123">
        <v>100</v>
      </c>
      <c r="K123">
        <v>9</v>
      </c>
      <c r="L123">
        <v>9</v>
      </c>
      <c r="M123">
        <v>0</v>
      </c>
      <c r="N123">
        <v>2</v>
      </c>
      <c r="O123">
        <v>2</v>
      </c>
      <c r="P123">
        <v>0</v>
      </c>
      <c r="Q123">
        <v>7</v>
      </c>
      <c r="R123">
        <v>7</v>
      </c>
      <c r="S123">
        <v>0</v>
      </c>
      <c r="T123">
        <v>4</v>
      </c>
      <c r="U123">
        <v>4</v>
      </c>
      <c r="V123">
        <v>0</v>
      </c>
      <c r="W123">
        <v>0</v>
      </c>
    </row>
    <row r="124" spans="1:23" x14ac:dyDescent="0.3">
      <c r="A124">
        <v>1</v>
      </c>
      <c r="B124">
        <v>2</v>
      </c>
      <c r="C124">
        <v>1</v>
      </c>
      <c r="D124">
        <v>1</v>
      </c>
      <c r="E124" t="s">
        <v>161</v>
      </c>
      <c r="F124" t="s">
        <v>162</v>
      </c>
      <c r="G124">
        <v>430.90499999999997</v>
      </c>
      <c r="H124" t="b">
        <v>0</v>
      </c>
      <c r="I124" t="b">
        <v>0</v>
      </c>
      <c r="J124">
        <v>100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</row>
    <row r="125" spans="1:23" x14ac:dyDescent="0.3">
      <c r="A125">
        <v>21</v>
      </c>
      <c r="B125">
        <v>1</v>
      </c>
      <c r="C125">
        <v>1</v>
      </c>
      <c r="D125">
        <v>1</v>
      </c>
      <c r="E125" t="s">
        <v>163</v>
      </c>
      <c r="F125" t="s">
        <v>164</v>
      </c>
      <c r="G125">
        <v>184.30799999999999</v>
      </c>
      <c r="H125" t="b">
        <v>0</v>
      </c>
      <c r="I125" t="b">
        <v>0</v>
      </c>
      <c r="J125">
        <v>100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</row>
    <row r="126" spans="1:23" x14ac:dyDescent="0.3">
      <c r="A126">
        <v>21</v>
      </c>
      <c r="B126">
        <v>1</v>
      </c>
      <c r="C126">
        <v>1</v>
      </c>
      <c r="D126">
        <v>2</v>
      </c>
      <c r="E126" t="s">
        <v>164</v>
      </c>
      <c r="F126" t="s">
        <v>165</v>
      </c>
      <c r="G126">
        <v>133.89500000000001</v>
      </c>
      <c r="H126" t="b">
        <v>0</v>
      </c>
      <c r="I126" t="b">
        <v>0</v>
      </c>
      <c r="J126">
        <v>100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</row>
    <row r="127" spans="1:23" x14ac:dyDescent="0.3">
      <c r="A127">
        <v>21</v>
      </c>
      <c r="B127">
        <v>1</v>
      </c>
      <c r="C127">
        <v>1</v>
      </c>
      <c r="D127">
        <v>3</v>
      </c>
      <c r="E127" t="s">
        <v>165</v>
      </c>
      <c r="F127" t="s">
        <v>166</v>
      </c>
      <c r="G127">
        <v>144.14500000000001</v>
      </c>
      <c r="H127" t="b">
        <v>0</v>
      </c>
      <c r="I127" t="b">
        <v>0</v>
      </c>
      <c r="J127">
        <v>100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2</v>
      </c>
      <c r="U127">
        <v>2</v>
      </c>
      <c r="V127">
        <v>0</v>
      </c>
      <c r="W127">
        <v>0</v>
      </c>
    </row>
    <row r="128" spans="1:23" x14ac:dyDescent="0.3">
      <c r="A128">
        <v>21</v>
      </c>
      <c r="B128">
        <v>1</v>
      </c>
      <c r="C128">
        <v>1</v>
      </c>
      <c r="D128">
        <v>4</v>
      </c>
      <c r="E128" t="s">
        <v>166</v>
      </c>
      <c r="F128" t="s">
        <v>167</v>
      </c>
      <c r="G128">
        <v>148.101</v>
      </c>
      <c r="H128" t="b">
        <v>0</v>
      </c>
      <c r="I128" t="b">
        <v>0</v>
      </c>
      <c r="J128">
        <v>100</v>
      </c>
      <c r="K128">
        <v>2</v>
      </c>
      <c r="L128">
        <v>2</v>
      </c>
      <c r="M128">
        <v>0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2</v>
      </c>
      <c r="U128">
        <v>1</v>
      </c>
      <c r="V128">
        <v>0</v>
      </c>
      <c r="W128">
        <v>0</v>
      </c>
    </row>
    <row r="129" spans="1:23" x14ac:dyDescent="0.3">
      <c r="A129">
        <v>21</v>
      </c>
      <c r="B129">
        <v>1</v>
      </c>
      <c r="C129">
        <v>1</v>
      </c>
      <c r="D129">
        <v>5</v>
      </c>
      <c r="E129" t="s">
        <v>167</v>
      </c>
      <c r="F129" t="s">
        <v>168</v>
      </c>
      <c r="G129">
        <v>173.81399999999999</v>
      </c>
      <c r="H129" t="b">
        <v>0</v>
      </c>
      <c r="I129" t="b">
        <v>0</v>
      </c>
      <c r="J129">
        <v>100</v>
      </c>
      <c r="K129">
        <v>3</v>
      </c>
      <c r="L129">
        <v>3</v>
      </c>
      <c r="M129">
        <v>0</v>
      </c>
      <c r="N129">
        <v>1</v>
      </c>
      <c r="O129">
        <v>1</v>
      </c>
      <c r="P129">
        <v>0</v>
      </c>
      <c r="Q129">
        <v>2</v>
      </c>
      <c r="R129">
        <v>2</v>
      </c>
      <c r="S129">
        <v>0</v>
      </c>
      <c r="T129">
        <v>2</v>
      </c>
      <c r="U129">
        <v>2</v>
      </c>
      <c r="V129">
        <v>0</v>
      </c>
      <c r="W129">
        <v>0</v>
      </c>
    </row>
    <row r="130" spans="1:23" x14ac:dyDescent="0.3">
      <c r="A130">
        <v>21</v>
      </c>
      <c r="B130">
        <v>1</v>
      </c>
      <c r="C130">
        <v>2</v>
      </c>
      <c r="D130">
        <v>1</v>
      </c>
      <c r="E130" t="s">
        <v>168</v>
      </c>
      <c r="F130" t="s">
        <v>169</v>
      </c>
      <c r="G130">
        <v>239.89599999999999</v>
      </c>
      <c r="H130" t="b">
        <v>0</v>
      </c>
      <c r="I130" t="b">
        <v>1</v>
      </c>
      <c r="J130">
        <v>75</v>
      </c>
      <c r="K130">
        <v>4</v>
      </c>
      <c r="L130">
        <v>3</v>
      </c>
      <c r="M130">
        <v>1</v>
      </c>
      <c r="N130">
        <v>2</v>
      </c>
      <c r="O130">
        <v>2</v>
      </c>
      <c r="P130">
        <v>0</v>
      </c>
      <c r="Q130">
        <v>2</v>
      </c>
      <c r="R130">
        <v>1</v>
      </c>
      <c r="S130">
        <v>1</v>
      </c>
      <c r="T130">
        <v>4</v>
      </c>
      <c r="U130">
        <v>4</v>
      </c>
      <c r="V130">
        <v>0</v>
      </c>
      <c r="W130">
        <v>0</v>
      </c>
    </row>
    <row r="131" spans="1:23" x14ac:dyDescent="0.3">
      <c r="A131">
        <v>21</v>
      </c>
      <c r="B131">
        <v>1</v>
      </c>
      <c r="C131">
        <v>3</v>
      </c>
      <c r="D131">
        <v>1</v>
      </c>
      <c r="E131" t="s">
        <v>169</v>
      </c>
      <c r="F131" t="s">
        <v>170</v>
      </c>
      <c r="G131">
        <v>176.93600000000001</v>
      </c>
      <c r="H131" t="b">
        <v>0</v>
      </c>
      <c r="I131" t="b">
        <v>0</v>
      </c>
      <c r="J131">
        <v>100</v>
      </c>
      <c r="K131">
        <v>5</v>
      </c>
      <c r="L131">
        <v>5</v>
      </c>
      <c r="M131">
        <v>0</v>
      </c>
      <c r="N131">
        <v>2</v>
      </c>
      <c r="O131">
        <v>2</v>
      </c>
      <c r="P131">
        <v>0</v>
      </c>
      <c r="Q131">
        <v>3</v>
      </c>
      <c r="R131">
        <v>3</v>
      </c>
      <c r="S131">
        <v>0</v>
      </c>
      <c r="T131">
        <v>4</v>
      </c>
      <c r="U131">
        <v>4</v>
      </c>
      <c r="V131">
        <v>0</v>
      </c>
      <c r="W131">
        <v>0</v>
      </c>
    </row>
    <row r="132" spans="1:23" x14ac:dyDescent="0.3">
      <c r="A132">
        <v>21</v>
      </c>
      <c r="B132">
        <v>1</v>
      </c>
      <c r="C132">
        <v>3</v>
      </c>
      <c r="D132">
        <v>2</v>
      </c>
      <c r="E132" t="s">
        <v>170</v>
      </c>
      <c r="F132" t="s">
        <v>171</v>
      </c>
      <c r="G132">
        <v>156.55600000000001</v>
      </c>
      <c r="H132" t="b">
        <v>0</v>
      </c>
      <c r="I132" t="b">
        <v>1</v>
      </c>
      <c r="J132">
        <v>75</v>
      </c>
      <c r="K132">
        <v>6</v>
      </c>
      <c r="L132">
        <v>5</v>
      </c>
      <c r="M132">
        <v>1</v>
      </c>
      <c r="N132">
        <v>2</v>
      </c>
      <c r="O132">
        <v>2</v>
      </c>
      <c r="P132">
        <v>0</v>
      </c>
      <c r="Q132">
        <v>4</v>
      </c>
      <c r="R132">
        <v>3</v>
      </c>
      <c r="S132">
        <v>1</v>
      </c>
      <c r="T132">
        <v>4</v>
      </c>
      <c r="U132">
        <v>4</v>
      </c>
      <c r="V132">
        <v>0</v>
      </c>
      <c r="W132">
        <v>0</v>
      </c>
    </row>
    <row r="133" spans="1:23" x14ac:dyDescent="0.3">
      <c r="A133">
        <v>21</v>
      </c>
      <c r="B133">
        <v>1</v>
      </c>
      <c r="C133">
        <v>3</v>
      </c>
      <c r="D133">
        <v>3</v>
      </c>
      <c r="E133" t="s">
        <v>171</v>
      </c>
      <c r="F133" t="s">
        <v>172</v>
      </c>
      <c r="G133">
        <v>118.13800000000001</v>
      </c>
      <c r="H133" t="b">
        <v>0</v>
      </c>
      <c r="I133" t="b">
        <v>0</v>
      </c>
      <c r="J133">
        <v>75</v>
      </c>
      <c r="K133">
        <v>6</v>
      </c>
      <c r="L133">
        <v>5</v>
      </c>
      <c r="M133">
        <v>1</v>
      </c>
      <c r="N133">
        <v>2</v>
      </c>
      <c r="O133">
        <v>2</v>
      </c>
      <c r="P133">
        <v>0</v>
      </c>
      <c r="Q133">
        <v>4</v>
      </c>
      <c r="R133">
        <v>3</v>
      </c>
      <c r="S133">
        <v>1</v>
      </c>
      <c r="T133">
        <v>4</v>
      </c>
      <c r="U133">
        <v>4</v>
      </c>
      <c r="V133">
        <v>0</v>
      </c>
      <c r="W133">
        <v>0</v>
      </c>
    </row>
    <row r="134" spans="1:23" x14ac:dyDescent="0.3">
      <c r="A134">
        <v>21</v>
      </c>
      <c r="B134">
        <v>1</v>
      </c>
      <c r="C134">
        <v>3</v>
      </c>
      <c r="D134">
        <v>4</v>
      </c>
      <c r="E134" t="s">
        <v>172</v>
      </c>
      <c r="F134" t="s">
        <v>173</v>
      </c>
      <c r="G134">
        <v>94.793999999999997</v>
      </c>
      <c r="H134" t="b">
        <v>0</v>
      </c>
      <c r="I134" t="b">
        <v>0</v>
      </c>
      <c r="J134">
        <v>100</v>
      </c>
      <c r="K134">
        <v>4</v>
      </c>
      <c r="L134">
        <v>4</v>
      </c>
      <c r="M134">
        <v>0</v>
      </c>
      <c r="N134">
        <v>1</v>
      </c>
      <c r="O134">
        <v>1</v>
      </c>
      <c r="P134">
        <v>0</v>
      </c>
      <c r="Q134">
        <v>3</v>
      </c>
      <c r="R134">
        <v>3</v>
      </c>
      <c r="S134">
        <v>0</v>
      </c>
      <c r="T134">
        <v>4</v>
      </c>
      <c r="U134">
        <v>4</v>
      </c>
      <c r="V134">
        <v>0</v>
      </c>
      <c r="W134">
        <v>0</v>
      </c>
    </row>
    <row r="135" spans="1:23" x14ac:dyDescent="0.3">
      <c r="A135">
        <v>21</v>
      </c>
      <c r="B135">
        <v>3</v>
      </c>
      <c r="C135">
        <v>1</v>
      </c>
      <c r="D135">
        <v>1</v>
      </c>
      <c r="E135" t="s">
        <v>174</v>
      </c>
      <c r="F135" t="s">
        <v>175</v>
      </c>
      <c r="G135">
        <v>152.25200000000001</v>
      </c>
      <c r="H135" t="b">
        <v>0</v>
      </c>
      <c r="I135" t="b">
        <v>0</v>
      </c>
      <c r="J135">
        <v>100</v>
      </c>
      <c r="K135">
        <v>4</v>
      </c>
      <c r="L135">
        <v>4</v>
      </c>
      <c r="M135">
        <v>0</v>
      </c>
      <c r="N135">
        <v>1</v>
      </c>
      <c r="O135">
        <v>1</v>
      </c>
      <c r="P135">
        <v>0</v>
      </c>
      <c r="Q135">
        <v>3</v>
      </c>
      <c r="R135">
        <v>3</v>
      </c>
      <c r="S135">
        <v>0</v>
      </c>
      <c r="T135">
        <v>4</v>
      </c>
      <c r="U135">
        <v>4</v>
      </c>
      <c r="V135">
        <v>0</v>
      </c>
      <c r="W135">
        <v>0</v>
      </c>
    </row>
    <row r="136" spans="1:23" x14ac:dyDescent="0.3">
      <c r="A136">
        <v>21</v>
      </c>
      <c r="B136">
        <v>3</v>
      </c>
      <c r="C136">
        <v>1</v>
      </c>
      <c r="D136">
        <v>2</v>
      </c>
      <c r="E136" t="s">
        <v>175</v>
      </c>
      <c r="F136" t="s">
        <v>176</v>
      </c>
      <c r="G136">
        <v>142.797</v>
      </c>
      <c r="H136" t="b">
        <v>0</v>
      </c>
      <c r="I136" t="b">
        <v>0</v>
      </c>
      <c r="J136">
        <v>100</v>
      </c>
      <c r="K136">
        <v>4</v>
      </c>
      <c r="L136">
        <v>4</v>
      </c>
      <c r="M136">
        <v>0</v>
      </c>
      <c r="N136">
        <v>1</v>
      </c>
      <c r="O136">
        <v>1</v>
      </c>
      <c r="P136">
        <v>0</v>
      </c>
      <c r="Q136">
        <v>3</v>
      </c>
      <c r="R136">
        <v>3</v>
      </c>
      <c r="S136">
        <v>0</v>
      </c>
      <c r="T136">
        <v>4</v>
      </c>
      <c r="U136">
        <v>4</v>
      </c>
      <c r="V136">
        <v>0</v>
      </c>
      <c r="W136">
        <v>0</v>
      </c>
    </row>
    <row r="137" spans="1:23" x14ac:dyDescent="0.3">
      <c r="A137">
        <v>21</v>
      </c>
      <c r="B137">
        <v>3</v>
      </c>
      <c r="C137">
        <v>1</v>
      </c>
      <c r="D137">
        <v>3</v>
      </c>
      <c r="E137" t="s">
        <v>176</v>
      </c>
      <c r="F137" t="s">
        <v>177</v>
      </c>
      <c r="G137">
        <v>164.38399999999999</v>
      </c>
      <c r="H137" t="b">
        <v>0</v>
      </c>
      <c r="I137" t="b">
        <v>0</v>
      </c>
      <c r="J137">
        <v>100</v>
      </c>
      <c r="K137">
        <v>6</v>
      </c>
      <c r="L137">
        <v>6</v>
      </c>
      <c r="M137">
        <v>0</v>
      </c>
      <c r="N137">
        <v>2</v>
      </c>
      <c r="O137">
        <v>2</v>
      </c>
      <c r="P137">
        <v>0</v>
      </c>
      <c r="Q137">
        <v>4</v>
      </c>
      <c r="R137">
        <v>4</v>
      </c>
      <c r="S137">
        <v>0</v>
      </c>
      <c r="T137">
        <v>4</v>
      </c>
      <c r="U137">
        <v>4</v>
      </c>
      <c r="V137">
        <v>0</v>
      </c>
      <c r="W137">
        <v>0</v>
      </c>
    </row>
    <row r="138" spans="1:23" x14ac:dyDescent="0.3">
      <c r="A138">
        <v>21</v>
      </c>
      <c r="B138">
        <v>3</v>
      </c>
      <c r="C138">
        <v>2</v>
      </c>
      <c r="D138">
        <v>1</v>
      </c>
      <c r="E138" t="s">
        <v>177</v>
      </c>
      <c r="F138" t="s">
        <v>178</v>
      </c>
      <c r="G138">
        <v>163.05099999999999</v>
      </c>
      <c r="H138" t="b">
        <v>0</v>
      </c>
      <c r="I138" t="b">
        <v>1</v>
      </c>
      <c r="J138">
        <v>75</v>
      </c>
      <c r="K138">
        <v>5</v>
      </c>
      <c r="L138">
        <v>4</v>
      </c>
      <c r="M138">
        <v>1</v>
      </c>
      <c r="N138">
        <v>3</v>
      </c>
      <c r="O138">
        <v>2</v>
      </c>
      <c r="P138">
        <v>1</v>
      </c>
      <c r="Q138">
        <v>2</v>
      </c>
      <c r="R138">
        <v>2</v>
      </c>
      <c r="S138">
        <v>0</v>
      </c>
      <c r="T138">
        <v>4</v>
      </c>
      <c r="U138">
        <v>4</v>
      </c>
      <c r="V138">
        <v>0</v>
      </c>
      <c r="W138">
        <v>1</v>
      </c>
    </row>
    <row r="139" spans="1:23" x14ac:dyDescent="0.3">
      <c r="A139">
        <v>21</v>
      </c>
      <c r="B139">
        <v>3</v>
      </c>
      <c r="C139">
        <v>2</v>
      </c>
      <c r="D139">
        <v>2</v>
      </c>
      <c r="E139" t="s">
        <v>178</v>
      </c>
      <c r="F139" t="s">
        <v>179</v>
      </c>
      <c r="G139">
        <v>133.11699999999999</v>
      </c>
      <c r="H139" t="b">
        <v>0</v>
      </c>
      <c r="I139" t="b">
        <v>1</v>
      </c>
      <c r="J139">
        <v>75</v>
      </c>
      <c r="K139">
        <v>5</v>
      </c>
      <c r="L139">
        <v>4</v>
      </c>
      <c r="M139">
        <v>1</v>
      </c>
      <c r="N139">
        <v>3</v>
      </c>
      <c r="O139">
        <v>3</v>
      </c>
      <c r="P139">
        <v>0</v>
      </c>
      <c r="Q139">
        <v>2</v>
      </c>
      <c r="R139">
        <v>1</v>
      </c>
      <c r="S139">
        <v>1</v>
      </c>
      <c r="T139">
        <v>4</v>
      </c>
      <c r="U139">
        <v>4</v>
      </c>
      <c r="V139">
        <v>0</v>
      </c>
      <c r="W139">
        <v>0</v>
      </c>
    </row>
    <row r="140" spans="1:23" x14ac:dyDescent="0.3">
      <c r="A140">
        <v>21</v>
      </c>
      <c r="B140">
        <v>3</v>
      </c>
      <c r="C140">
        <v>2</v>
      </c>
      <c r="D140">
        <v>3</v>
      </c>
      <c r="E140" t="s">
        <v>179</v>
      </c>
      <c r="F140" t="s">
        <v>180</v>
      </c>
      <c r="G140">
        <v>189.28899999999999</v>
      </c>
      <c r="H140" t="b">
        <v>0</v>
      </c>
      <c r="I140" t="b">
        <v>0</v>
      </c>
      <c r="J140">
        <v>100</v>
      </c>
      <c r="K140">
        <v>5</v>
      </c>
      <c r="L140">
        <v>5</v>
      </c>
      <c r="M140">
        <v>0</v>
      </c>
      <c r="N140">
        <v>3</v>
      </c>
      <c r="O140">
        <v>3</v>
      </c>
      <c r="P140">
        <v>0</v>
      </c>
      <c r="Q140">
        <v>2</v>
      </c>
      <c r="R140">
        <v>2</v>
      </c>
      <c r="S140">
        <v>0</v>
      </c>
      <c r="T140">
        <v>4</v>
      </c>
      <c r="U140">
        <v>4</v>
      </c>
      <c r="V140">
        <v>0</v>
      </c>
      <c r="W140">
        <v>0</v>
      </c>
    </row>
    <row r="141" spans="1:23" x14ac:dyDescent="0.3">
      <c r="A141">
        <v>21</v>
      </c>
      <c r="B141">
        <v>3</v>
      </c>
      <c r="C141">
        <v>3</v>
      </c>
      <c r="D141">
        <v>1</v>
      </c>
      <c r="E141" t="s">
        <v>180</v>
      </c>
      <c r="F141" t="s">
        <v>181</v>
      </c>
      <c r="G141">
        <v>96.83</v>
      </c>
      <c r="H141" t="b">
        <v>1</v>
      </c>
      <c r="I141" t="b">
        <v>1</v>
      </c>
      <c r="J141">
        <v>100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>
        <v>21</v>
      </c>
      <c r="B142">
        <v>3</v>
      </c>
      <c r="C142">
        <v>3</v>
      </c>
      <c r="D142">
        <v>2</v>
      </c>
      <c r="E142" t="s">
        <v>181</v>
      </c>
      <c r="F142" t="s">
        <v>182</v>
      </c>
      <c r="G142">
        <v>125.596</v>
      </c>
      <c r="H142" t="b">
        <v>0</v>
      </c>
      <c r="I142" t="b">
        <v>0</v>
      </c>
      <c r="J142">
        <v>100</v>
      </c>
      <c r="K142">
        <v>5</v>
      </c>
      <c r="L142">
        <v>5</v>
      </c>
      <c r="M142">
        <v>0</v>
      </c>
      <c r="N142">
        <v>2</v>
      </c>
      <c r="O142">
        <v>2</v>
      </c>
      <c r="P142">
        <v>0</v>
      </c>
      <c r="Q142">
        <v>3</v>
      </c>
      <c r="R142">
        <v>3</v>
      </c>
      <c r="S142">
        <v>0</v>
      </c>
      <c r="T142">
        <v>4</v>
      </c>
      <c r="U142">
        <v>4</v>
      </c>
      <c r="V142">
        <v>0</v>
      </c>
      <c r="W142">
        <v>0</v>
      </c>
    </row>
    <row r="143" spans="1:23" x14ac:dyDescent="0.3">
      <c r="A143">
        <v>21</v>
      </c>
      <c r="B143">
        <v>3</v>
      </c>
      <c r="C143">
        <v>3</v>
      </c>
      <c r="D143">
        <v>3</v>
      </c>
      <c r="E143" t="s">
        <v>182</v>
      </c>
      <c r="F143" t="s">
        <v>183</v>
      </c>
      <c r="G143">
        <v>78.638000000000005</v>
      </c>
      <c r="H143" t="b">
        <v>0</v>
      </c>
      <c r="I143" t="b">
        <v>0</v>
      </c>
      <c r="J143">
        <v>100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</row>
    <row r="144" spans="1:23" x14ac:dyDescent="0.3">
      <c r="A144">
        <v>21</v>
      </c>
      <c r="B144">
        <v>3</v>
      </c>
      <c r="C144">
        <v>3</v>
      </c>
      <c r="D144">
        <v>4</v>
      </c>
      <c r="E144" t="s">
        <v>183</v>
      </c>
      <c r="F144" t="s">
        <v>184</v>
      </c>
      <c r="G144">
        <v>141.726</v>
      </c>
      <c r="H144" t="b">
        <v>0</v>
      </c>
      <c r="I144" t="b">
        <v>0</v>
      </c>
      <c r="J144">
        <v>75</v>
      </c>
      <c r="K144">
        <v>4</v>
      </c>
      <c r="L144">
        <v>3</v>
      </c>
      <c r="M144">
        <v>1</v>
      </c>
      <c r="N144">
        <v>2</v>
      </c>
      <c r="O144">
        <v>2</v>
      </c>
      <c r="P144">
        <v>0</v>
      </c>
      <c r="Q144">
        <v>2</v>
      </c>
      <c r="R144">
        <v>1</v>
      </c>
      <c r="S144">
        <v>1</v>
      </c>
      <c r="T144">
        <v>3</v>
      </c>
      <c r="U144">
        <v>3</v>
      </c>
      <c r="V144">
        <v>0</v>
      </c>
      <c r="W144">
        <v>0</v>
      </c>
    </row>
    <row r="145" spans="1:23" x14ac:dyDescent="0.3">
      <c r="A145">
        <v>21</v>
      </c>
      <c r="B145">
        <v>3</v>
      </c>
      <c r="C145">
        <v>3</v>
      </c>
      <c r="D145">
        <v>5</v>
      </c>
      <c r="E145" t="s">
        <v>184</v>
      </c>
      <c r="F145" t="s">
        <v>185</v>
      </c>
      <c r="G145">
        <v>166.05699999999999</v>
      </c>
      <c r="H145" t="b">
        <v>0</v>
      </c>
      <c r="I145" t="b">
        <v>0</v>
      </c>
      <c r="J145">
        <v>100</v>
      </c>
      <c r="K145">
        <v>3</v>
      </c>
      <c r="L145">
        <v>3</v>
      </c>
      <c r="M145">
        <v>0</v>
      </c>
      <c r="N145">
        <v>1</v>
      </c>
      <c r="O145">
        <v>1</v>
      </c>
      <c r="P145">
        <v>0</v>
      </c>
      <c r="Q145">
        <v>2</v>
      </c>
      <c r="R145">
        <v>2</v>
      </c>
      <c r="S145">
        <v>0</v>
      </c>
      <c r="T145">
        <v>4</v>
      </c>
      <c r="U145">
        <v>4</v>
      </c>
      <c r="V145">
        <v>0</v>
      </c>
      <c r="W145">
        <v>0</v>
      </c>
    </row>
    <row r="146" spans="1:23" x14ac:dyDescent="0.3">
      <c r="A146">
        <v>21</v>
      </c>
      <c r="B146">
        <v>3</v>
      </c>
      <c r="C146">
        <v>3</v>
      </c>
      <c r="D146">
        <v>6</v>
      </c>
      <c r="E146" t="s">
        <v>185</v>
      </c>
      <c r="F146" t="s">
        <v>186</v>
      </c>
      <c r="G146">
        <v>119.181</v>
      </c>
      <c r="H146" t="b">
        <v>0</v>
      </c>
      <c r="I146" t="b">
        <v>0</v>
      </c>
      <c r="J146">
        <v>100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2</v>
      </c>
      <c r="V146">
        <v>0</v>
      </c>
      <c r="W146">
        <v>0</v>
      </c>
    </row>
    <row r="147" spans="1:23" x14ac:dyDescent="0.3">
      <c r="A147">
        <v>21</v>
      </c>
      <c r="B147">
        <v>3</v>
      </c>
      <c r="C147">
        <v>3</v>
      </c>
      <c r="D147">
        <v>7</v>
      </c>
      <c r="E147" t="s">
        <v>186</v>
      </c>
      <c r="F147" t="s">
        <v>187</v>
      </c>
      <c r="G147">
        <v>124.776</v>
      </c>
      <c r="H147" t="b">
        <v>0</v>
      </c>
      <c r="I147" t="b">
        <v>1</v>
      </c>
      <c r="J147">
        <v>75</v>
      </c>
      <c r="K147">
        <v>5</v>
      </c>
      <c r="L147">
        <v>4</v>
      </c>
      <c r="M147">
        <v>1</v>
      </c>
      <c r="N147">
        <v>2</v>
      </c>
      <c r="O147">
        <v>2</v>
      </c>
      <c r="P147">
        <v>0</v>
      </c>
      <c r="Q147">
        <v>3</v>
      </c>
      <c r="R147">
        <v>2</v>
      </c>
      <c r="S147">
        <v>1</v>
      </c>
      <c r="T147">
        <v>4</v>
      </c>
      <c r="U147">
        <v>4</v>
      </c>
      <c r="V147">
        <v>0</v>
      </c>
      <c r="W147">
        <v>0</v>
      </c>
    </row>
    <row r="148" spans="1:23" x14ac:dyDescent="0.3">
      <c r="A148">
        <v>21</v>
      </c>
      <c r="B148">
        <v>3</v>
      </c>
      <c r="C148">
        <v>3</v>
      </c>
      <c r="D148">
        <v>8</v>
      </c>
      <c r="E148" t="s">
        <v>187</v>
      </c>
      <c r="F148" t="s">
        <v>188</v>
      </c>
      <c r="G148">
        <v>62.991999999999997</v>
      </c>
      <c r="H148" t="b">
        <v>1</v>
      </c>
      <c r="I148" t="b">
        <v>1</v>
      </c>
      <c r="J148">
        <v>100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</v>
      </c>
      <c r="U148">
        <v>1</v>
      </c>
      <c r="V148">
        <v>0</v>
      </c>
      <c r="W148">
        <v>0</v>
      </c>
    </row>
    <row r="149" spans="1:23" x14ac:dyDescent="0.3">
      <c r="A149">
        <v>21</v>
      </c>
      <c r="B149">
        <v>3</v>
      </c>
      <c r="C149">
        <v>3</v>
      </c>
      <c r="D149">
        <v>9</v>
      </c>
      <c r="E149" t="s">
        <v>188</v>
      </c>
      <c r="F149" t="s">
        <v>189</v>
      </c>
      <c r="G149">
        <v>51.606999999999999</v>
      </c>
      <c r="H149" t="b">
        <v>1</v>
      </c>
      <c r="I149" t="b">
        <v>1</v>
      </c>
      <c r="J149">
        <v>100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1</v>
      </c>
      <c r="V149">
        <v>0</v>
      </c>
      <c r="W149">
        <v>0</v>
      </c>
    </row>
    <row r="150" spans="1:23" x14ac:dyDescent="0.3">
      <c r="A150">
        <v>21</v>
      </c>
      <c r="B150">
        <v>3</v>
      </c>
      <c r="C150">
        <v>3</v>
      </c>
      <c r="D150">
        <v>10</v>
      </c>
      <c r="E150" t="s">
        <v>189</v>
      </c>
      <c r="F150" t="s">
        <v>190</v>
      </c>
      <c r="G150">
        <v>97.828000000000003</v>
      </c>
      <c r="H150" t="b">
        <v>0</v>
      </c>
      <c r="I150" t="b">
        <v>1</v>
      </c>
      <c r="J150">
        <v>75</v>
      </c>
      <c r="K150">
        <v>3</v>
      </c>
      <c r="L150">
        <v>2</v>
      </c>
      <c r="M150">
        <v>1</v>
      </c>
      <c r="N150">
        <v>2</v>
      </c>
      <c r="O150">
        <v>2</v>
      </c>
      <c r="P150">
        <v>0</v>
      </c>
      <c r="Q150">
        <v>1</v>
      </c>
      <c r="R150">
        <v>0</v>
      </c>
      <c r="S150">
        <v>1</v>
      </c>
      <c r="T150">
        <v>3</v>
      </c>
      <c r="U150">
        <v>3</v>
      </c>
      <c r="V150">
        <v>0</v>
      </c>
      <c r="W150">
        <v>0</v>
      </c>
    </row>
    <row r="151" spans="1:23" x14ac:dyDescent="0.3">
      <c r="A151">
        <v>21</v>
      </c>
      <c r="B151">
        <v>3</v>
      </c>
      <c r="C151">
        <v>3</v>
      </c>
      <c r="D151">
        <v>11</v>
      </c>
      <c r="E151" t="s">
        <v>190</v>
      </c>
      <c r="F151" t="s">
        <v>191</v>
      </c>
      <c r="G151">
        <v>711.37</v>
      </c>
      <c r="H151" t="b">
        <v>1</v>
      </c>
      <c r="I151" t="b">
        <v>1</v>
      </c>
      <c r="J151">
        <v>100</v>
      </c>
      <c r="K151">
        <v>5</v>
      </c>
      <c r="L151">
        <v>5</v>
      </c>
      <c r="M151">
        <v>0</v>
      </c>
      <c r="N151">
        <v>2</v>
      </c>
      <c r="O151">
        <v>2</v>
      </c>
      <c r="P151">
        <v>0</v>
      </c>
      <c r="Q151">
        <v>3</v>
      </c>
      <c r="R151">
        <v>3</v>
      </c>
      <c r="S151">
        <v>0</v>
      </c>
      <c r="T151">
        <v>4</v>
      </c>
      <c r="U151">
        <v>4</v>
      </c>
      <c r="V151">
        <v>0</v>
      </c>
      <c r="W151">
        <v>0</v>
      </c>
    </row>
    <row r="152" spans="1:23" x14ac:dyDescent="0.3">
      <c r="A152">
        <v>21</v>
      </c>
      <c r="B152">
        <v>3</v>
      </c>
      <c r="C152">
        <v>1</v>
      </c>
      <c r="D152">
        <v>1</v>
      </c>
      <c r="E152" t="s">
        <v>191</v>
      </c>
      <c r="F152" t="s">
        <v>192</v>
      </c>
      <c r="G152">
        <v>3.0000000000000001E-3</v>
      </c>
      <c r="H152" t="b">
        <v>0</v>
      </c>
      <c r="I152" t="b">
        <v>0</v>
      </c>
      <c r="J152">
        <v>100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>
        <v>22</v>
      </c>
      <c r="B153">
        <v>1</v>
      </c>
      <c r="C153">
        <v>1</v>
      </c>
      <c r="D153">
        <v>1</v>
      </c>
      <c r="E153" t="s">
        <v>193</v>
      </c>
      <c r="F153" t="s">
        <v>194</v>
      </c>
      <c r="G153">
        <v>170.46899999999999</v>
      </c>
      <c r="H153" t="b">
        <v>0</v>
      </c>
      <c r="I153" t="b">
        <v>0</v>
      </c>
      <c r="J153">
        <v>100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</row>
    <row r="154" spans="1:23" x14ac:dyDescent="0.3">
      <c r="A154">
        <v>22</v>
      </c>
      <c r="B154">
        <v>1</v>
      </c>
      <c r="C154">
        <v>1</v>
      </c>
      <c r="D154">
        <v>2</v>
      </c>
      <c r="E154" t="s">
        <v>194</v>
      </c>
      <c r="F154" t="s">
        <v>195</v>
      </c>
      <c r="G154">
        <v>151.059</v>
      </c>
      <c r="H154" t="b">
        <v>0</v>
      </c>
      <c r="I154" t="b">
        <v>0</v>
      </c>
      <c r="J154">
        <v>100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</row>
    <row r="155" spans="1:23" x14ac:dyDescent="0.3">
      <c r="A155">
        <v>22</v>
      </c>
      <c r="B155">
        <v>1</v>
      </c>
      <c r="C155">
        <v>2</v>
      </c>
      <c r="D155">
        <v>1</v>
      </c>
      <c r="E155" t="s">
        <v>195</v>
      </c>
      <c r="F155" t="s">
        <v>196</v>
      </c>
      <c r="G155">
        <v>236.70699999999999</v>
      </c>
      <c r="H155" t="b">
        <v>0</v>
      </c>
      <c r="I155" t="b">
        <v>0</v>
      </c>
      <c r="J155">
        <v>100</v>
      </c>
      <c r="K155">
        <v>2</v>
      </c>
      <c r="L155">
        <v>2</v>
      </c>
      <c r="M155">
        <v>0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3</v>
      </c>
      <c r="U155">
        <v>3</v>
      </c>
      <c r="V155">
        <v>0</v>
      </c>
      <c r="W155">
        <v>0</v>
      </c>
    </row>
    <row r="156" spans="1:23" x14ac:dyDescent="0.3">
      <c r="A156">
        <v>22</v>
      </c>
      <c r="B156">
        <v>1</v>
      </c>
      <c r="C156">
        <v>2</v>
      </c>
      <c r="D156">
        <v>2</v>
      </c>
      <c r="E156" t="s">
        <v>196</v>
      </c>
      <c r="F156" t="s">
        <v>197</v>
      </c>
      <c r="G156">
        <v>224.017</v>
      </c>
      <c r="H156" t="b">
        <v>0</v>
      </c>
      <c r="I156" t="b">
        <v>0</v>
      </c>
      <c r="J156">
        <v>100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2</v>
      </c>
      <c r="V156">
        <v>0</v>
      </c>
      <c r="W156">
        <v>0</v>
      </c>
    </row>
    <row r="157" spans="1:23" x14ac:dyDescent="0.3">
      <c r="A157">
        <v>22</v>
      </c>
      <c r="B157">
        <v>1</v>
      </c>
      <c r="C157">
        <v>2</v>
      </c>
      <c r="D157">
        <v>3</v>
      </c>
      <c r="E157" t="s">
        <v>197</v>
      </c>
      <c r="F157" t="s">
        <v>198</v>
      </c>
      <c r="G157">
        <v>316.09699999999998</v>
      </c>
      <c r="H157" t="b">
        <v>0</v>
      </c>
      <c r="I157" t="b">
        <v>0</v>
      </c>
      <c r="J157">
        <v>100</v>
      </c>
      <c r="K157">
        <v>4</v>
      </c>
      <c r="L157">
        <v>4</v>
      </c>
      <c r="M157">
        <v>0</v>
      </c>
      <c r="N157">
        <v>2</v>
      </c>
      <c r="O157">
        <v>2</v>
      </c>
      <c r="P157">
        <v>0</v>
      </c>
      <c r="Q157">
        <v>2</v>
      </c>
      <c r="R157">
        <v>2</v>
      </c>
      <c r="S157">
        <v>0</v>
      </c>
      <c r="T157">
        <v>3</v>
      </c>
      <c r="U157">
        <v>3</v>
      </c>
      <c r="V157">
        <v>0</v>
      </c>
      <c r="W157">
        <v>0</v>
      </c>
    </row>
    <row r="158" spans="1:23" x14ac:dyDescent="0.3">
      <c r="A158">
        <v>22</v>
      </c>
      <c r="B158">
        <v>1</v>
      </c>
      <c r="C158">
        <v>2</v>
      </c>
      <c r="D158">
        <v>4</v>
      </c>
      <c r="E158" t="s">
        <v>198</v>
      </c>
      <c r="F158" t="s">
        <v>199</v>
      </c>
      <c r="G158">
        <v>257.767</v>
      </c>
      <c r="H158" t="b">
        <v>1</v>
      </c>
      <c r="I158" t="b">
        <v>1</v>
      </c>
      <c r="J158">
        <v>100</v>
      </c>
      <c r="K158">
        <v>4</v>
      </c>
      <c r="L158">
        <v>4</v>
      </c>
      <c r="M158">
        <v>0</v>
      </c>
      <c r="N158">
        <v>2</v>
      </c>
      <c r="O158">
        <v>2</v>
      </c>
      <c r="P158">
        <v>0</v>
      </c>
      <c r="Q158">
        <v>2</v>
      </c>
      <c r="R158">
        <v>2</v>
      </c>
      <c r="S158">
        <v>0</v>
      </c>
      <c r="T158">
        <v>4</v>
      </c>
      <c r="U158">
        <v>4</v>
      </c>
      <c r="V158">
        <v>0</v>
      </c>
      <c r="W158">
        <v>0</v>
      </c>
    </row>
    <row r="159" spans="1:23" x14ac:dyDescent="0.3">
      <c r="A159">
        <v>22</v>
      </c>
      <c r="B159">
        <v>1</v>
      </c>
      <c r="C159">
        <v>3</v>
      </c>
      <c r="D159">
        <v>1</v>
      </c>
      <c r="E159" t="s">
        <v>199</v>
      </c>
      <c r="F159" t="s">
        <v>200</v>
      </c>
      <c r="G159">
        <v>154.113</v>
      </c>
      <c r="H159" t="b">
        <v>0</v>
      </c>
      <c r="I159" t="b">
        <v>1</v>
      </c>
      <c r="J159">
        <v>75</v>
      </c>
      <c r="K159">
        <v>4</v>
      </c>
      <c r="L159">
        <v>3</v>
      </c>
      <c r="M159">
        <v>1</v>
      </c>
      <c r="N159">
        <v>2</v>
      </c>
      <c r="O159">
        <v>2</v>
      </c>
      <c r="P159">
        <v>0</v>
      </c>
      <c r="Q159">
        <v>2</v>
      </c>
      <c r="R159">
        <v>1</v>
      </c>
      <c r="S159">
        <v>1</v>
      </c>
      <c r="T159">
        <v>4</v>
      </c>
      <c r="U159">
        <v>4</v>
      </c>
      <c r="V159">
        <v>0</v>
      </c>
      <c r="W159">
        <v>0</v>
      </c>
    </row>
    <row r="160" spans="1:23" x14ac:dyDescent="0.3">
      <c r="A160">
        <v>22</v>
      </c>
      <c r="B160">
        <v>1</v>
      </c>
      <c r="C160">
        <v>3</v>
      </c>
      <c r="D160">
        <v>2</v>
      </c>
      <c r="E160" t="s">
        <v>200</v>
      </c>
      <c r="F160" t="s">
        <v>201</v>
      </c>
      <c r="G160">
        <v>128.911</v>
      </c>
      <c r="H160" t="b">
        <v>1</v>
      </c>
      <c r="I160" t="b">
        <v>1</v>
      </c>
      <c r="J160">
        <v>100</v>
      </c>
      <c r="K160">
        <v>5</v>
      </c>
      <c r="L160">
        <v>5</v>
      </c>
      <c r="M160">
        <v>0</v>
      </c>
      <c r="N160">
        <v>2</v>
      </c>
      <c r="O160">
        <v>2</v>
      </c>
      <c r="P160">
        <v>0</v>
      </c>
      <c r="Q160">
        <v>3</v>
      </c>
      <c r="R160">
        <v>3</v>
      </c>
      <c r="S160">
        <v>0</v>
      </c>
      <c r="T160">
        <v>4</v>
      </c>
      <c r="U160">
        <v>4</v>
      </c>
      <c r="V160">
        <v>0</v>
      </c>
      <c r="W160">
        <v>0</v>
      </c>
    </row>
    <row r="161" spans="1:23" x14ac:dyDescent="0.3">
      <c r="A161">
        <v>22</v>
      </c>
      <c r="B161">
        <v>3</v>
      </c>
      <c r="C161">
        <v>1</v>
      </c>
      <c r="D161">
        <v>1</v>
      </c>
      <c r="E161" t="s">
        <v>202</v>
      </c>
      <c r="F161" t="s">
        <v>203</v>
      </c>
      <c r="G161">
        <v>196.04499999999999</v>
      </c>
      <c r="H161" t="b">
        <v>0</v>
      </c>
      <c r="I161" t="b">
        <v>0</v>
      </c>
      <c r="J161">
        <v>75</v>
      </c>
      <c r="K161">
        <v>4</v>
      </c>
      <c r="L161">
        <v>2</v>
      </c>
      <c r="M161">
        <v>2</v>
      </c>
      <c r="N161">
        <v>2</v>
      </c>
      <c r="O161">
        <v>2</v>
      </c>
      <c r="P161">
        <v>0</v>
      </c>
      <c r="Q161">
        <v>2</v>
      </c>
      <c r="R161">
        <v>0</v>
      </c>
      <c r="S161">
        <v>2</v>
      </c>
      <c r="T161">
        <v>2</v>
      </c>
      <c r="U161">
        <v>2</v>
      </c>
      <c r="V161">
        <v>0</v>
      </c>
      <c r="W161">
        <v>0</v>
      </c>
    </row>
    <row r="162" spans="1:23" x14ac:dyDescent="0.3">
      <c r="A162">
        <v>22</v>
      </c>
      <c r="B162">
        <v>3</v>
      </c>
      <c r="C162">
        <v>1</v>
      </c>
      <c r="D162">
        <v>2</v>
      </c>
      <c r="E162" t="s">
        <v>203</v>
      </c>
      <c r="F162" t="s">
        <v>204</v>
      </c>
      <c r="G162">
        <v>90.037000000000006</v>
      </c>
      <c r="H162" t="b">
        <v>0</v>
      </c>
      <c r="I162" t="b">
        <v>0</v>
      </c>
      <c r="J162">
        <v>75</v>
      </c>
      <c r="K162">
        <v>3</v>
      </c>
      <c r="L162">
        <v>2</v>
      </c>
      <c r="M162">
        <v>1</v>
      </c>
      <c r="N162">
        <v>2</v>
      </c>
      <c r="O162">
        <v>2</v>
      </c>
      <c r="P162">
        <v>0</v>
      </c>
      <c r="Q162">
        <v>1</v>
      </c>
      <c r="R162">
        <v>0</v>
      </c>
      <c r="S162">
        <v>1</v>
      </c>
      <c r="T162">
        <v>2</v>
      </c>
      <c r="U162">
        <v>2</v>
      </c>
      <c r="V162">
        <v>0</v>
      </c>
      <c r="W162">
        <v>0</v>
      </c>
    </row>
    <row r="163" spans="1:23" x14ac:dyDescent="0.3">
      <c r="A163">
        <v>22</v>
      </c>
      <c r="B163">
        <v>3</v>
      </c>
      <c r="C163">
        <v>1</v>
      </c>
      <c r="D163">
        <v>3</v>
      </c>
      <c r="E163" t="s">
        <v>204</v>
      </c>
      <c r="F163" t="s">
        <v>205</v>
      </c>
      <c r="G163">
        <v>179.13499999999999</v>
      </c>
      <c r="H163" t="b">
        <v>1</v>
      </c>
      <c r="I163" t="b">
        <v>1</v>
      </c>
      <c r="J163">
        <v>100</v>
      </c>
      <c r="K163">
        <v>4</v>
      </c>
      <c r="L163">
        <v>4</v>
      </c>
      <c r="M163">
        <v>0</v>
      </c>
      <c r="N163">
        <v>2</v>
      </c>
      <c r="O163">
        <v>2</v>
      </c>
      <c r="P163">
        <v>0</v>
      </c>
      <c r="Q163">
        <v>2</v>
      </c>
      <c r="R163">
        <v>2</v>
      </c>
      <c r="S163">
        <v>0</v>
      </c>
      <c r="T163">
        <v>4</v>
      </c>
      <c r="U163">
        <v>4</v>
      </c>
      <c r="V163">
        <v>0</v>
      </c>
      <c r="W163">
        <v>0</v>
      </c>
    </row>
    <row r="164" spans="1:23" x14ac:dyDescent="0.3">
      <c r="A164">
        <v>22</v>
      </c>
      <c r="B164">
        <v>3</v>
      </c>
      <c r="C164">
        <v>2</v>
      </c>
      <c r="D164">
        <v>1</v>
      </c>
      <c r="E164" t="s">
        <v>205</v>
      </c>
      <c r="F164" t="s">
        <v>206</v>
      </c>
      <c r="G164">
        <v>252.72300000000001</v>
      </c>
      <c r="H164" t="b">
        <v>0</v>
      </c>
      <c r="I164" t="b">
        <v>0</v>
      </c>
      <c r="J164">
        <v>100</v>
      </c>
      <c r="K164">
        <v>4</v>
      </c>
      <c r="L164">
        <v>4</v>
      </c>
      <c r="M164">
        <v>0</v>
      </c>
      <c r="N164">
        <v>2</v>
      </c>
      <c r="O164">
        <v>2</v>
      </c>
      <c r="P164">
        <v>0</v>
      </c>
      <c r="Q164">
        <v>2</v>
      </c>
      <c r="R164">
        <v>2</v>
      </c>
      <c r="S164">
        <v>0</v>
      </c>
      <c r="T164">
        <v>4</v>
      </c>
      <c r="U164">
        <v>4</v>
      </c>
      <c r="V164">
        <v>0</v>
      </c>
      <c r="W164">
        <v>0</v>
      </c>
    </row>
    <row r="165" spans="1:23" x14ac:dyDescent="0.3">
      <c r="A165">
        <v>22</v>
      </c>
      <c r="B165">
        <v>3</v>
      </c>
      <c r="C165">
        <v>2</v>
      </c>
      <c r="D165">
        <v>2</v>
      </c>
      <c r="E165" t="s">
        <v>206</v>
      </c>
      <c r="F165" t="s">
        <v>207</v>
      </c>
      <c r="G165">
        <v>310.423</v>
      </c>
      <c r="H165" t="b">
        <v>0</v>
      </c>
      <c r="I165" t="b">
        <v>0</v>
      </c>
      <c r="J165">
        <v>100</v>
      </c>
      <c r="K165">
        <v>4</v>
      </c>
      <c r="L165">
        <v>4</v>
      </c>
      <c r="M165">
        <v>0</v>
      </c>
      <c r="N165">
        <v>2</v>
      </c>
      <c r="O165">
        <v>2</v>
      </c>
      <c r="P165">
        <v>0</v>
      </c>
      <c r="Q165">
        <v>2</v>
      </c>
      <c r="R165">
        <v>2</v>
      </c>
      <c r="S165">
        <v>0</v>
      </c>
      <c r="T165">
        <v>4</v>
      </c>
      <c r="U165">
        <v>4</v>
      </c>
      <c r="V165">
        <v>0</v>
      </c>
      <c r="W165">
        <v>0</v>
      </c>
    </row>
    <row r="166" spans="1:23" x14ac:dyDescent="0.3">
      <c r="A166">
        <v>22</v>
      </c>
      <c r="B166">
        <v>3</v>
      </c>
      <c r="C166">
        <v>2</v>
      </c>
      <c r="D166">
        <v>3</v>
      </c>
      <c r="E166" t="s">
        <v>207</v>
      </c>
      <c r="F166" t="s">
        <v>208</v>
      </c>
      <c r="G166">
        <v>83.757999999999996</v>
      </c>
      <c r="H166" t="b">
        <v>0</v>
      </c>
      <c r="I166" t="b">
        <v>0</v>
      </c>
      <c r="J166">
        <v>75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>
        <v>22</v>
      </c>
      <c r="B167">
        <v>3</v>
      </c>
      <c r="C167">
        <v>2</v>
      </c>
      <c r="D167">
        <v>4</v>
      </c>
      <c r="E167" t="s">
        <v>208</v>
      </c>
      <c r="F167" t="s">
        <v>209</v>
      </c>
      <c r="G167">
        <v>68.081999999999994</v>
      </c>
      <c r="H167" t="b">
        <v>0</v>
      </c>
      <c r="I167" t="b">
        <v>0</v>
      </c>
      <c r="J167">
        <v>75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</row>
    <row r="168" spans="1:23" x14ac:dyDescent="0.3">
      <c r="A168">
        <v>22</v>
      </c>
      <c r="B168">
        <v>3</v>
      </c>
      <c r="C168">
        <v>2</v>
      </c>
      <c r="D168">
        <v>5</v>
      </c>
      <c r="E168" t="s">
        <v>209</v>
      </c>
      <c r="F168" t="s">
        <v>210</v>
      </c>
      <c r="G168">
        <v>247.49799999999999</v>
      </c>
      <c r="H168" t="b">
        <v>0</v>
      </c>
      <c r="I168" t="b">
        <v>0</v>
      </c>
      <c r="J168">
        <v>100</v>
      </c>
      <c r="K168">
        <v>3</v>
      </c>
      <c r="L168">
        <v>3</v>
      </c>
      <c r="M168">
        <v>0</v>
      </c>
      <c r="N168">
        <v>2</v>
      </c>
      <c r="O168">
        <v>2</v>
      </c>
      <c r="P168">
        <v>0</v>
      </c>
      <c r="Q168">
        <v>1</v>
      </c>
      <c r="R168">
        <v>1</v>
      </c>
      <c r="S168">
        <v>0</v>
      </c>
      <c r="T168">
        <v>3</v>
      </c>
      <c r="U168">
        <v>3</v>
      </c>
      <c r="V168">
        <v>0</v>
      </c>
      <c r="W168">
        <v>0</v>
      </c>
    </row>
    <row r="169" spans="1:23" x14ac:dyDescent="0.3">
      <c r="A169">
        <v>22</v>
      </c>
      <c r="B169">
        <v>3</v>
      </c>
      <c r="C169">
        <v>2</v>
      </c>
      <c r="D169">
        <v>6</v>
      </c>
      <c r="E169" t="s">
        <v>210</v>
      </c>
      <c r="F169" t="s">
        <v>211</v>
      </c>
      <c r="G169">
        <v>272.08800000000002</v>
      </c>
      <c r="H169" t="b">
        <v>0</v>
      </c>
      <c r="I169" t="b">
        <v>0</v>
      </c>
      <c r="J169">
        <v>100</v>
      </c>
      <c r="K169">
        <v>4</v>
      </c>
      <c r="L169">
        <v>4</v>
      </c>
      <c r="M169">
        <v>0</v>
      </c>
      <c r="N169">
        <v>2</v>
      </c>
      <c r="O169">
        <v>2</v>
      </c>
      <c r="P169">
        <v>0</v>
      </c>
      <c r="Q169">
        <v>2</v>
      </c>
      <c r="R169">
        <v>2</v>
      </c>
      <c r="S169">
        <v>0</v>
      </c>
      <c r="T169">
        <v>4</v>
      </c>
      <c r="U169">
        <v>4</v>
      </c>
      <c r="V169">
        <v>0</v>
      </c>
      <c r="W169">
        <v>0</v>
      </c>
    </row>
    <row r="170" spans="1:23" x14ac:dyDescent="0.3">
      <c r="A170">
        <v>22</v>
      </c>
      <c r="B170">
        <v>3</v>
      </c>
      <c r="C170">
        <v>2</v>
      </c>
      <c r="D170">
        <v>7</v>
      </c>
      <c r="E170" t="s">
        <v>211</v>
      </c>
      <c r="F170" t="s">
        <v>212</v>
      </c>
      <c r="G170">
        <v>317.00900000000001</v>
      </c>
      <c r="H170" t="b">
        <v>0</v>
      </c>
      <c r="I170" t="b">
        <v>0</v>
      </c>
      <c r="J170">
        <v>100</v>
      </c>
      <c r="K170">
        <v>4</v>
      </c>
      <c r="L170">
        <v>4</v>
      </c>
      <c r="M170">
        <v>0</v>
      </c>
      <c r="N170">
        <v>2</v>
      </c>
      <c r="O170">
        <v>2</v>
      </c>
      <c r="P170">
        <v>0</v>
      </c>
      <c r="Q170">
        <v>2</v>
      </c>
      <c r="R170">
        <v>2</v>
      </c>
      <c r="S170">
        <v>0</v>
      </c>
      <c r="T170">
        <v>4</v>
      </c>
      <c r="U170">
        <v>4</v>
      </c>
      <c r="V170">
        <v>0</v>
      </c>
      <c r="W170">
        <v>0</v>
      </c>
    </row>
    <row r="171" spans="1:23" x14ac:dyDescent="0.3">
      <c r="A171">
        <v>22</v>
      </c>
      <c r="B171">
        <v>3</v>
      </c>
      <c r="C171">
        <v>2</v>
      </c>
      <c r="D171">
        <v>8</v>
      </c>
      <c r="E171" t="s">
        <v>212</v>
      </c>
      <c r="F171" t="s">
        <v>213</v>
      </c>
      <c r="G171">
        <v>594.35299999999995</v>
      </c>
      <c r="H171" t="b">
        <v>0</v>
      </c>
      <c r="I171" t="b">
        <v>0</v>
      </c>
      <c r="J171">
        <v>100</v>
      </c>
      <c r="K171">
        <v>4</v>
      </c>
      <c r="L171">
        <v>4</v>
      </c>
      <c r="M171">
        <v>0</v>
      </c>
      <c r="N171">
        <v>2</v>
      </c>
      <c r="O171">
        <v>2</v>
      </c>
      <c r="P171">
        <v>0</v>
      </c>
      <c r="Q171">
        <v>2</v>
      </c>
      <c r="R171">
        <v>2</v>
      </c>
      <c r="S171">
        <v>0</v>
      </c>
      <c r="T171">
        <v>4</v>
      </c>
      <c r="U171">
        <v>4</v>
      </c>
      <c r="V171">
        <v>0</v>
      </c>
      <c r="W171">
        <v>0</v>
      </c>
    </row>
    <row r="172" spans="1:23" x14ac:dyDescent="0.3">
      <c r="A172">
        <v>22</v>
      </c>
      <c r="B172">
        <v>3</v>
      </c>
      <c r="C172">
        <v>2</v>
      </c>
      <c r="D172">
        <v>9</v>
      </c>
      <c r="E172" t="s">
        <v>213</v>
      </c>
      <c r="F172" t="s">
        <v>214</v>
      </c>
      <c r="G172">
        <v>400.58800000000002</v>
      </c>
      <c r="H172" t="b">
        <v>0</v>
      </c>
      <c r="I172" t="b">
        <v>0</v>
      </c>
      <c r="J172">
        <v>100</v>
      </c>
      <c r="K172">
        <v>4</v>
      </c>
      <c r="L172">
        <v>4</v>
      </c>
      <c r="M172">
        <v>0</v>
      </c>
      <c r="N172">
        <v>2</v>
      </c>
      <c r="O172">
        <v>2</v>
      </c>
      <c r="P172">
        <v>0</v>
      </c>
      <c r="Q172">
        <v>2</v>
      </c>
      <c r="R172">
        <v>2</v>
      </c>
      <c r="S172">
        <v>0</v>
      </c>
      <c r="T172">
        <v>4</v>
      </c>
      <c r="U172">
        <v>4</v>
      </c>
      <c r="V172">
        <v>0</v>
      </c>
      <c r="W172">
        <v>0</v>
      </c>
    </row>
    <row r="173" spans="1:23" x14ac:dyDescent="0.3">
      <c r="A173">
        <v>22</v>
      </c>
      <c r="B173">
        <v>3</v>
      </c>
      <c r="C173">
        <v>2</v>
      </c>
      <c r="D173">
        <v>10</v>
      </c>
      <c r="E173" t="s">
        <v>214</v>
      </c>
      <c r="F173" t="s">
        <v>215</v>
      </c>
      <c r="G173">
        <v>200.101</v>
      </c>
      <c r="H173" t="b">
        <v>0</v>
      </c>
      <c r="I173" t="b">
        <v>0</v>
      </c>
      <c r="J173">
        <v>100</v>
      </c>
      <c r="K173">
        <v>4</v>
      </c>
      <c r="L173">
        <v>4</v>
      </c>
      <c r="M173">
        <v>0</v>
      </c>
      <c r="N173">
        <v>2</v>
      </c>
      <c r="O173">
        <v>2</v>
      </c>
      <c r="P173">
        <v>0</v>
      </c>
      <c r="Q173">
        <v>2</v>
      </c>
      <c r="R173">
        <v>2</v>
      </c>
      <c r="S173">
        <v>0</v>
      </c>
      <c r="T173">
        <v>2</v>
      </c>
      <c r="U173">
        <v>2</v>
      </c>
      <c r="V173">
        <v>0</v>
      </c>
      <c r="W173">
        <v>0</v>
      </c>
    </row>
    <row r="174" spans="1:23" x14ac:dyDescent="0.3">
      <c r="A174">
        <v>23</v>
      </c>
      <c r="B174">
        <v>1</v>
      </c>
      <c r="C174">
        <v>1</v>
      </c>
      <c r="D174">
        <v>1</v>
      </c>
      <c r="E174" t="s">
        <v>216</v>
      </c>
      <c r="F174" t="s">
        <v>217</v>
      </c>
      <c r="G174">
        <v>189.16800000000001</v>
      </c>
      <c r="H174" t="b">
        <v>0</v>
      </c>
      <c r="I174" t="b">
        <v>0</v>
      </c>
      <c r="J174">
        <v>100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</row>
    <row r="175" spans="1:23" x14ac:dyDescent="0.3">
      <c r="A175">
        <v>23</v>
      </c>
      <c r="B175">
        <v>1</v>
      </c>
      <c r="C175">
        <v>1</v>
      </c>
      <c r="D175">
        <v>2</v>
      </c>
      <c r="E175" t="s">
        <v>217</v>
      </c>
      <c r="F175" t="s">
        <v>218</v>
      </c>
      <c r="G175">
        <v>185.19399999999999</v>
      </c>
      <c r="H175" t="b">
        <v>0</v>
      </c>
      <c r="I175" t="b">
        <v>0</v>
      </c>
      <c r="J175">
        <v>75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4</v>
      </c>
      <c r="U175">
        <v>4</v>
      </c>
      <c r="V175">
        <v>0</v>
      </c>
      <c r="W175">
        <v>0</v>
      </c>
    </row>
    <row r="176" spans="1:23" x14ac:dyDescent="0.3">
      <c r="A176">
        <v>23</v>
      </c>
      <c r="B176">
        <v>1</v>
      </c>
      <c r="C176">
        <v>1</v>
      </c>
      <c r="D176">
        <v>3</v>
      </c>
      <c r="E176" t="s">
        <v>218</v>
      </c>
      <c r="F176" t="s">
        <v>219</v>
      </c>
      <c r="G176">
        <v>202.14</v>
      </c>
      <c r="H176" t="b">
        <v>0</v>
      </c>
      <c r="I176" t="b">
        <v>0</v>
      </c>
      <c r="J176">
        <v>75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4</v>
      </c>
      <c r="U176">
        <v>3</v>
      </c>
      <c r="V176">
        <v>0</v>
      </c>
      <c r="W176">
        <v>0</v>
      </c>
    </row>
    <row r="177" spans="1:23" x14ac:dyDescent="0.3">
      <c r="A177">
        <v>23</v>
      </c>
      <c r="B177">
        <v>1</v>
      </c>
      <c r="C177">
        <v>1</v>
      </c>
      <c r="D177">
        <v>4</v>
      </c>
      <c r="E177" t="s">
        <v>219</v>
      </c>
      <c r="F177" t="s">
        <v>220</v>
      </c>
      <c r="G177">
        <v>175.37299999999999</v>
      </c>
      <c r="H177" t="b">
        <v>0</v>
      </c>
      <c r="I177" t="b">
        <v>0</v>
      </c>
      <c r="J177">
        <v>100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</row>
    <row r="178" spans="1:23" x14ac:dyDescent="0.3">
      <c r="A178">
        <v>23</v>
      </c>
      <c r="B178">
        <v>1</v>
      </c>
      <c r="C178">
        <v>1</v>
      </c>
      <c r="D178">
        <v>5</v>
      </c>
      <c r="E178" t="s">
        <v>220</v>
      </c>
      <c r="F178" t="s">
        <v>221</v>
      </c>
      <c r="G178">
        <v>115.24</v>
      </c>
      <c r="H178" t="b">
        <v>0</v>
      </c>
      <c r="I178" t="b">
        <v>0</v>
      </c>
      <c r="J178">
        <v>100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2</v>
      </c>
      <c r="U178">
        <v>1</v>
      </c>
      <c r="V178">
        <v>0</v>
      </c>
      <c r="W178">
        <v>0</v>
      </c>
    </row>
    <row r="179" spans="1:23" x14ac:dyDescent="0.3">
      <c r="A179">
        <v>23</v>
      </c>
      <c r="B179">
        <v>1</v>
      </c>
      <c r="C179">
        <v>1</v>
      </c>
      <c r="D179">
        <v>6</v>
      </c>
      <c r="E179" t="s">
        <v>221</v>
      </c>
      <c r="F179" t="s">
        <v>222</v>
      </c>
      <c r="G179">
        <v>192.095</v>
      </c>
      <c r="H179" t="b">
        <v>0</v>
      </c>
      <c r="I179" t="b">
        <v>0</v>
      </c>
      <c r="J179">
        <v>100</v>
      </c>
      <c r="K179">
        <v>2</v>
      </c>
      <c r="L179">
        <v>2</v>
      </c>
      <c r="M179">
        <v>0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2</v>
      </c>
      <c r="U179">
        <v>1</v>
      </c>
      <c r="V179">
        <v>0</v>
      </c>
      <c r="W179">
        <v>0</v>
      </c>
    </row>
    <row r="180" spans="1:23" x14ac:dyDescent="0.3">
      <c r="A180">
        <v>23</v>
      </c>
      <c r="B180">
        <v>1</v>
      </c>
      <c r="C180">
        <v>1</v>
      </c>
      <c r="D180">
        <v>7</v>
      </c>
      <c r="E180" t="s">
        <v>222</v>
      </c>
      <c r="F180" t="s">
        <v>223</v>
      </c>
      <c r="G180">
        <v>152.08199999999999</v>
      </c>
      <c r="H180" t="b">
        <v>0</v>
      </c>
      <c r="I180" t="b">
        <v>0</v>
      </c>
      <c r="J180">
        <v>100</v>
      </c>
      <c r="K180">
        <v>2</v>
      </c>
      <c r="L180">
        <v>2</v>
      </c>
      <c r="M180">
        <v>0</v>
      </c>
      <c r="N180">
        <v>1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4</v>
      </c>
      <c r="U180">
        <v>3</v>
      </c>
      <c r="V180">
        <v>0</v>
      </c>
      <c r="W180">
        <v>0</v>
      </c>
    </row>
    <row r="181" spans="1:23" x14ac:dyDescent="0.3">
      <c r="A181">
        <v>23</v>
      </c>
      <c r="B181">
        <v>1</v>
      </c>
      <c r="C181">
        <v>1</v>
      </c>
      <c r="D181">
        <v>8</v>
      </c>
      <c r="E181" t="s">
        <v>223</v>
      </c>
      <c r="F181" t="s">
        <v>224</v>
      </c>
      <c r="G181">
        <v>168.416</v>
      </c>
      <c r="H181" t="b">
        <v>0</v>
      </c>
      <c r="I181" t="b">
        <v>0</v>
      </c>
      <c r="J181">
        <v>100</v>
      </c>
      <c r="K181">
        <v>2</v>
      </c>
      <c r="L181">
        <v>2</v>
      </c>
      <c r="M181">
        <v>0</v>
      </c>
      <c r="N181">
        <v>1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4</v>
      </c>
      <c r="U181">
        <v>3</v>
      </c>
      <c r="V181">
        <v>0</v>
      </c>
      <c r="W181">
        <v>0</v>
      </c>
    </row>
    <row r="182" spans="1:23" x14ac:dyDescent="0.3">
      <c r="A182">
        <v>23</v>
      </c>
      <c r="B182">
        <v>1</v>
      </c>
      <c r="C182">
        <v>1</v>
      </c>
      <c r="D182">
        <v>9</v>
      </c>
      <c r="E182" t="s">
        <v>224</v>
      </c>
      <c r="F182" t="s">
        <v>225</v>
      </c>
      <c r="G182">
        <v>252.97399999999999</v>
      </c>
      <c r="H182" t="b">
        <v>0</v>
      </c>
      <c r="I182" t="b">
        <v>0</v>
      </c>
      <c r="J182">
        <v>100</v>
      </c>
      <c r="K182">
        <v>3</v>
      </c>
      <c r="L182">
        <v>3</v>
      </c>
      <c r="M182">
        <v>0</v>
      </c>
      <c r="N182">
        <v>1</v>
      </c>
      <c r="O182">
        <v>1</v>
      </c>
      <c r="P182">
        <v>0</v>
      </c>
      <c r="Q182">
        <v>2</v>
      </c>
      <c r="R182">
        <v>2</v>
      </c>
      <c r="S182">
        <v>0</v>
      </c>
      <c r="T182">
        <v>3</v>
      </c>
      <c r="U182">
        <v>2</v>
      </c>
      <c r="V182">
        <v>0</v>
      </c>
      <c r="W182">
        <v>0</v>
      </c>
    </row>
    <row r="183" spans="1:23" x14ac:dyDescent="0.3">
      <c r="A183">
        <v>23</v>
      </c>
      <c r="B183">
        <v>1</v>
      </c>
      <c r="C183">
        <v>1</v>
      </c>
      <c r="D183">
        <v>10</v>
      </c>
      <c r="E183" t="s">
        <v>225</v>
      </c>
      <c r="F183" t="s">
        <v>226</v>
      </c>
      <c r="G183">
        <v>113.28700000000001</v>
      </c>
      <c r="H183" t="b">
        <v>0</v>
      </c>
      <c r="I183" t="b">
        <v>0</v>
      </c>
      <c r="J183">
        <v>75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>
        <v>23</v>
      </c>
      <c r="B184">
        <v>1</v>
      </c>
      <c r="C184">
        <v>2</v>
      </c>
      <c r="D184">
        <v>1</v>
      </c>
      <c r="E184" t="s">
        <v>226</v>
      </c>
      <c r="F184" t="s">
        <v>227</v>
      </c>
      <c r="G184">
        <v>89.224999999999994</v>
      </c>
      <c r="H184" t="b">
        <v>0</v>
      </c>
      <c r="I184" t="b">
        <v>0</v>
      </c>
      <c r="J184">
        <v>100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>
        <v>23</v>
      </c>
      <c r="B185">
        <v>1</v>
      </c>
      <c r="C185">
        <v>2</v>
      </c>
      <c r="D185">
        <v>2</v>
      </c>
      <c r="E185" t="s">
        <v>227</v>
      </c>
      <c r="F185" t="s">
        <v>228</v>
      </c>
      <c r="G185">
        <v>47.390999999999998</v>
      </c>
      <c r="H185" t="b">
        <v>0</v>
      </c>
      <c r="I185" t="b">
        <v>0</v>
      </c>
      <c r="J185">
        <v>100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>
        <v>24</v>
      </c>
      <c r="B186">
        <v>1</v>
      </c>
      <c r="C186">
        <v>1</v>
      </c>
      <c r="D186">
        <v>1</v>
      </c>
      <c r="E186" t="s">
        <v>229</v>
      </c>
      <c r="F186" t="s">
        <v>230</v>
      </c>
      <c r="G186">
        <v>212.124</v>
      </c>
      <c r="H186" t="b">
        <v>0</v>
      </c>
      <c r="I186" t="b">
        <v>0</v>
      </c>
      <c r="J186">
        <v>100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</row>
    <row r="187" spans="1:23" x14ac:dyDescent="0.3">
      <c r="A187">
        <v>24</v>
      </c>
      <c r="B187">
        <v>1</v>
      </c>
      <c r="C187">
        <v>1</v>
      </c>
      <c r="D187">
        <v>2</v>
      </c>
      <c r="E187" t="s">
        <v>230</v>
      </c>
      <c r="F187" t="s">
        <v>231</v>
      </c>
      <c r="G187">
        <v>158.19999999999999</v>
      </c>
      <c r="H187" t="b">
        <v>0</v>
      </c>
      <c r="I187" t="b">
        <v>0</v>
      </c>
      <c r="J187">
        <v>100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</row>
    <row r="188" spans="1:23" x14ac:dyDescent="0.3">
      <c r="A188">
        <v>24</v>
      </c>
      <c r="B188">
        <v>1</v>
      </c>
      <c r="C188">
        <v>1</v>
      </c>
      <c r="D188">
        <v>3</v>
      </c>
      <c r="E188" t="s">
        <v>231</v>
      </c>
      <c r="F188" t="s">
        <v>232</v>
      </c>
      <c r="G188">
        <v>168.94200000000001</v>
      </c>
      <c r="H188" t="b">
        <v>0</v>
      </c>
      <c r="I188" t="b">
        <v>0</v>
      </c>
      <c r="J188">
        <v>75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1</v>
      </c>
    </row>
    <row r="189" spans="1:23" x14ac:dyDescent="0.3">
      <c r="A189">
        <v>24</v>
      </c>
      <c r="B189">
        <v>1</v>
      </c>
      <c r="C189">
        <v>2</v>
      </c>
      <c r="D189">
        <v>1</v>
      </c>
      <c r="E189" t="s">
        <v>232</v>
      </c>
      <c r="F189" t="s">
        <v>233</v>
      </c>
      <c r="G189">
        <v>288.10199999999998</v>
      </c>
      <c r="H189" t="b">
        <v>0</v>
      </c>
      <c r="I189" t="b">
        <v>0</v>
      </c>
      <c r="J189">
        <v>25</v>
      </c>
      <c r="K189">
        <v>6</v>
      </c>
      <c r="L189">
        <v>2</v>
      </c>
      <c r="M189">
        <v>4</v>
      </c>
      <c r="N189">
        <v>2</v>
      </c>
      <c r="O189">
        <v>1</v>
      </c>
      <c r="P189">
        <v>1</v>
      </c>
      <c r="Q189">
        <v>4</v>
      </c>
      <c r="R189">
        <v>1</v>
      </c>
      <c r="S189">
        <v>3</v>
      </c>
      <c r="T189">
        <v>3</v>
      </c>
      <c r="U189">
        <v>1</v>
      </c>
      <c r="V189">
        <v>2</v>
      </c>
      <c r="W189">
        <v>3</v>
      </c>
    </row>
    <row r="190" spans="1:23" x14ac:dyDescent="0.3">
      <c r="A190">
        <v>24</v>
      </c>
      <c r="B190">
        <v>1</v>
      </c>
      <c r="C190">
        <v>2</v>
      </c>
      <c r="D190">
        <v>2</v>
      </c>
      <c r="E190" t="s">
        <v>233</v>
      </c>
      <c r="F190" t="s">
        <v>234</v>
      </c>
      <c r="G190">
        <v>43.241</v>
      </c>
      <c r="H190" t="b">
        <v>0</v>
      </c>
      <c r="I190" t="b">
        <v>0</v>
      </c>
      <c r="J190">
        <v>100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>
        <v>24</v>
      </c>
      <c r="B191">
        <v>1</v>
      </c>
      <c r="C191">
        <v>2</v>
      </c>
      <c r="D191">
        <v>3</v>
      </c>
      <c r="E191" t="s">
        <v>234</v>
      </c>
      <c r="F191" t="s">
        <v>235</v>
      </c>
      <c r="G191">
        <v>265.589</v>
      </c>
      <c r="H191" t="b">
        <v>0</v>
      </c>
      <c r="I191" t="b">
        <v>0</v>
      </c>
      <c r="J191">
        <v>100</v>
      </c>
      <c r="K191">
        <v>2</v>
      </c>
      <c r="L191">
        <v>2</v>
      </c>
      <c r="M191">
        <v>0</v>
      </c>
      <c r="N191">
        <v>1</v>
      </c>
      <c r="O191">
        <v>1</v>
      </c>
      <c r="P191">
        <v>0</v>
      </c>
      <c r="Q191">
        <v>1</v>
      </c>
      <c r="R191">
        <v>1</v>
      </c>
      <c r="S191">
        <v>0</v>
      </c>
      <c r="T191">
        <v>4</v>
      </c>
      <c r="U191">
        <v>2</v>
      </c>
      <c r="V191">
        <v>0</v>
      </c>
      <c r="W191">
        <v>0</v>
      </c>
    </row>
    <row r="192" spans="1:23" x14ac:dyDescent="0.3">
      <c r="A192">
        <v>24</v>
      </c>
      <c r="B192">
        <v>3</v>
      </c>
      <c r="C192">
        <v>1</v>
      </c>
      <c r="D192">
        <v>1</v>
      </c>
      <c r="E192" t="s">
        <v>236</v>
      </c>
      <c r="F192" t="s">
        <v>237</v>
      </c>
      <c r="G192">
        <v>98.281000000000006</v>
      </c>
      <c r="H192" t="b">
        <v>0</v>
      </c>
      <c r="I192" t="b">
        <v>0</v>
      </c>
      <c r="J192">
        <v>100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</row>
    <row r="193" spans="1:23" x14ac:dyDescent="0.3">
      <c r="A193">
        <v>24</v>
      </c>
      <c r="B193">
        <v>3</v>
      </c>
      <c r="C193">
        <v>1</v>
      </c>
      <c r="D193">
        <v>2</v>
      </c>
      <c r="E193" t="s">
        <v>237</v>
      </c>
      <c r="F193" t="s">
        <v>238</v>
      </c>
      <c r="G193">
        <v>256.774</v>
      </c>
      <c r="H193" t="b">
        <v>0</v>
      </c>
      <c r="I193" t="b">
        <v>0</v>
      </c>
      <c r="J193">
        <v>75</v>
      </c>
      <c r="K193">
        <v>10</v>
      </c>
      <c r="L193">
        <v>5</v>
      </c>
      <c r="M193">
        <v>5</v>
      </c>
      <c r="N193">
        <v>1</v>
      </c>
      <c r="O193">
        <v>1</v>
      </c>
      <c r="P193">
        <v>0</v>
      </c>
      <c r="Q193">
        <v>9</v>
      </c>
      <c r="R193">
        <v>4</v>
      </c>
      <c r="S193">
        <v>5</v>
      </c>
      <c r="T193">
        <v>2</v>
      </c>
      <c r="U193">
        <v>1</v>
      </c>
      <c r="V193">
        <v>0</v>
      </c>
      <c r="W193">
        <v>0</v>
      </c>
    </row>
    <row r="194" spans="1:23" x14ac:dyDescent="0.3">
      <c r="A194">
        <v>24</v>
      </c>
      <c r="B194">
        <v>3</v>
      </c>
      <c r="C194">
        <v>1</v>
      </c>
      <c r="D194">
        <v>3</v>
      </c>
      <c r="E194" t="s">
        <v>238</v>
      </c>
      <c r="F194" t="s">
        <v>239</v>
      </c>
      <c r="G194">
        <v>206.029</v>
      </c>
      <c r="H194" t="b">
        <v>0</v>
      </c>
      <c r="I194" t="b">
        <v>0</v>
      </c>
      <c r="J194">
        <v>100</v>
      </c>
      <c r="K194">
        <v>2</v>
      </c>
      <c r="L194">
        <v>2</v>
      </c>
      <c r="M194">
        <v>0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2</v>
      </c>
      <c r="U194">
        <v>1</v>
      </c>
      <c r="V194">
        <v>0</v>
      </c>
      <c r="W194">
        <v>0</v>
      </c>
    </row>
    <row r="195" spans="1:23" x14ac:dyDescent="0.3">
      <c r="A195">
        <v>24</v>
      </c>
      <c r="B195">
        <v>3</v>
      </c>
      <c r="C195">
        <v>1</v>
      </c>
      <c r="D195">
        <v>4</v>
      </c>
      <c r="E195" t="s">
        <v>239</v>
      </c>
      <c r="F195" t="s">
        <v>240</v>
      </c>
      <c r="G195">
        <v>293.02699999999999</v>
      </c>
      <c r="H195" t="b">
        <v>0</v>
      </c>
      <c r="I195" t="b">
        <v>0</v>
      </c>
      <c r="J195">
        <v>100</v>
      </c>
      <c r="K195">
        <v>3</v>
      </c>
      <c r="L195">
        <v>3</v>
      </c>
      <c r="M195">
        <v>0</v>
      </c>
      <c r="N195">
        <v>2</v>
      </c>
      <c r="O195">
        <v>2</v>
      </c>
      <c r="P195">
        <v>0</v>
      </c>
      <c r="Q195">
        <v>1</v>
      </c>
      <c r="R195">
        <v>1</v>
      </c>
      <c r="S195">
        <v>0</v>
      </c>
      <c r="T195">
        <v>2</v>
      </c>
      <c r="U195">
        <v>1</v>
      </c>
      <c r="V195">
        <v>0</v>
      </c>
      <c r="W195">
        <v>0</v>
      </c>
    </row>
    <row r="196" spans="1:23" x14ac:dyDescent="0.3">
      <c r="A196">
        <v>24</v>
      </c>
      <c r="B196">
        <v>3</v>
      </c>
      <c r="C196">
        <v>1</v>
      </c>
      <c r="D196">
        <v>5</v>
      </c>
      <c r="E196" t="s">
        <v>240</v>
      </c>
      <c r="F196" t="s">
        <v>241</v>
      </c>
      <c r="G196">
        <v>232.80600000000001</v>
      </c>
      <c r="H196" t="b">
        <v>1</v>
      </c>
      <c r="I196" t="b">
        <v>1</v>
      </c>
      <c r="J196">
        <v>100</v>
      </c>
      <c r="K196">
        <v>4</v>
      </c>
      <c r="L196">
        <v>4</v>
      </c>
      <c r="M196">
        <v>0</v>
      </c>
      <c r="N196">
        <v>2</v>
      </c>
      <c r="O196">
        <v>2</v>
      </c>
      <c r="P196">
        <v>0</v>
      </c>
      <c r="Q196">
        <v>2</v>
      </c>
      <c r="R196">
        <v>2</v>
      </c>
      <c r="S196">
        <v>0</v>
      </c>
      <c r="T196">
        <v>4</v>
      </c>
      <c r="U196">
        <v>3</v>
      </c>
      <c r="V196">
        <v>0</v>
      </c>
      <c r="W196">
        <v>0</v>
      </c>
    </row>
    <row r="197" spans="1:23" x14ac:dyDescent="0.3">
      <c r="A197">
        <v>24</v>
      </c>
      <c r="B197">
        <v>3</v>
      </c>
      <c r="C197">
        <v>2</v>
      </c>
      <c r="D197">
        <v>1</v>
      </c>
      <c r="E197" t="s">
        <v>241</v>
      </c>
      <c r="F197" t="s">
        <v>242</v>
      </c>
      <c r="G197">
        <v>74.135999999999996</v>
      </c>
      <c r="H197" t="b">
        <v>0</v>
      </c>
      <c r="I197" t="b">
        <v>0</v>
      </c>
      <c r="J197">
        <v>100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">
      <c r="A198">
        <v>24</v>
      </c>
      <c r="B198">
        <v>3</v>
      </c>
      <c r="C198">
        <v>2</v>
      </c>
      <c r="D198">
        <v>2</v>
      </c>
      <c r="E198" t="s">
        <v>242</v>
      </c>
      <c r="F198" t="s">
        <v>243</v>
      </c>
      <c r="G198">
        <v>414.84699999999998</v>
      </c>
      <c r="H198" t="b">
        <v>0</v>
      </c>
      <c r="I198" t="b">
        <v>1</v>
      </c>
      <c r="J198">
        <v>75</v>
      </c>
      <c r="K198">
        <v>3</v>
      </c>
      <c r="L198">
        <v>2</v>
      </c>
      <c r="M198">
        <v>1</v>
      </c>
      <c r="N198">
        <v>2</v>
      </c>
      <c r="O198">
        <v>2</v>
      </c>
      <c r="P198">
        <v>0</v>
      </c>
      <c r="Q198">
        <v>1</v>
      </c>
      <c r="R198">
        <v>0</v>
      </c>
      <c r="S198">
        <v>1</v>
      </c>
      <c r="T198">
        <v>4</v>
      </c>
      <c r="U198">
        <v>1</v>
      </c>
      <c r="V198">
        <v>0</v>
      </c>
      <c r="W198">
        <v>0</v>
      </c>
    </row>
    <row r="199" spans="1:23" x14ac:dyDescent="0.3">
      <c r="A199">
        <v>24</v>
      </c>
      <c r="B199">
        <v>3</v>
      </c>
      <c r="C199">
        <v>2</v>
      </c>
      <c r="D199">
        <v>3</v>
      </c>
      <c r="E199" t="s">
        <v>243</v>
      </c>
      <c r="F199" t="s">
        <v>244</v>
      </c>
      <c r="G199">
        <v>239.52500000000001</v>
      </c>
      <c r="H199" t="b">
        <v>0</v>
      </c>
      <c r="I199" t="b">
        <v>1</v>
      </c>
      <c r="J199">
        <v>75</v>
      </c>
      <c r="K199">
        <v>4</v>
      </c>
      <c r="L199">
        <v>3</v>
      </c>
      <c r="M199">
        <v>1</v>
      </c>
      <c r="N199">
        <v>2</v>
      </c>
      <c r="O199">
        <v>1</v>
      </c>
      <c r="P199">
        <v>1</v>
      </c>
      <c r="Q199">
        <v>2</v>
      </c>
      <c r="R199">
        <v>2</v>
      </c>
      <c r="S199">
        <v>0</v>
      </c>
      <c r="T199">
        <v>4</v>
      </c>
      <c r="U199">
        <v>2</v>
      </c>
      <c r="V199">
        <v>0</v>
      </c>
      <c r="W199">
        <v>0</v>
      </c>
    </row>
    <row r="200" spans="1:23" x14ac:dyDescent="0.3">
      <c r="A200">
        <v>24</v>
      </c>
      <c r="B200">
        <v>3</v>
      </c>
      <c r="C200">
        <v>2</v>
      </c>
      <c r="D200">
        <v>4</v>
      </c>
      <c r="E200" t="s">
        <v>244</v>
      </c>
      <c r="F200" t="s">
        <v>245</v>
      </c>
      <c r="G200">
        <v>205.47800000000001</v>
      </c>
      <c r="H200" t="b">
        <v>0</v>
      </c>
      <c r="I200" t="b">
        <v>1</v>
      </c>
      <c r="J200">
        <v>75</v>
      </c>
      <c r="K200">
        <v>5</v>
      </c>
      <c r="L200">
        <v>4</v>
      </c>
      <c r="M200">
        <v>1</v>
      </c>
      <c r="N200">
        <v>2</v>
      </c>
      <c r="O200">
        <v>2</v>
      </c>
      <c r="P200">
        <v>0</v>
      </c>
      <c r="Q200">
        <v>3</v>
      </c>
      <c r="R200">
        <v>2</v>
      </c>
      <c r="S200">
        <v>1</v>
      </c>
      <c r="T200">
        <v>4</v>
      </c>
      <c r="U200">
        <v>2</v>
      </c>
      <c r="V200">
        <v>0</v>
      </c>
      <c r="W200">
        <v>0</v>
      </c>
    </row>
    <row r="201" spans="1:23" x14ac:dyDescent="0.3">
      <c r="A201">
        <v>24</v>
      </c>
      <c r="B201">
        <v>3</v>
      </c>
      <c r="C201">
        <v>3</v>
      </c>
      <c r="D201">
        <v>1</v>
      </c>
      <c r="E201" t="s">
        <v>245</v>
      </c>
      <c r="F201" t="s">
        <v>246</v>
      </c>
      <c r="G201">
        <v>224.339</v>
      </c>
      <c r="H201" t="b">
        <v>0</v>
      </c>
      <c r="I201" t="b">
        <v>1</v>
      </c>
      <c r="J201">
        <v>75</v>
      </c>
      <c r="K201">
        <v>4</v>
      </c>
      <c r="L201">
        <v>3</v>
      </c>
      <c r="M201">
        <v>1</v>
      </c>
      <c r="N201">
        <v>2</v>
      </c>
      <c r="O201">
        <v>2</v>
      </c>
      <c r="P201">
        <v>0</v>
      </c>
      <c r="Q201">
        <v>2</v>
      </c>
      <c r="R201">
        <v>1</v>
      </c>
      <c r="S201">
        <v>1</v>
      </c>
      <c r="T201">
        <v>4</v>
      </c>
      <c r="U201">
        <v>3</v>
      </c>
      <c r="V201">
        <v>0</v>
      </c>
      <c r="W201">
        <v>0</v>
      </c>
    </row>
    <row r="202" spans="1:23" x14ac:dyDescent="0.3">
      <c r="A202">
        <v>24</v>
      </c>
      <c r="B202">
        <v>3</v>
      </c>
      <c r="C202">
        <v>3</v>
      </c>
      <c r="D202">
        <v>2</v>
      </c>
      <c r="E202" t="s">
        <v>246</v>
      </c>
      <c r="F202" t="s">
        <v>247</v>
      </c>
      <c r="G202">
        <v>541.952</v>
      </c>
      <c r="H202" t="b">
        <v>0</v>
      </c>
      <c r="I202" t="b">
        <v>1</v>
      </c>
      <c r="J202">
        <v>75</v>
      </c>
      <c r="K202">
        <v>4</v>
      </c>
      <c r="L202">
        <v>3</v>
      </c>
      <c r="M202">
        <v>1</v>
      </c>
      <c r="N202">
        <v>2</v>
      </c>
      <c r="O202">
        <v>2</v>
      </c>
      <c r="P202">
        <v>0</v>
      </c>
      <c r="Q202">
        <v>2</v>
      </c>
      <c r="R202">
        <v>1</v>
      </c>
      <c r="S202">
        <v>1</v>
      </c>
      <c r="T202">
        <v>4</v>
      </c>
      <c r="U202">
        <v>3</v>
      </c>
      <c r="V202">
        <v>0</v>
      </c>
      <c r="W202">
        <v>0</v>
      </c>
    </row>
    <row r="203" spans="1:23" x14ac:dyDescent="0.3">
      <c r="A203">
        <v>24</v>
      </c>
      <c r="B203">
        <v>3</v>
      </c>
      <c r="C203">
        <v>3</v>
      </c>
      <c r="D203">
        <v>3</v>
      </c>
      <c r="E203" t="s">
        <v>247</v>
      </c>
      <c r="F203" t="s">
        <v>248</v>
      </c>
      <c r="G203">
        <v>189.60499999999999</v>
      </c>
      <c r="H203" t="b">
        <v>1</v>
      </c>
      <c r="I203" t="b">
        <v>1</v>
      </c>
      <c r="J203">
        <v>100</v>
      </c>
      <c r="K203">
        <v>4</v>
      </c>
      <c r="L203">
        <v>4</v>
      </c>
      <c r="M203">
        <v>0</v>
      </c>
      <c r="N203">
        <v>2</v>
      </c>
      <c r="O203">
        <v>2</v>
      </c>
      <c r="P203">
        <v>0</v>
      </c>
      <c r="Q203">
        <v>2</v>
      </c>
      <c r="R203">
        <v>2</v>
      </c>
      <c r="S203">
        <v>0</v>
      </c>
      <c r="T203">
        <v>4</v>
      </c>
      <c r="U203">
        <v>3</v>
      </c>
      <c r="V203">
        <v>0</v>
      </c>
      <c r="W203">
        <v>0</v>
      </c>
    </row>
    <row r="204" spans="1:23" x14ac:dyDescent="0.3">
      <c r="A204">
        <v>25</v>
      </c>
      <c r="B204">
        <v>1</v>
      </c>
      <c r="C204">
        <v>1</v>
      </c>
      <c r="D204">
        <v>1</v>
      </c>
      <c r="E204" t="s">
        <v>249</v>
      </c>
      <c r="F204" t="s">
        <v>250</v>
      </c>
      <c r="G204">
        <v>268.16000000000003</v>
      </c>
      <c r="H204" t="b">
        <v>0</v>
      </c>
      <c r="I204" t="b">
        <v>0</v>
      </c>
      <c r="J204">
        <v>100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2</v>
      </c>
      <c r="U204">
        <v>2</v>
      </c>
      <c r="V204">
        <v>0</v>
      </c>
      <c r="W204">
        <v>0</v>
      </c>
    </row>
    <row r="205" spans="1:23" x14ac:dyDescent="0.3">
      <c r="A205">
        <v>25</v>
      </c>
      <c r="B205">
        <v>1</v>
      </c>
      <c r="C205">
        <v>1</v>
      </c>
      <c r="D205">
        <v>2</v>
      </c>
      <c r="E205" t="s">
        <v>250</v>
      </c>
      <c r="F205" t="s">
        <v>251</v>
      </c>
      <c r="G205">
        <v>151.80500000000001</v>
      </c>
      <c r="H205" t="b">
        <v>0</v>
      </c>
      <c r="I205" t="b">
        <v>0</v>
      </c>
      <c r="J205">
        <v>100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2</v>
      </c>
      <c r="U205">
        <v>1</v>
      </c>
      <c r="V205">
        <v>0</v>
      </c>
      <c r="W205">
        <v>0</v>
      </c>
    </row>
    <row r="206" spans="1:23" x14ac:dyDescent="0.3">
      <c r="A206">
        <v>25</v>
      </c>
      <c r="B206">
        <v>1</v>
      </c>
      <c r="C206">
        <v>1</v>
      </c>
      <c r="D206">
        <v>3</v>
      </c>
      <c r="E206" t="s">
        <v>251</v>
      </c>
      <c r="F206" t="s">
        <v>252</v>
      </c>
      <c r="G206">
        <v>162.959</v>
      </c>
      <c r="H206" t="b">
        <v>0</v>
      </c>
      <c r="I206" t="b">
        <v>0</v>
      </c>
      <c r="J206">
        <v>75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0</v>
      </c>
      <c r="Q206">
        <v>1</v>
      </c>
      <c r="R206">
        <v>0</v>
      </c>
      <c r="S206">
        <v>1</v>
      </c>
      <c r="T206">
        <v>2</v>
      </c>
      <c r="U206">
        <v>1</v>
      </c>
      <c r="V206">
        <v>0</v>
      </c>
      <c r="W206">
        <v>0</v>
      </c>
    </row>
    <row r="207" spans="1:23" x14ac:dyDescent="0.3">
      <c r="A207">
        <v>25</v>
      </c>
      <c r="B207">
        <v>1</v>
      </c>
      <c r="C207">
        <v>1</v>
      </c>
      <c r="D207">
        <v>4</v>
      </c>
      <c r="E207" t="s">
        <v>252</v>
      </c>
      <c r="F207" t="s">
        <v>253</v>
      </c>
      <c r="G207">
        <v>191.38900000000001</v>
      </c>
      <c r="H207" t="b">
        <v>0</v>
      </c>
      <c r="I207" t="b">
        <v>0</v>
      </c>
      <c r="J207">
        <v>100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2</v>
      </c>
      <c r="U207">
        <v>1</v>
      </c>
      <c r="V207">
        <v>0</v>
      </c>
      <c r="W207">
        <v>0</v>
      </c>
    </row>
    <row r="208" spans="1:23" x14ac:dyDescent="0.3">
      <c r="A208">
        <v>25</v>
      </c>
      <c r="B208">
        <v>1</v>
      </c>
      <c r="C208">
        <v>1</v>
      </c>
      <c r="D208">
        <v>5</v>
      </c>
      <c r="E208" t="s">
        <v>253</v>
      </c>
      <c r="F208" t="s">
        <v>254</v>
      </c>
      <c r="G208">
        <v>133.33600000000001</v>
      </c>
      <c r="H208" t="b">
        <v>0</v>
      </c>
      <c r="I208" t="b">
        <v>0</v>
      </c>
      <c r="J208">
        <v>100</v>
      </c>
      <c r="K208">
        <v>3</v>
      </c>
      <c r="L208">
        <v>3</v>
      </c>
      <c r="M208">
        <v>0</v>
      </c>
      <c r="N208">
        <v>2</v>
      </c>
      <c r="O208">
        <v>2</v>
      </c>
      <c r="P208">
        <v>0</v>
      </c>
      <c r="Q208">
        <v>1</v>
      </c>
      <c r="R208">
        <v>1</v>
      </c>
      <c r="S208">
        <v>0</v>
      </c>
      <c r="T208">
        <v>2</v>
      </c>
      <c r="U208">
        <v>1</v>
      </c>
      <c r="V208">
        <v>0</v>
      </c>
      <c r="W208">
        <v>0</v>
      </c>
    </row>
    <row r="209" spans="1:23" x14ac:dyDescent="0.3">
      <c r="A209">
        <v>25</v>
      </c>
      <c r="B209">
        <v>1</v>
      </c>
      <c r="C209">
        <v>1</v>
      </c>
      <c r="D209">
        <v>6</v>
      </c>
      <c r="E209" t="s">
        <v>254</v>
      </c>
      <c r="F209" t="s">
        <v>255</v>
      </c>
      <c r="G209">
        <v>118.934</v>
      </c>
      <c r="H209" t="b">
        <v>0</v>
      </c>
      <c r="I209" t="b">
        <v>0</v>
      </c>
      <c r="J209">
        <v>100</v>
      </c>
      <c r="K209">
        <v>3</v>
      </c>
      <c r="L209">
        <v>3</v>
      </c>
      <c r="M209">
        <v>0</v>
      </c>
      <c r="N209">
        <v>2</v>
      </c>
      <c r="O209">
        <v>2</v>
      </c>
      <c r="P209">
        <v>0</v>
      </c>
      <c r="Q209">
        <v>1</v>
      </c>
      <c r="R209">
        <v>1</v>
      </c>
      <c r="S209">
        <v>0</v>
      </c>
      <c r="T209">
        <v>2</v>
      </c>
      <c r="U209">
        <v>1</v>
      </c>
      <c r="V209">
        <v>0</v>
      </c>
      <c r="W209">
        <v>0</v>
      </c>
    </row>
    <row r="210" spans="1:23" x14ac:dyDescent="0.3">
      <c r="A210">
        <v>25</v>
      </c>
      <c r="B210">
        <v>1</v>
      </c>
      <c r="C210">
        <v>2</v>
      </c>
      <c r="D210">
        <v>1</v>
      </c>
      <c r="E210" t="s">
        <v>255</v>
      </c>
      <c r="F210" t="s">
        <v>256</v>
      </c>
      <c r="G210">
        <v>203.107</v>
      </c>
      <c r="H210" t="b">
        <v>0</v>
      </c>
      <c r="I210" t="b">
        <v>0</v>
      </c>
      <c r="J210">
        <v>100</v>
      </c>
      <c r="K210">
        <v>3</v>
      </c>
      <c r="L210">
        <v>3</v>
      </c>
      <c r="M210">
        <v>0</v>
      </c>
      <c r="N210">
        <v>2</v>
      </c>
      <c r="O210">
        <v>2</v>
      </c>
      <c r="P210">
        <v>0</v>
      </c>
      <c r="Q210">
        <v>1</v>
      </c>
      <c r="R210">
        <v>1</v>
      </c>
      <c r="S210">
        <v>0</v>
      </c>
      <c r="T210">
        <v>3</v>
      </c>
      <c r="U210">
        <v>1</v>
      </c>
      <c r="V210">
        <v>0</v>
      </c>
      <c r="W210">
        <v>0</v>
      </c>
    </row>
    <row r="211" spans="1:23" x14ac:dyDescent="0.3">
      <c r="A211">
        <v>25</v>
      </c>
      <c r="B211">
        <v>1</v>
      </c>
      <c r="C211">
        <v>2</v>
      </c>
      <c r="D211">
        <v>2</v>
      </c>
      <c r="E211" t="s">
        <v>256</v>
      </c>
      <c r="F211" t="s">
        <v>257</v>
      </c>
      <c r="G211">
        <v>251.93100000000001</v>
      </c>
      <c r="H211" t="b">
        <v>0</v>
      </c>
      <c r="I211" t="b">
        <v>0</v>
      </c>
      <c r="J211">
        <v>75</v>
      </c>
      <c r="K211">
        <v>3</v>
      </c>
      <c r="L211">
        <v>3</v>
      </c>
      <c r="M211">
        <v>0</v>
      </c>
      <c r="N211">
        <v>2</v>
      </c>
      <c r="O211">
        <v>2</v>
      </c>
      <c r="P211">
        <v>0</v>
      </c>
      <c r="Q211">
        <v>1</v>
      </c>
      <c r="R211">
        <v>1</v>
      </c>
      <c r="S211">
        <v>0</v>
      </c>
      <c r="T211">
        <v>3</v>
      </c>
      <c r="U211">
        <v>1</v>
      </c>
      <c r="V211">
        <v>1</v>
      </c>
      <c r="W211">
        <v>1</v>
      </c>
    </row>
    <row r="212" spans="1:23" x14ac:dyDescent="0.3">
      <c r="A212">
        <v>25</v>
      </c>
      <c r="B212">
        <v>1</v>
      </c>
      <c r="C212">
        <v>3</v>
      </c>
      <c r="D212">
        <v>1</v>
      </c>
      <c r="E212" t="s">
        <v>257</v>
      </c>
      <c r="F212" t="s">
        <v>258</v>
      </c>
      <c r="G212">
        <v>113.578</v>
      </c>
      <c r="H212" t="b">
        <v>0</v>
      </c>
      <c r="I212" t="b">
        <v>0</v>
      </c>
      <c r="J212">
        <v>100</v>
      </c>
      <c r="K212">
        <v>3</v>
      </c>
      <c r="L212">
        <v>3</v>
      </c>
      <c r="M212">
        <v>0</v>
      </c>
      <c r="N212">
        <v>2</v>
      </c>
      <c r="O212">
        <v>2</v>
      </c>
      <c r="P212">
        <v>0</v>
      </c>
      <c r="Q212">
        <v>1</v>
      </c>
      <c r="R212">
        <v>1</v>
      </c>
      <c r="S212">
        <v>0</v>
      </c>
      <c r="T212">
        <v>2</v>
      </c>
      <c r="U212">
        <v>1</v>
      </c>
      <c r="V212">
        <v>0</v>
      </c>
      <c r="W212">
        <v>0</v>
      </c>
    </row>
    <row r="213" spans="1:23" x14ac:dyDescent="0.3">
      <c r="A213">
        <v>25</v>
      </c>
      <c r="B213">
        <v>3</v>
      </c>
      <c r="C213">
        <v>1</v>
      </c>
      <c r="D213">
        <v>1</v>
      </c>
      <c r="E213" t="s">
        <v>259</v>
      </c>
      <c r="F213" t="s">
        <v>260</v>
      </c>
      <c r="G213">
        <v>187.96799999999999</v>
      </c>
      <c r="H213" t="b">
        <v>0</v>
      </c>
      <c r="I213" t="b">
        <v>0</v>
      </c>
      <c r="J213">
        <v>100</v>
      </c>
      <c r="K213">
        <v>3</v>
      </c>
      <c r="L213">
        <v>3</v>
      </c>
      <c r="M213">
        <v>0</v>
      </c>
      <c r="N213">
        <v>2</v>
      </c>
      <c r="O213">
        <v>2</v>
      </c>
      <c r="P213">
        <v>0</v>
      </c>
      <c r="Q213">
        <v>1</v>
      </c>
      <c r="R213">
        <v>1</v>
      </c>
      <c r="S213">
        <v>0</v>
      </c>
      <c r="T213">
        <v>2</v>
      </c>
      <c r="U213">
        <v>1</v>
      </c>
      <c r="V213">
        <v>0</v>
      </c>
      <c r="W213">
        <v>0</v>
      </c>
    </row>
    <row r="214" spans="1:23" x14ac:dyDescent="0.3">
      <c r="A214">
        <v>25</v>
      </c>
      <c r="B214">
        <v>3</v>
      </c>
      <c r="C214">
        <v>1</v>
      </c>
      <c r="D214">
        <v>2</v>
      </c>
      <c r="E214" t="s">
        <v>260</v>
      </c>
      <c r="F214" t="s">
        <v>261</v>
      </c>
      <c r="G214">
        <v>152.93299999999999</v>
      </c>
      <c r="H214" t="b">
        <v>0</v>
      </c>
      <c r="I214" t="b">
        <v>0</v>
      </c>
      <c r="J214">
        <v>100</v>
      </c>
      <c r="K214">
        <v>3</v>
      </c>
      <c r="L214">
        <v>3</v>
      </c>
      <c r="M214">
        <v>0</v>
      </c>
      <c r="N214">
        <v>2</v>
      </c>
      <c r="O214">
        <v>2</v>
      </c>
      <c r="P214">
        <v>0</v>
      </c>
      <c r="Q214">
        <v>1</v>
      </c>
      <c r="R214">
        <v>1</v>
      </c>
      <c r="S214">
        <v>0</v>
      </c>
      <c r="T214">
        <v>2</v>
      </c>
      <c r="U214">
        <v>1</v>
      </c>
      <c r="V214">
        <v>0</v>
      </c>
      <c r="W214">
        <v>0</v>
      </c>
    </row>
    <row r="215" spans="1:23" x14ac:dyDescent="0.3">
      <c r="A215">
        <v>25</v>
      </c>
      <c r="B215">
        <v>3</v>
      </c>
      <c r="C215">
        <v>2</v>
      </c>
      <c r="D215">
        <v>1</v>
      </c>
      <c r="E215" t="s">
        <v>261</v>
      </c>
      <c r="F215" t="s">
        <v>262</v>
      </c>
      <c r="G215">
        <v>217.34800000000001</v>
      </c>
      <c r="H215" t="b">
        <v>0</v>
      </c>
      <c r="I215" t="b">
        <v>0</v>
      </c>
      <c r="J215">
        <v>100</v>
      </c>
      <c r="K215">
        <v>3</v>
      </c>
      <c r="L215">
        <v>3</v>
      </c>
      <c r="M215">
        <v>0</v>
      </c>
      <c r="N215">
        <v>2</v>
      </c>
      <c r="O215">
        <v>2</v>
      </c>
      <c r="P215">
        <v>0</v>
      </c>
      <c r="Q215">
        <v>1</v>
      </c>
      <c r="R215">
        <v>1</v>
      </c>
      <c r="S215">
        <v>0</v>
      </c>
      <c r="T215">
        <v>3</v>
      </c>
      <c r="U215">
        <v>1</v>
      </c>
      <c r="V215">
        <v>0</v>
      </c>
      <c r="W215">
        <v>0</v>
      </c>
    </row>
    <row r="216" spans="1:23" x14ac:dyDescent="0.3">
      <c r="A216">
        <v>25</v>
      </c>
      <c r="B216">
        <v>3</v>
      </c>
      <c r="C216">
        <v>2</v>
      </c>
      <c r="D216">
        <v>2</v>
      </c>
      <c r="E216" t="s">
        <v>262</v>
      </c>
      <c r="F216" t="s">
        <v>263</v>
      </c>
      <c r="G216">
        <v>237.48500000000001</v>
      </c>
      <c r="H216" t="b">
        <v>0</v>
      </c>
      <c r="I216" t="b">
        <v>0</v>
      </c>
      <c r="J216">
        <v>100</v>
      </c>
      <c r="K216">
        <v>3</v>
      </c>
      <c r="L216">
        <v>3</v>
      </c>
      <c r="M216">
        <v>0</v>
      </c>
      <c r="N216">
        <v>2</v>
      </c>
      <c r="O216">
        <v>2</v>
      </c>
      <c r="P216">
        <v>0</v>
      </c>
      <c r="Q216">
        <v>1</v>
      </c>
      <c r="R216">
        <v>1</v>
      </c>
      <c r="S216">
        <v>0</v>
      </c>
      <c r="T216">
        <v>3</v>
      </c>
      <c r="U216">
        <v>1</v>
      </c>
      <c r="V216">
        <v>0</v>
      </c>
      <c r="W216">
        <v>0</v>
      </c>
    </row>
    <row r="217" spans="1:23" x14ac:dyDescent="0.3">
      <c r="A217">
        <v>25</v>
      </c>
      <c r="B217">
        <v>3</v>
      </c>
      <c r="C217">
        <v>2</v>
      </c>
      <c r="D217">
        <v>3</v>
      </c>
      <c r="E217" t="s">
        <v>263</v>
      </c>
      <c r="F217" t="s">
        <v>264</v>
      </c>
      <c r="G217">
        <v>199.61</v>
      </c>
      <c r="H217" t="b">
        <v>0</v>
      </c>
      <c r="I217" t="b">
        <v>0</v>
      </c>
      <c r="J217">
        <v>100</v>
      </c>
      <c r="K217">
        <v>3</v>
      </c>
      <c r="L217">
        <v>3</v>
      </c>
      <c r="M217">
        <v>0</v>
      </c>
      <c r="N217">
        <v>2</v>
      </c>
      <c r="O217">
        <v>2</v>
      </c>
      <c r="P217">
        <v>0</v>
      </c>
      <c r="Q217">
        <v>1</v>
      </c>
      <c r="R217">
        <v>1</v>
      </c>
      <c r="S217">
        <v>0</v>
      </c>
      <c r="T217">
        <v>4</v>
      </c>
      <c r="U217">
        <v>2</v>
      </c>
      <c r="V217">
        <v>0</v>
      </c>
      <c r="W217">
        <v>0</v>
      </c>
    </row>
    <row r="218" spans="1:23" x14ac:dyDescent="0.3">
      <c r="A218">
        <v>25</v>
      </c>
      <c r="B218">
        <v>3</v>
      </c>
      <c r="C218">
        <v>2</v>
      </c>
      <c r="D218">
        <v>4</v>
      </c>
      <c r="E218" t="s">
        <v>264</v>
      </c>
      <c r="F218" t="s">
        <v>265</v>
      </c>
      <c r="G218">
        <v>226.7</v>
      </c>
      <c r="H218" t="b">
        <v>0</v>
      </c>
      <c r="I218" t="b">
        <v>0</v>
      </c>
      <c r="J218">
        <v>75</v>
      </c>
      <c r="K218">
        <v>3</v>
      </c>
      <c r="L218">
        <v>2</v>
      </c>
      <c r="M218">
        <v>1</v>
      </c>
      <c r="N218">
        <v>2</v>
      </c>
      <c r="O218">
        <v>2</v>
      </c>
      <c r="P218">
        <v>0</v>
      </c>
      <c r="Q218">
        <v>1</v>
      </c>
      <c r="R218">
        <v>0</v>
      </c>
      <c r="S218">
        <v>1</v>
      </c>
      <c r="T218">
        <v>4</v>
      </c>
      <c r="U218">
        <v>2</v>
      </c>
      <c r="V218">
        <v>0</v>
      </c>
      <c r="W218">
        <v>0</v>
      </c>
    </row>
    <row r="219" spans="1:23" x14ac:dyDescent="0.3">
      <c r="A219">
        <v>25</v>
      </c>
      <c r="B219">
        <v>3</v>
      </c>
      <c r="C219">
        <v>2</v>
      </c>
      <c r="D219">
        <v>5</v>
      </c>
      <c r="E219" t="s">
        <v>265</v>
      </c>
      <c r="F219" t="s">
        <v>266</v>
      </c>
      <c r="G219">
        <v>244.36699999999999</v>
      </c>
      <c r="H219" t="b">
        <v>0</v>
      </c>
      <c r="I219" t="b">
        <v>0</v>
      </c>
      <c r="J219">
        <v>100</v>
      </c>
      <c r="K219">
        <v>3</v>
      </c>
      <c r="L219">
        <v>3</v>
      </c>
      <c r="M219">
        <v>0</v>
      </c>
      <c r="N219">
        <v>2</v>
      </c>
      <c r="O219">
        <v>2</v>
      </c>
      <c r="P219">
        <v>0</v>
      </c>
      <c r="Q219">
        <v>1</v>
      </c>
      <c r="R219">
        <v>1</v>
      </c>
      <c r="S219">
        <v>0</v>
      </c>
      <c r="T219">
        <v>4</v>
      </c>
      <c r="U219">
        <v>2</v>
      </c>
      <c r="V219">
        <v>0</v>
      </c>
      <c r="W219">
        <v>0</v>
      </c>
    </row>
    <row r="220" spans="1:23" x14ac:dyDescent="0.3">
      <c r="A220">
        <v>25</v>
      </c>
      <c r="B220">
        <v>3</v>
      </c>
      <c r="C220">
        <v>2</v>
      </c>
      <c r="D220">
        <v>6</v>
      </c>
      <c r="E220" t="s">
        <v>266</v>
      </c>
      <c r="F220" t="s">
        <v>267</v>
      </c>
      <c r="G220">
        <v>240.131</v>
      </c>
      <c r="H220" t="b">
        <v>0</v>
      </c>
      <c r="I220" t="b">
        <v>0</v>
      </c>
      <c r="J220">
        <v>100</v>
      </c>
      <c r="K220">
        <v>3</v>
      </c>
      <c r="L220">
        <v>3</v>
      </c>
      <c r="M220">
        <v>0</v>
      </c>
      <c r="N220">
        <v>2</v>
      </c>
      <c r="O220">
        <v>2</v>
      </c>
      <c r="P220">
        <v>0</v>
      </c>
      <c r="Q220">
        <v>1</v>
      </c>
      <c r="R220">
        <v>1</v>
      </c>
      <c r="S220">
        <v>0</v>
      </c>
      <c r="T220">
        <v>4</v>
      </c>
      <c r="U220">
        <v>2</v>
      </c>
      <c r="V220">
        <v>0</v>
      </c>
      <c r="W220">
        <v>0</v>
      </c>
    </row>
    <row r="221" spans="1:23" x14ac:dyDescent="0.3">
      <c r="A221">
        <v>25</v>
      </c>
      <c r="B221">
        <v>3</v>
      </c>
      <c r="C221">
        <v>3</v>
      </c>
      <c r="D221">
        <v>1</v>
      </c>
      <c r="E221" t="s">
        <v>267</v>
      </c>
      <c r="F221" t="s">
        <v>268</v>
      </c>
      <c r="G221">
        <v>152.24600000000001</v>
      </c>
      <c r="H221" t="b">
        <v>0</v>
      </c>
      <c r="I221" t="b">
        <v>0</v>
      </c>
      <c r="J221">
        <v>75</v>
      </c>
      <c r="K221">
        <v>4</v>
      </c>
      <c r="L221">
        <v>2</v>
      </c>
      <c r="M221">
        <v>2</v>
      </c>
      <c r="N221">
        <v>2</v>
      </c>
      <c r="O221">
        <v>2</v>
      </c>
      <c r="P221">
        <v>0</v>
      </c>
      <c r="Q221">
        <v>2</v>
      </c>
      <c r="R221">
        <v>0</v>
      </c>
      <c r="S221">
        <v>2</v>
      </c>
      <c r="T221">
        <v>4</v>
      </c>
      <c r="U221">
        <v>3</v>
      </c>
      <c r="V221">
        <v>0</v>
      </c>
      <c r="W221">
        <v>0</v>
      </c>
    </row>
    <row r="222" spans="1:23" x14ac:dyDescent="0.3">
      <c r="A222">
        <v>25</v>
      </c>
      <c r="B222">
        <v>3</v>
      </c>
      <c r="C222">
        <v>3</v>
      </c>
      <c r="D222">
        <v>2</v>
      </c>
      <c r="E222" t="s">
        <v>268</v>
      </c>
      <c r="F222" t="s">
        <v>269</v>
      </c>
      <c r="G222">
        <v>124.057</v>
      </c>
      <c r="H222" t="b">
        <v>0</v>
      </c>
      <c r="I222" t="b">
        <v>0</v>
      </c>
      <c r="J222">
        <v>100</v>
      </c>
      <c r="K222">
        <v>3</v>
      </c>
      <c r="L222">
        <v>3</v>
      </c>
      <c r="M222">
        <v>0</v>
      </c>
      <c r="N222">
        <v>2</v>
      </c>
      <c r="O222">
        <v>2</v>
      </c>
      <c r="P222">
        <v>0</v>
      </c>
      <c r="Q222">
        <v>1</v>
      </c>
      <c r="R222">
        <v>1</v>
      </c>
      <c r="S222">
        <v>0</v>
      </c>
      <c r="T222">
        <v>4</v>
      </c>
      <c r="U222">
        <v>3</v>
      </c>
      <c r="V222">
        <v>0</v>
      </c>
      <c r="W222">
        <v>0</v>
      </c>
    </row>
    <row r="223" spans="1:23" x14ac:dyDescent="0.3">
      <c r="A223">
        <v>25</v>
      </c>
      <c r="B223">
        <v>3</v>
      </c>
      <c r="C223">
        <v>3</v>
      </c>
      <c r="D223">
        <v>3</v>
      </c>
      <c r="E223" t="s">
        <v>269</v>
      </c>
      <c r="F223" t="s">
        <v>270</v>
      </c>
      <c r="G223">
        <v>164.21</v>
      </c>
      <c r="H223" t="b">
        <v>0</v>
      </c>
      <c r="I223" t="b">
        <v>0</v>
      </c>
      <c r="J223">
        <v>100</v>
      </c>
      <c r="K223">
        <v>3</v>
      </c>
      <c r="L223">
        <v>3</v>
      </c>
      <c r="M223">
        <v>0</v>
      </c>
      <c r="N223">
        <v>2</v>
      </c>
      <c r="O223">
        <v>2</v>
      </c>
      <c r="P223">
        <v>0</v>
      </c>
      <c r="Q223">
        <v>1</v>
      </c>
      <c r="R223">
        <v>1</v>
      </c>
      <c r="S223">
        <v>0</v>
      </c>
      <c r="T223">
        <v>4</v>
      </c>
      <c r="U223">
        <v>3</v>
      </c>
      <c r="V223">
        <v>0</v>
      </c>
      <c r="W223">
        <v>0</v>
      </c>
    </row>
    <row r="224" spans="1:23" x14ac:dyDescent="0.3">
      <c r="A224">
        <v>25</v>
      </c>
      <c r="B224">
        <v>3</v>
      </c>
      <c r="C224">
        <v>3</v>
      </c>
      <c r="D224">
        <v>4</v>
      </c>
      <c r="E224" t="s">
        <v>270</v>
      </c>
      <c r="F224" t="s">
        <v>271</v>
      </c>
      <c r="G224">
        <v>172.727</v>
      </c>
      <c r="H224" t="b">
        <v>0</v>
      </c>
      <c r="I224" t="b">
        <v>0</v>
      </c>
      <c r="J224">
        <v>75</v>
      </c>
      <c r="K224">
        <v>3</v>
      </c>
      <c r="L224">
        <v>2</v>
      </c>
      <c r="M224">
        <v>1</v>
      </c>
      <c r="N224">
        <v>2</v>
      </c>
      <c r="O224">
        <v>2</v>
      </c>
      <c r="P224">
        <v>0</v>
      </c>
      <c r="Q224">
        <v>1</v>
      </c>
      <c r="R224">
        <v>0</v>
      </c>
      <c r="S224">
        <v>1</v>
      </c>
      <c r="T224">
        <v>4</v>
      </c>
      <c r="U224">
        <v>3</v>
      </c>
      <c r="V224">
        <v>0</v>
      </c>
      <c r="W224">
        <v>0</v>
      </c>
    </row>
    <row r="225" spans="1:23" x14ac:dyDescent="0.3">
      <c r="A225">
        <v>25</v>
      </c>
      <c r="B225">
        <v>3</v>
      </c>
      <c r="C225">
        <v>3</v>
      </c>
      <c r="D225">
        <v>5</v>
      </c>
      <c r="E225" t="s">
        <v>271</v>
      </c>
      <c r="F225" t="s">
        <v>272</v>
      </c>
      <c r="G225">
        <v>142.81200000000001</v>
      </c>
      <c r="H225" t="b">
        <v>0</v>
      </c>
      <c r="I225" t="b">
        <v>0</v>
      </c>
      <c r="J225">
        <v>75</v>
      </c>
      <c r="K225">
        <v>4</v>
      </c>
      <c r="L225">
        <v>3</v>
      </c>
      <c r="M225">
        <v>1</v>
      </c>
      <c r="N225">
        <v>2</v>
      </c>
      <c r="O225">
        <v>2</v>
      </c>
      <c r="P225">
        <v>0</v>
      </c>
      <c r="Q225">
        <v>2</v>
      </c>
      <c r="R225">
        <v>1</v>
      </c>
      <c r="S225">
        <v>1</v>
      </c>
      <c r="T225">
        <v>4</v>
      </c>
      <c r="U225">
        <v>3</v>
      </c>
      <c r="V225">
        <v>0</v>
      </c>
      <c r="W225">
        <v>0</v>
      </c>
    </row>
    <row r="226" spans="1:23" x14ac:dyDescent="0.3">
      <c r="A226">
        <v>25</v>
      </c>
      <c r="B226">
        <v>3</v>
      </c>
      <c r="C226">
        <v>3</v>
      </c>
      <c r="D226">
        <v>6</v>
      </c>
      <c r="E226" t="s">
        <v>272</v>
      </c>
      <c r="F226" t="s">
        <v>273</v>
      </c>
      <c r="G226">
        <v>136.596</v>
      </c>
      <c r="H226" t="b">
        <v>0</v>
      </c>
      <c r="I226" t="b">
        <v>0</v>
      </c>
      <c r="J226">
        <v>75</v>
      </c>
      <c r="K226">
        <v>4</v>
      </c>
      <c r="L226">
        <v>3</v>
      </c>
      <c r="M226">
        <v>1</v>
      </c>
      <c r="N226">
        <v>2</v>
      </c>
      <c r="O226">
        <v>2</v>
      </c>
      <c r="P226">
        <v>0</v>
      </c>
      <c r="Q226">
        <v>2</v>
      </c>
      <c r="R226">
        <v>1</v>
      </c>
      <c r="S226">
        <v>1</v>
      </c>
      <c r="T226">
        <v>4</v>
      </c>
      <c r="U226">
        <v>3</v>
      </c>
      <c r="V226">
        <v>0</v>
      </c>
      <c r="W226">
        <v>0</v>
      </c>
    </row>
    <row r="227" spans="1:23" x14ac:dyDescent="0.3">
      <c r="A227">
        <v>25</v>
      </c>
      <c r="B227">
        <v>3</v>
      </c>
      <c r="C227">
        <v>3</v>
      </c>
      <c r="D227">
        <v>7</v>
      </c>
      <c r="E227" t="s">
        <v>273</v>
      </c>
      <c r="F227" t="s">
        <v>274</v>
      </c>
      <c r="G227">
        <v>-17106.57</v>
      </c>
      <c r="H227" t="b">
        <v>0</v>
      </c>
      <c r="I227" t="b">
        <v>0</v>
      </c>
      <c r="J227">
        <v>100</v>
      </c>
      <c r="K227">
        <v>3</v>
      </c>
      <c r="L227">
        <v>3</v>
      </c>
      <c r="M227">
        <v>0</v>
      </c>
      <c r="N227">
        <v>2</v>
      </c>
      <c r="O227">
        <v>2</v>
      </c>
      <c r="P227">
        <v>0</v>
      </c>
      <c r="Q227">
        <v>1</v>
      </c>
      <c r="R227">
        <v>1</v>
      </c>
      <c r="S227">
        <v>0</v>
      </c>
      <c r="T227">
        <v>4</v>
      </c>
      <c r="U227">
        <v>3</v>
      </c>
      <c r="V227">
        <v>0</v>
      </c>
      <c r="W227">
        <v>0</v>
      </c>
    </row>
    <row r="228" spans="1:23" x14ac:dyDescent="0.3">
      <c r="A228">
        <v>25</v>
      </c>
      <c r="B228">
        <v>3</v>
      </c>
      <c r="C228">
        <v>3</v>
      </c>
      <c r="D228">
        <v>8</v>
      </c>
      <c r="E228" t="s">
        <v>274</v>
      </c>
      <c r="F228" t="s">
        <v>275</v>
      </c>
      <c r="G228">
        <v>4.0000000000000001E-3</v>
      </c>
      <c r="H228" t="b">
        <v>0</v>
      </c>
      <c r="I228" t="b">
        <v>0</v>
      </c>
      <c r="J228">
        <v>100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3">
      <c r="A229">
        <v>26</v>
      </c>
      <c r="B229">
        <v>1</v>
      </c>
      <c r="C229">
        <v>1</v>
      </c>
      <c r="D229">
        <v>1</v>
      </c>
      <c r="E229" t="s">
        <v>276</v>
      </c>
      <c r="F229" t="s">
        <v>277</v>
      </c>
      <c r="G229">
        <v>204.816</v>
      </c>
      <c r="H229" t="b">
        <v>0</v>
      </c>
      <c r="I229" t="b">
        <v>0</v>
      </c>
      <c r="J229">
        <v>100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0</v>
      </c>
    </row>
    <row r="230" spans="1:23" x14ac:dyDescent="0.3">
      <c r="A230">
        <v>26</v>
      </c>
      <c r="B230">
        <v>1</v>
      </c>
      <c r="C230">
        <v>1</v>
      </c>
      <c r="D230">
        <v>2</v>
      </c>
      <c r="E230" t="s">
        <v>277</v>
      </c>
      <c r="F230" t="s">
        <v>278</v>
      </c>
      <c r="G230">
        <v>342.01499999999999</v>
      </c>
      <c r="H230" t="b">
        <v>0</v>
      </c>
      <c r="I230" t="b">
        <v>0</v>
      </c>
      <c r="J230">
        <v>100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3">
      <c r="A231">
        <v>26</v>
      </c>
      <c r="B231">
        <v>1</v>
      </c>
      <c r="C231">
        <v>1</v>
      </c>
      <c r="D231">
        <v>3</v>
      </c>
      <c r="E231" t="s">
        <v>278</v>
      </c>
      <c r="F231" t="s">
        <v>279</v>
      </c>
      <c r="G231">
        <v>397.12</v>
      </c>
      <c r="H231" t="b">
        <v>0</v>
      </c>
      <c r="I231" t="b">
        <v>0</v>
      </c>
      <c r="J231">
        <v>75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</v>
      </c>
      <c r="U231">
        <v>1</v>
      </c>
      <c r="V231">
        <v>1</v>
      </c>
      <c r="W231">
        <v>1</v>
      </c>
    </row>
    <row r="232" spans="1:23" x14ac:dyDescent="0.3">
      <c r="A232">
        <v>26</v>
      </c>
      <c r="B232">
        <v>1</v>
      </c>
      <c r="C232">
        <v>1</v>
      </c>
      <c r="D232">
        <v>4</v>
      </c>
      <c r="E232" t="s">
        <v>279</v>
      </c>
      <c r="F232" t="s">
        <v>280</v>
      </c>
      <c r="G232">
        <v>198.88300000000001</v>
      </c>
      <c r="H232" t="b">
        <v>0</v>
      </c>
      <c r="I232" t="b">
        <v>0</v>
      </c>
      <c r="J232">
        <v>100</v>
      </c>
      <c r="K232">
        <v>2</v>
      </c>
      <c r="L232">
        <v>2</v>
      </c>
      <c r="M232">
        <v>0</v>
      </c>
      <c r="N232">
        <v>1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2</v>
      </c>
      <c r="U232">
        <v>2</v>
      </c>
      <c r="V232">
        <v>0</v>
      </c>
      <c r="W232">
        <v>0</v>
      </c>
    </row>
    <row r="233" spans="1:23" x14ac:dyDescent="0.3">
      <c r="A233">
        <v>26</v>
      </c>
      <c r="B233">
        <v>1</v>
      </c>
      <c r="C233">
        <v>1</v>
      </c>
      <c r="D233">
        <v>5</v>
      </c>
      <c r="E233" t="s">
        <v>280</v>
      </c>
      <c r="F233" t="s">
        <v>281</v>
      </c>
      <c r="G233">
        <v>202.834</v>
      </c>
      <c r="H233" t="b">
        <v>0</v>
      </c>
      <c r="I233" t="b">
        <v>0</v>
      </c>
      <c r="J233">
        <v>100</v>
      </c>
      <c r="K233">
        <v>2</v>
      </c>
      <c r="L233">
        <v>2</v>
      </c>
      <c r="M233">
        <v>0</v>
      </c>
      <c r="N233">
        <v>1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2</v>
      </c>
      <c r="U233">
        <v>2</v>
      </c>
      <c r="V233">
        <v>0</v>
      </c>
      <c r="W233">
        <v>0</v>
      </c>
    </row>
    <row r="234" spans="1:23" x14ac:dyDescent="0.3">
      <c r="A234">
        <v>26</v>
      </c>
      <c r="B234">
        <v>1</v>
      </c>
      <c r="C234">
        <v>1</v>
      </c>
      <c r="D234">
        <v>6</v>
      </c>
      <c r="E234" t="s">
        <v>281</v>
      </c>
      <c r="F234" t="s">
        <v>282</v>
      </c>
      <c r="G234">
        <v>193.80500000000001</v>
      </c>
      <c r="H234" t="b">
        <v>0</v>
      </c>
      <c r="I234" t="b">
        <v>0</v>
      </c>
      <c r="J234">
        <v>100</v>
      </c>
      <c r="K234">
        <v>2</v>
      </c>
      <c r="L234">
        <v>2</v>
      </c>
      <c r="M234">
        <v>0</v>
      </c>
      <c r="N234">
        <v>1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2</v>
      </c>
      <c r="U234">
        <v>2</v>
      </c>
      <c r="V234">
        <v>0</v>
      </c>
      <c r="W234">
        <v>0</v>
      </c>
    </row>
    <row r="235" spans="1:23" x14ac:dyDescent="0.3">
      <c r="A235">
        <v>26</v>
      </c>
      <c r="B235">
        <v>1</v>
      </c>
      <c r="C235">
        <v>2</v>
      </c>
      <c r="D235">
        <v>1</v>
      </c>
      <c r="E235" t="s">
        <v>282</v>
      </c>
      <c r="F235" t="s">
        <v>283</v>
      </c>
      <c r="G235">
        <v>182.26300000000001</v>
      </c>
      <c r="H235" t="b">
        <v>0</v>
      </c>
      <c r="I235" t="b">
        <v>0</v>
      </c>
      <c r="J235">
        <v>75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</v>
      </c>
      <c r="U235">
        <v>2</v>
      </c>
      <c r="V235">
        <v>1</v>
      </c>
      <c r="W235">
        <v>1</v>
      </c>
    </row>
    <row r="236" spans="1:23" x14ac:dyDescent="0.3">
      <c r="A236">
        <v>26</v>
      </c>
      <c r="B236">
        <v>3</v>
      </c>
      <c r="C236">
        <v>1</v>
      </c>
      <c r="D236">
        <v>1</v>
      </c>
      <c r="E236" t="s">
        <v>284</v>
      </c>
      <c r="F236" t="s">
        <v>285</v>
      </c>
      <c r="G236">
        <v>211.518</v>
      </c>
      <c r="H236" t="b">
        <v>0</v>
      </c>
      <c r="I236" t="b">
        <v>0</v>
      </c>
      <c r="J236">
        <v>75</v>
      </c>
      <c r="K236">
        <v>2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2</v>
      </c>
      <c r="U236">
        <v>2</v>
      </c>
      <c r="V236">
        <v>0</v>
      </c>
      <c r="W236">
        <v>0</v>
      </c>
    </row>
    <row r="237" spans="1:23" x14ac:dyDescent="0.3">
      <c r="A237">
        <v>26</v>
      </c>
      <c r="B237">
        <v>3</v>
      </c>
      <c r="C237">
        <v>1</v>
      </c>
      <c r="D237">
        <v>2</v>
      </c>
      <c r="E237" t="s">
        <v>285</v>
      </c>
      <c r="F237" t="s">
        <v>286</v>
      </c>
      <c r="G237">
        <v>203.63200000000001</v>
      </c>
      <c r="H237" t="b">
        <v>0</v>
      </c>
      <c r="I237" t="b">
        <v>0</v>
      </c>
      <c r="J237">
        <v>100</v>
      </c>
      <c r="K237">
        <v>2</v>
      </c>
      <c r="L237">
        <v>2</v>
      </c>
      <c r="M237">
        <v>0</v>
      </c>
      <c r="N237">
        <v>1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2</v>
      </c>
      <c r="U237">
        <v>2</v>
      </c>
      <c r="V237">
        <v>0</v>
      </c>
      <c r="W237">
        <v>0</v>
      </c>
    </row>
    <row r="238" spans="1:23" x14ac:dyDescent="0.3">
      <c r="A238">
        <v>26</v>
      </c>
      <c r="B238">
        <v>3</v>
      </c>
      <c r="C238">
        <v>1</v>
      </c>
      <c r="D238">
        <v>3</v>
      </c>
      <c r="E238" t="s">
        <v>286</v>
      </c>
      <c r="F238" t="s">
        <v>287</v>
      </c>
      <c r="G238">
        <v>162.59200000000001</v>
      </c>
      <c r="H238" t="b">
        <v>0</v>
      </c>
      <c r="I238" t="b">
        <v>0</v>
      </c>
      <c r="J238">
        <v>100</v>
      </c>
      <c r="K238">
        <v>3</v>
      </c>
      <c r="L238">
        <v>3</v>
      </c>
      <c r="M238">
        <v>0</v>
      </c>
      <c r="N238">
        <v>2</v>
      </c>
      <c r="O238">
        <v>2</v>
      </c>
      <c r="P238">
        <v>0</v>
      </c>
      <c r="Q238">
        <v>1</v>
      </c>
      <c r="R238">
        <v>1</v>
      </c>
      <c r="S238">
        <v>0</v>
      </c>
      <c r="T238">
        <v>2</v>
      </c>
      <c r="U238">
        <v>2</v>
      </c>
      <c r="V238">
        <v>0</v>
      </c>
      <c r="W238">
        <v>0</v>
      </c>
    </row>
    <row r="239" spans="1:23" x14ac:dyDescent="0.3">
      <c r="A239">
        <v>26</v>
      </c>
      <c r="B239">
        <v>3</v>
      </c>
      <c r="C239">
        <v>2</v>
      </c>
      <c r="D239">
        <v>1</v>
      </c>
      <c r="E239" t="s">
        <v>287</v>
      </c>
      <c r="F239" t="s">
        <v>288</v>
      </c>
      <c r="G239">
        <v>95.444000000000003</v>
      </c>
      <c r="H239" t="b">
        <v>0</v>
      </c>
      <c r="I239" t="b">
        <v>0</v>
      </c>
      <c r="J239">
        <v>75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</row>
    <row r="240" spans="1:23" x14ac:dyDescent="0.3">
      <c r="A240">
        <v>26</v>
      </c>
      <c r="B240">
        <v>3</v>
      </c>
      <c r="C240">
        <v>2</v>
      </c>
      <c r="D240">
        <v>2</v>
      </c>
      <c r="E240" t="s">
        <v>288</v>
      </c>
      <c r="F240" t="s">
        <v>289</v>
      </c>
      <c r="G240">
        <v>161.15600000000001</v>
      </c>
      <c r="H240" t="b">
        <v>0</v>
      </c>
      <c r="I240" t="b">
        <v>0</v>
      </c>
      <c r="J240">
        <v>75</v>
      </c>
      <c r="K240">
        <v>2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3</v>
      </c>
      <c r="U240">
        <v>3</v>
      </c>
      <c r="V240">
        <v>0</v>
      </c>
      <c r="W240">
        <v>0</v>
      </c>
    </row>
    <row r="241" spans="1:23" x14ac:dyDescent="0.3">
      <c r="A241">
        <v>26</v>
      </c>
      <c r="B241">
        <v>3</v>
      </c>
      <c r="C241">
        <v>2</v>
      </c>
      <c r="D241">
        <v>3</v>
      </c>
      <c r="E241" t="s">
        <v>289</v>
      </c>
      <c r="F241" t="s">
        <v>290</v>
      </c>
      <c r="G241">
        <v>91.769000000000005</v>
      </c>
      <c r="H241" t="b">
        <v>0</v>
      </c>
      <c r="I241" t="b">
        <v>0</v>
      </c>
      <c r="J241">
        <v>75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1</v>
      </c>
    </row>
    <row r="242" spans="1:23" x14ac:dyDescent="0.3">
      <c r="A242">
        <v>26</v>
      </c>
      <c r="B242">
        <v>3</v>
      </c>
      <c r="C242">
        <v>2</v>
      </c>
      <c r="D242">
        <v>4</v>
      </c>
      <c r="E242" t="s">
        <v>290</v>
      </c>
      <c r="F242" t="s">
        <v>291</v>
      </c>
      <c r="G242">
        <v>256.73599999999999</v>
      </c>
      <c r="H242" t="b">
        <v>0</v>
      </c>
      <c r="I242" t="b">
        <v>0</v>
      </c>
      <c r="J242">
        <v>100</v>
      </c>
      <c r="K242">
        <v>2</v>
      </c>
      <c r="L242">
        <v>2</v>
      </c>
      <c r="M242">
        <v>0</v>
      </c>
      <c r="N242">
        <v>1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3</v>
      </c>
      <c r="U242">
        <v>3</v>
      </c>
      <c r="V242">
        <v>0</v>
      </c>
      <c r="W242">
        <v>0</v>
      </c>
    </row>
    <row r="243" spans="1:23" x14ac:dyDescent="0.3">
      <c r="A243">
        <v>26</v>
      </c>
      <c r="B243">
        <v>3</v>
      </c>
      <c r="C243">
        <v>2</v>
      </c>
      <c r="D243">
        <v>5</v>
      </c>
      <c r="E243" t="s">
        <v>291</v>
      </c>
      <c r="F243" t="s">
        <v>292</v>
      </c>
      <c r="G243">
        <v>264.63499999999999</v>
      </c>
      <c r="H243" t="b">
        <v>0</v>
      </c>
      <c r="I243" t="b">
        <v>0</v>
      </c>
      <c r="J243">
        <v>75</v>
      </c>
      <c r="K243">
        <v>2</v>
      </c>
      <c r="L243">
        <v>2</v>
      </c>
      <c r="M243">
        <v>0</v>
      </c>
      <c r="N243">
        <v>1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3</v>
      </c>
      <c r="U243">
        <v>2</v>
      </c>
      <c r="V243">
        <v>1</v>
      </c>
      <c r="W243">
        <v>1</v>
      </c>
    </row>
    <row r="244" spans="1:23" x14ac:dyDescent="0.3">
      <c r="A244">
        <v>26</v>
      </c>
      <c r="B244">
        <v>3</v>
      </c>
      <c r="C244">
        <v>2</v>
      </c>
      <c r="D244">
        <v>6</v>
      </c>
      <c r="E244" t="s">
        <v>292</v>
      </c>
      <c r="F244" t="s">
        <v>293</v>
      </c>
      <c r="G244">
        <v>242.483</v>
      </c>
      <c r="H244" t="b">
        <v>0</v>
      </c>
      <c r="I244" t="b">
        <v>0</v>
      </c>
      <c r="J244">
        <v>100</v>
      </c>
      <c r="K244">
        <v>2</v>
      </c>
      <c r="L244">
        <v>2</v>
      </c>
      <c r="M244">
        <v>0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3</v>
      </c>
      <c r="U244">
        <v>3</v>
      </c>
      <c r="V244">
        <v>0</v>
      </c>
      <c r="W244">
        <v>0</v>
      </c>
    </row>
    <row r="245" spans="1:23" x14ac:dyDescent="0.3">
      <c r="A245">
        <v>26</v>
      </c>
      <c r="B245">
        <v>3</v>
      </c>
      <c r="C245">
        <v>2</v>
      </c>
      <c r="D245">
        <v>7</v>
      </c>
      <c r="E245" t="s">
        <v>293</v>
      </c>
      <c r="F245" t="s">
        <v>294</v>
      </c>
      <c r="G245">
        <v>247.398</v>
      </c>
      <c r="H245" t="b">
        <v>0</v>
      </c>
      <c r="I245" t="b">
        <v>0</v>
      </c>
      <c r="J245">
        <v>100</v>
      </c>
      <c r="K245">
        <v>2</v>
      </c>
      <c r="L245">
        <v>2</v>
      </c>
      <c r="M245">
        <v>0</v>
      </c>
      <c r="N245">
        <v>1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3</v>
      </c>
      <c r="U245">
        <v>3</v>
      </c>
      <c r="V245">
        <v>0</v>
      </c>
      <c r="W245">
        <v>0</v>
      </c>
    </row>
    <row r="246" spans="1:23" x14ac:dyDescent="0.3">
      <c r="A246">
        <v>26</v>
      </c>
      <c r="B246">
        <v>3</v>
      </c>
      <c r="C246">
        <v>2</v>
      </c>
      <c r="D246">
        <v>8</v>
      </c>
      <c r="E246" t="s">
        <v>294</v>
      </c>
      <c r="F246" t="s">
        <v>295</v>
      </c>
      <c r="G246">
        <v>143.011</v>
      </c>
      <c r="H246" t="b">
        <v>0</v>
      </c>
      <c r="I246" t="b">
        <v>0</v>
      </c>
      <c r="J246">
        <v>75</v>
      </c>
      <c r="K246">
        <v>10</v>
      </c>
      <c r="L246">
        <v>6</v>
      </c>
      <c r="M246">
        <v>4</v>
      </c>
      <c r="N246">
        <v>6</v>
      </c>
      <c r="O246">
        <v>6</v>
      </c>
      <c r="P246">
        <v>0</v>
      </c>
      <c r="Q246">
        <v>4</v>
      </c>
      <c r="R246">
        <v>0</v>
      </c>
      <c r="S246">
        <v>4</v>
      </c>
      <c r="T246">
        <v>4</v>
      </c>
      <c r="U246">
        <v>4</v>
      </c>
      <c r="V246">
        <v>0</v>
      </c>
      <c r="W246">
        <v>0</v>
      </c>
    </row>
    <row r="247" spans="1:23" x14ac:dyDescent="0.3">
      <c r="A247">
        <v>26</v>
      </c>
      <c r="B247">
        <v>3</v>
      </c>
      <c r="C247">
        <v>2</v>
      </c>
      <c r="D247">
        <v>9</v>
      </c>
      <c r="E247" t="s">
        <v>295</v>
      </c>
      <c r="F247" t="s">
        <v>296</v>
      </c>
      <c r="G247">
        <v>186.94300000000001</v>
      </c>
      <c r="H247" t="b">
        <v>0</v>
      </c>
      <c r="I247" t="b">
        <v>0</v>
      </c>
      <c r="J247">
        <v>100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2</v>
      </c>
      <c r="V247">
        <v>0</v>
      </c>
      <c r="W247">
        <v>0</v>
      </c>
    </row>
    <row r="248" spans="1:23" x14ac:dyDescent="0.3">
      <c r="A248">
        <v>26</v>
      </c>
      <c r="B248">
        <v>3</v>
      </c>
      <c r="C248">
        <v>2</v>
      </c>
      <c r="D248">
        <v>10</v>
      </c>
      <c r="E248" t="s">
        <v>296</v>
      </c>
      <c r="F248" t="s">
        <v>297</v>
      </c>
      <c r="G248">
        <v>45.24</v>
      </c>
      <c r="H248" t="b">
        <v>0</v>
      </c>
      <c r="I248" t="b">
        <v>0</v>
      </c>
      <c r="J248">
        <v>100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">
      <c r="A249">
        <v>26</v>
      </c>
      <c r="B249">
        <v>3</v>
      </c>
      <c r="C249">
        <v>2</v>
      </c>
      <c r="D249">
        <v>11</v>
      </c>
      <c r="E249" t="s">
        <v>297</v>
      </c>
      <c r="F249" t="s">
        <v>298</v>
      </c>
      <c r="G249">
        <v>37.426000000000002</v>
      </c>
      <c r="H249" t="b">
        <v>0</v>
      </c>
      <c r="I249" t="b">
        <v>0</v>
      </c>
      <c r="J249">
        <v>100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">
      <c r="A250">
        <v>26</v>
      </c>
      <c r="B250">
        <v>3</v>
      </c>
      <c r="C250">
        <v>3</v>
      </c>
      <c r="D250">
        <v>1</v>
      </c>
      <c r="E250" t="s">
        <v>298</v>
      </c>
      <c r="F250" t="s">
        <v>299</v>
      </c>
      <c r="G250">
        <v>216.86699999999999</v>
      </c>
      <c r="H250" t="b">
        <v>0</v>
      </c>
      <c r="I250" t="b">
        <v>0</v>
      </c>
      <c r="J250">
        <v>100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0</v>
      </c>
    </row>
    <row r="251" spans="1:23" x14ac:dyDescent="0.3">
      <c r="A251">
        <v>26</v>
      </c>
      <c r="B251">
        <v>3</v>
      </c>
      <c r="C251">
        <v>3</v>
      </c>
      <c r="D251">
        <v>2</v>
      </c>
      <c r="E251" t="s">
        <v>299</v>
      </c>
      <c r="F251" t="s">
        <v>300</v>
      </c>
      <c r="G251">
        <v>1.3879999999999999</v>
      </c>
      <c r="H251" t="b">
        <v>0</v>
      </c>
      <c r="I251" t="b">
        <v>0</v>
      </c>
      <c r="J251">
        <v>100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">
      <c r="A252">
        <v>27</v>
      </c>
      <c r="B252">
        <v>1</v>
      </c>
      <c r="C252">
        <v>1</v>
      </c>
      <c r="D252">
        <v>1</v>
      </c>
      <c r="E252" t="s">
        <v>301</v>
      </c>
      <c r="F252" t="s">
        <v>302</v>
      </c>
      <c r="G252">
        <v>126.907</v>
      </c>
      <c r="H252" t="b">
        <v>0</v>
      </c>
      <c r="I252" t="b">
        <v>0</v>
      </c>
      <c r="J252">
        <v>100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0</v>
      </c>
    </row>
    <row r="253" spans="1:23" x14ac:dyDescent="0.3">
      <c r="A253">
        <v>27</v>
      </c>
      <c r="B253">
        <v>1</v>
      </c>
      <c r="C253">
        <v>1</v>
      </c>
      <c r="D253">
        <v>2</v>
      </c>
      <c r="E253" t="s">
        <v>302</v>
      </c>
      <c r="F253" t="s">
        <v>303</v>
      </c>
      <c r="G253">
        <v>212.786</v>
      </c>
      <c r="H253" t="b">
        <v>0</v>
      </c>
      <c r="I253" t="b">
        <v>1</v>
      </c>
      <c r="J253">
        <v>75</v>
      </c>
      <c r="K253">
        <v>4</v>
      </c>
      <c r="L253">
        <v>2</v>
      </c>
      <c r="M253">
        <v>2</v>
      </c>
      <c r="N253">
        <v>2</v>
      </c>
      <c r="O253">
        <v>2</v>
      </c>
      <c r="P253">
        <v>0</v>
      </c>
      <c r="Q253">
        <v>2</v>
      </c>
      <c r="R253">
        <v>0</v>
      </c>
      <c r="S253">
        <v>2</v>
      </c>
      <c r="T253">
        <v>4</v>
      </c>
      <c r="U253">
        <v>3</v>
      </c>
      <c r="V253">
        <v>0</v>
      </c>
      <c r="W253">
        <v>0</v>
      </c>
    </row>
    <row r="254" spans="1:23" x14ac:dyDescent="0.3">
      <c r="A254">
        <v>27</v>
      </c>
      <c r="B254">
        <v>1</v>
      </c>
      <c r="C254">
        <v>1</v>
      </c>
      <c r="D254">
        <v>3</v>
      </c>
      <c r="E254" t="s">
        <v>303</v>
      </c>
      <c r="F254" t="s">
        <v>304</v>
      </c>
      <c r="G254">
        <v>170.99600000000001</v>
      </c>
      <c r="H254" t="b">
        <v>0</v>
      </c>
      <c r="I254" t="b">
        <v>0</v>
      </c>
      <c r="J254">
        <v>75</v>
      </c>
      <c r="K254">
        <v>2</v>
      </c>
      <c r="L254">
        <v>1</v>
      </c>
      <c r="M254">
        <v>1</v>
      </c>
      <c r="N254">
        <v>1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2</v>
      </c>
      <c r="U254">
        <v>2</v>
      </c>
      <c r="V254">
        <v>0</v>
      </c>
      <c r="W254">
        <v>0</v>
      </c>
    </row>
    <row r="255" spans="1:23" x14ac:dyDescent="0.3">
      <c r="A255">
        <v>27</v>
      </c>
      <c r="B255">
        <v>1</v>
      </c>
      <c r="C255">
        <v>1</v>
      </c>
      <c r="D255">
        <v>4</v>
      </c>
      <c r="E255" t="s">
        <v>304</v>
      </c>
      <c r="F255" t="s">
        <v>305</v>
      </c>
      <c r="G255">
        <v>159.321</v>
      </c>
      <c r="H255" t="b">
        <v>0</v>
      </c>
      <c r="I255" t="b">
        <v>0</v>
      </c>
      <c r="J255">
        <v>75</v>
      </c>
      <c r="K255">
        <v>3</v>
      </c>
      <c r="L255">
        <v>2</v>
      </c>
      <c r="M255">
        <v>1</v>
      </c>
      <c r="N255">
        <v>2</v>
      </c>
      <c r="O255">
        <v>2</v>
      </c>
      <c r="P255">
        <v>0</v>
      </c>
      <c r="Q255">
        <v>1</v>
      </c>
      <c r="R255">
        <v>0</v>
      </c>
      <c r="S255">
        <v>1</v>
      </c>
      <c r="T255">
        <v>4</v>
      </c>
      <c r="U255">
        <v>2</v>
      </c>
      <c r="V255">
        <v>0</v>
      </c>
      <c r="W255">
        <v>0</v>
      </c>
    </row>
    <row r="256" spans="1:23" x14ac:dyDescent="0.3">
      <c r="A256">
        <v>27</v>
      </c>
      <c r="B256">
        <v>1</v>
      </c>
      <c r="C256">
        <v>1</v>
      </c>
      <c r="D256">
        <v>5</v>
      </c>
      <c r="E256" t="s">
        <v>305</v>
      </c>
      <c r="F256" t="s">
        <v>306</v>
      </c>
      <c r="G256">
        <v>177.81100000000001</v>
      </c>
      <c r="H256" t="b">
        <v>0</v>
      </c>
      <c r="I256" t="b">
        <v>0</v>
      </c>
      <c r="J256">
        <v>100</v>
      </c>
      <c r="K256">
        <v>1</v>
      </c>
      <c r="L256">
        <v>1</v>
      </c>
      <c r="M256">
        <v>0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3</v>
      </c>
      <c r="U256">
        <v>3</v>
      </c>
      <c r="V256">
        <v>0</v>
      </c>
      <c r="W256">
        <v>0</v>
      </c>
    </row>
    <row r="257" spans="1:23" x14ac:dyDescent="0.3">
      <c r="A257">
        <v>27</v>
      </c>
      <c r="B257">
        <v>1</v>
      </c>
      <c r="C257">
        <v>2</v>
      </c>
      <c r="D257">
        <v>1</v>
      </c>
      <c r="E257" t="s">
        <v>306</v>
      </c>
      <c r="F257" t="s">
        <v>307</v>
      </c>
      <c r="G257">
        <v>76.603999999999999</v>
      </c>
      <c r="H257" t="b">
        <v>0</v>
      </c>
      <c r="I257" t="b">
        <v>0</v>
      </c>
      <c r="J257">
        <v>100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</v>
      </c>
      <c r="U257">
        <v>2</v>
      </c>
      <c r="V257">
        <v>0</v>
      </c>
      <c r="W257">
        <v>0</v>
      </c>
    </row>
    <row r="258" spans="1:23" x14ac:dyDescent="0.3">
      <c r="A258">
        <v>27</v>
      </c>
      <c r="B258">
        <v>3</v>
      </c>
      <c r="C258">
        <v>1</v>
      </c>
      <c r="D258">
        <v>1</v>
      </c>
      <c r="E258" t="s">
        <v>308</v>
      </c>
      <c r="F258" t="s">
        <v>309</v>
      </c>
      <c r="G258">
        <v>143.482</v>
      </c>
      <c r="H258" t="b">
        <v>0</v>
      </c>
      <c r="I258" t="b">
        <v>0</v>
      </c>
      <c r="J258">
        <v>100</v>
      </c>
      <c r="K258">
        <v>1</v>
      </c>
      <c r="L258">
        <v>1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2</v>
      </c>
      <c r="U258">
        <v>1</v>
      </c>
      <c r="V258">
        <v>0</v>
      </c>
      <c r="W258">
        <v>0</v>
      </c>
    </row>
    <row r="259" spans="1:23" x14ac:dyDescent="0.3">
      <c r="A259">
        <v>27</v>
      </c>
      <c r="B259">
        <v>3</v>
      </c>
      <c r="C259">
        <v>1</v>
      </c>
      <c r="D259">
        <v>2</v>
      </c>
      <c r="E259" t="s">
        <v>309</v>
      </c>
      <c r="F259" t="s">
        <v>310</v>
      </c>
      <c r="G259">
        <v>150.20099999999999</v>
      </c>
      <c r="H259" t="b">
        <v>0</v>
      </c>
      <c r="I259" t="b">
        <v>0</v>
      </c>
      <c r="J259">
        <v>100</v>
      </c>
      <c r="K259">
        <v>1</v>
      </c>
      <c r="L259">
        <v>1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2</v>
      </c>
      <c r="U259">
        <v>1</v>
      </c>
      <c r="V259">
        <v>0</v>
      </c>
      <c r="W259">
        <v>0</v>
      </c>
    </row>
    <row r="260" spans="1:23" x14ac:dyDescent="0.3">
      <c r="A260">
        <v>27</v>
      </c>
      <c r="B260">
        <v>3</v>
      </c>
      <c r="C260">
        <v>2</v>
      </c>
      <c r="D260">
        <v>1</v>
      </c>
      <c r="E260" t="s">
        <v>310</v>
      </c>
      <c r="F260" t="s">
        <v>311</v>
      </c>
      <c r="G260">
        <v>201.49799999999999</v>
      </c>
      <c r="H260" t="b">
        <v>0</v>
      </c>
      <c r="I260" t="b">
        <v>0</v>
      </c>
      <c r="J260">
        <v>100</v>
      </c>
      <c r="K260">
        <v>1</v>
      </c>
      <c r="L260">
        <v>1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3</v>
      </c>
      <c r="U260">
        <v>1</v>
      </c>
      <c r="V260">
        <v>0</v>
      </c>
      <c r="W260">
        <v>0</v>
      </c>
    </row>
    <row r="261" spans="1:23" x14ac:dyDescent="0.3">
      <c r="A261">
        <v>27</v>
      </c>
      <c r="B261">
        <v>3</v>
      </c>
      <c r="C261">
        <v>2</v>
      </c>
      <c r="D261">
        <v>2</v>
      </c>
      <c r="E261" t="s">
        <v>311</v>
      </c>
      <c r="F261" t="s">
        <v>312</v>
      </c>
      <c r="G261">
        <v>74.448999999999998</v>
      </c>
      <c r="H261" t="b">
        <v>0</v>
      </c>
      <c r="I261" t="b">
        <v>0</v>
      </c>
      <c r="J261">
        <v>75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1</v>
      </c>
      <c r="W261">
        <v>1</v>
      </c>
    </row>
    <row r="262" spans="1:23" x14ac:dyDescent="0.3">
      <c r="A262">
        <v>27</v>
      </c>
      <c r="B262">
        <v>3</v>
      </c>
      <c r="C262">
        <v>2</v>
      </c>
      <c r="D262">
        <v>3</v>
      </c>
      <c r="E262" t="s">
        <v>312</v>
      </c>
      <c r="F262" t="s">
        <v>313</v>
      </c>
      <c r="G262">
        <v>64.052000000000007</v>
      </c>
      <c r="H262" t="b">
        <v>0</v>
      </c>
      <c r="I262" t="b">
        <v>0</v>
      </c>
      <c r="J262">
        <v>100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</v>
      </c>
      <c r="U262">
        <v>1</v>
      </c>
      <c r="V262">
        <v>0</v>
      </c>
      <c r="W262">
        <v>0</v>
      </c>
    </row>
    <row r="263" spans="1:23" x14ac:dyDescent="0.3">
      <c r="A263">
        <v>27</v>
      </c>
      <c r="B263">
        <v>3</v>
      </c>
      <c r="C263">
        <v>2</v>
      </c>
      <c r="D263">
        <v>4</v>
      </c>
      <c r="E263" t="s">
        <v>313</v>
      </c>
      <c r="F263" t="s">
        <v>314</v>
      </c>
      <c r="G263">
        <v>170.18600000000001</v>
      </c>
      <c r="H263" t="b">
        <v>0</v>
      </c>
      <c r="I263" t="b">
        <v>0</v>
      </c>
      <c r="J263">
        <v>100</v>
      </c>
      <c r="K263">
        <v>2</v>
      </c>
      <c r="L263">
        <v>2</v>
      </c>
      <c r="M263">
        <v>0</v>
      </c>
      <c r="N263">
        <v>2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3</v>
      </c>
      <c r="U263">
        <v>3</v>
      </c>
      <c r="V263">
        <v>0</v>
      </c>
      <c r="W263">
        <v>0</v>
      </c>
    </row>
    <row r="264" spans="1:23" x14ac:dyDescent="0.3">
      <c r="A264">
        <v>27</v>
      </c>
      <c r="B264">
        <v>3</v>
      </c>
      <c r="C264">
        <v>2</v>
      </c>
      <c r="D264">
        <v>5</v>
      </c>
      <c r="E264" t="s">
        <v>314</v>
      </c>
      <c r="F264" t="s">
        <v>315</v>
      </c>
      <c r="G264">
        <v>200.542</v>
      </c>
      <c r="H264" t="b">
        <v>0</v>
      </c>
      <c r="I264" t="b">
        <v>0</v>
      </c>
      <c r="J264">
        <v>75</v>
      </c>
      <c r="K264">
        <v>1</v>
      </c>
      <c r="L264">
        <v>1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1</v>
      </c>
      <c r="W264">
        <v>1</v>
      </c>
    </row>
    <row r="265" spans="1:23" x14ac:dyDescent="0.3">
      <c r="A265">
        <v>27</v>
      </c>
      <c r="B265">
        <v>3</v>
      </c>
      <c r="C265">
        <v>2</v>
      </c>
      <c r="D265">
        <v>6</v>
      </c>
      <c r="E265" t="s">
        <v>315</v>
      </c>
      <c r="F265" t="s">
        <v>316</v>
      </c>
      <c r="G265">
        <v>60.878999999999998</v>
      </c>
      <c r="H265" t="b">
        <v>0</v>
      </c>
      <c r="I265" t="b">
        <v>0</v>
      </c>
      <c r="J265">
        <v>100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">
      <c r="A266">
        <v>27</v>
      </c>
      <c r="B266">
        <v>3</v>
      </c>
      <c r="C266">
        <v>2</v>
      </c>
      <c r="D266">
        <v>7</v>
      </c>
      <c r="E266" t="s">
        <v>316</v>
      </c>
      <c r="F266" t="s">
        <v>317</v>
      </c>
      <c r="G266">
        <v>152.71899999999999</v>
      </c>
      <c r="H266" t="b">
        <v>0</v>
      </c>
      <c r="I266" t="b">
        <v>0</v>
      </c>
      <c r="J266">
        <v>100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</v>
      </c>
      <c r="U266">
        <v>0</v>
      </c>
      <c r="V266">
        <v>0</v>
      </c>
      <c r="W266">
        <v>0</v>
      </c>
    </row>
    <row r="267" spans="1:23" x14ac:dyDescent="0.3">
      <c r="A267">
        <v>27</v>
      </c>
      <c r="B267">
        <v>3</v>
      </c>
      <c r="C267">
        <v>2</v>
      </c>
      <c r="D267">
        <v>8</v>
      </c>
      <c r="E267" t="s">
        <v>317</v>
      </c>
      <c r="F267" t="s">
        <v>318</v>
      </c>
      <c r="G267">
        <v>128.85900000000001</v>
      </c>
      <c r="H267" t="b">
        <v>0</v>
      </c>
      <c r="I267" t="b">
        <v>0</v>
      </c>
      <c r="J267">
        <v>100</v>
      </c>
      <c r="K267">
        <v>2</v>
      </c>
      <c r="L267">
        <v>2</v>
      </c>
      <c r="M267">
        <v>0</v>
      </c>
      <c r="N267">
        <v>2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4</v>
      </c>
      <c r="U267">
        <v>3</v>
      </c>
      <c r="V267">
        <v>0</v>
      </c>
      <c r="W267">
        <v>0</v>
      </c>
    </row>
    <row r="268" spans="1:23" x14ac:dyDescent="0.3">
      <c r="A268">
        <v>27</v>
      </c>
      <c r="B268">
        <v>3</v>
      </c>
      <c r="C268">
        <v>2</v>
      </c>
      <c r="D268">
        <v>9</v>
      </c>
      <c r="E268" t="s">
        <v>318</v>
      </c>
      <c r="F268" t="s">
        <v>319</v>
      </c>
      <c r="G268">
        <v>204.15799999999999</v>
      </c>
      <c r="H268" t="b">
        <v>0</v>
      </c>
      <c r="I268" t="b">
        <v>0</v>
      </c>
      <c r="J268">
        <v>100</v>
      </c>
      <c r="K268">
        <v>1</v>
      </c>
      <c r="L268">
        <v>1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3</v>
      </c>
      <c r="U268">
        <v>1</v>
      </c>
      <c r="V268">
        <v>0</v>
      </c>
      <c r="W268">
        <v>0</v>
      </c>
    </row>
    <row r="269" spans="1:23" x14ac:dyDescent="0.3">
      <c r="A269">
        <v>27</v>
      </c>
      <c r="B269">
        <v>3</v>
      </c>
      <c r="C269">
        <v>2</v>
      </c>
      <c r="D269">
        <v>10</v>
      </c>
      <c r="E269" t="s">
        <v>319</v>
      </c>
      <c r="F269" t="s">
        <v>320</v>
      </c>
      <c r="G269">
        <v>34.655999999999999</v>
      </c>
      <c r="H269" t="b">
        <v>0</v>
      </c>
      <c r="I269" t="b">
        <v>0</v>
      </c>
      <c r="J269">
        <v>100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3">
      <c r="A270">
        <v>27</v>
      </c>
      <c r="B270">
        <v>3</v>
      </c>
      <c r="C270">
        <v>2</v>
      </c>
      <c r="D270">
        <v>11</v>
      </c>
      <c r="E270" t="s">
        <v>320</v>
      </c>
      <c r="F270" t="s">
        <v>321</v>
      </c>
      <c r="G270">
        <v>297.089</v>
      </c>
      <c r="H270" t="b">
        <v>0</v>
      </c>
      <c r="I270" t="b">
        <v>0</v>
      </c>
      <c r="J270">
        <v>100</v>
      </c>
      <c r="K270">
        <v>1</v>
      </c>
      <c r="L270">
        <v>1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3</v>
      </c>
      <c r="U270">
        <v>2</v>
      </c>
      <c r="V270">
        <v>0</v>
      </c>
      <c r="W270">
        <v>0</v>
      </c>
    </row>
    <row r="271" spans="1:23" x14ac:dyDescent="0.3">
      <c r="A271">
        <v>27</v>
      </c>
      <c r="B271">
        <v>3</v>
      </c>
      <c r="C271">
        <v>1</v>
      </c>
      <c r="D271">
        <v>1</v>
      </c>
      <c r="E271" t="s">
        <v>321</v>
      </c>
      <c r="F271" t="s">
        <v>322</v>
      </c>
      <c r="G271">
        <v>188.63200000000001</v>
      </c>
      <c r="H271" t="b">
        <v>0</v>
      </c>
      <c r="I271" t="b">
        <v>1</v>
      </c>
      <c r="J271">
        <v>75</v>
      </c>
      <c r="K271">
        <v>3</v>
      </c>
      <c r="L271">
        <v>2</v>
      </c>
      <c r="M271">
        <v>1</v>
      </c>
      <c r="N271">
        <v>2</v>
      </c>
      <c r="O271">
        <v>2</v>
      </c>
      <c r="P271">
        <v>0</v>
      </c>
      <c r="Q271">
        <v>1</v>
      </c>
      <c r="R271">
        <v>0</v>
      </c>
      <c r="S271">
        <v>1</v>
      </c>
      <c r="T271">
        <v>4</v>
      </c>
      <c r="U271">
        <v>3</v>
      </c>
      <c r="V271">
        <v>0</v>
      </c>
      <c r="W271">
        <v>0</v>
      </c>
    </row>
    <row r="272" spans="1:23" x14ac:dyDescent="0.3">
      <c r="A272">
        <v>27</v>
      </c>
      <c r="B272">
        <v>3</v>
      </c>
      <c r="C272">
        <v>2</v>
      </c>
      <c r="D272">
        <v>1</v>
      </c>
      <c r="E272" t="s">
        <v>322</v>
      </c>
      <c r="F272" t="s">
        <v>323</v>
      </c>
      <c r="G272">
        <v>118.009</v>
      </c>
      <c r="H272" t="b">
        <v>0</v>
      </c>
      <c r="I272" t="b">
        <v>0</v>
      </c>
      <c r="J272">
        <v>75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</v>
      </c>
      <c r="U272">
        <v>0</v>
      </c>
      <c r="V272">
        <v>1</v>
      </c>
      <c r="W272">
        <v>1</v>
      </c>
    </row>
    <row r="273" spans="1:23" x14ac:dyDescent="0.3">
      <c r="A273">
        <v>27</v>
      </c>
      <c r="B273">
        <v>3</v>
      </c>
      <c r="C273">
        <v>2</v>
      </c>
      <c r="D273">
        <v>2</v>
      </c>
      <c r="E273" t="s">
        <v>323</v>
      </c>
      <c r="F273" t="s">
        <v>324</v>
      </c>
      <c r="G273">
        <v>4.8390000000000004</v>
      </c>
      <c r="H273" t="b">
        <v>0</v>
      </c>
      <c r="I273" t="b">
        <v>0</v>
      </c>
      <c r="J273">
        <v>100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">
      <c r="A274">
        <v>27</v>
      </c>
      <c r="B274">
        <v>3</v>
      </c>
      <c r="C274">
        <v>3</v>
      </c>
      <c r="D274">
        <v>1</v>
      </c>
      <c r="E274" t="s">
        <v>324</v>
      </c>
      <c r="F274" t="s">
        <v>325</v>
      </c>
      <c r="G274">
        <v>141.114</v>
      </c>
      <c r="H274" t="b">
        <v>0</v>
      </c>
      <c r="I274" t="b">
        <v>1</v>
      </c>
      <c r="J274">
        <v>50</v>
      </c>
      <c r="K274">
        <v>3</v>
      </c>
      <c r="L274">
        <v>1</v>
      </c>
      <c r="M274">
        <v>2</v>
      </c>
      <c r="N274">
        <v>2</v>
      </c>
      <c r="O274">
        <v>1</v>
      </c>
      <c r="P274">
        <v>1</v>
      </c>
      <c r="Q274">
        <v>1</v>
      </c>
      <c r="R274">
        <v>0</v>
      </c>
      <c r="S274">
        <v>1</v>
      </c>
      <c r="T274">
        <v>4</v>
      </c>
      <c r="U274">
        <v>3</v>
      </c>
      <c r="V274">
        <v>0</v>
      </c>
      <c r="W274">
        <v>0</v>
      </c>
    </row>
    <row r="275" spans="1:23" x14ac:dyDescent="0.3">
      <c r="A275">
        <v>27</v>
      </c>
      <c r="B275">
        <v>3</v>
      </c>
      <c r="C275">
        <v>3</v>
      </c>
      <c r="D275">
        <v>2</v>
      </c>
      <c r="E275" t="s">
        <v>325</v>
      </c>
      <c r="F275" t="s">
        <v>326</v>
      </c>
      <c r="G275">
        <v>267.68400000000003</v>
      </c>
      <c r="H275" t="b">
        <v>0</v>
      </c>
      <c r="I275" t="b">
        <v>1</v>
      </c>
      <c r="J275">
        <v>75</v>
      </c>
      <c r="K275">
        <v>4</v>
      </c>
      <c r="L275">
        <v>2</v>
      </c>
      <c r="M275">
        <v>2</v>
      </c>
      <c r="N275">
        <v>2</v>
      </c>
      <c r="O275">
        <v>2</v>
      </c>
      <c r="P275">
        <v>0</v>
      </c>
      <c r="Q275">
        <v>2</v>
      </c>
      <c r="R275">
        <v>0</v>
      </c>
      <c r="S275">
        <v>2</v>
      </c>
      <c r="T275">
        <v>4</v>
      </c>
      <c r="U275">
        <v>3</v>
      </c>
      <c r="V275">
        <v>0</v>
      </c>
      <c r="W275">
        <v>0</v>
      </c>
    </row>
    <row r="276" spans="1:23" x14ac:dyDescent="0.3">
      <c r="A276">
        <v>27</v>
      </c>
      <c r="B276">
        <v>3</v>
      </c>
      <c r="C276">
        <v>3</v>
      </c>
      <c r="D276">
        <v>3</v>
      </c>
      <c r="E276" t="s">
        <v>326</v>
      </c>
      <c r="F276" t="s">
        <v>327</v>
      </c>
      <c r="G276">
        <v>136.417</v>
      </c>
      <c r="H276" t="b">
        <v>0</v>
      </c>
      <c r="I276" t="b">
        <v>1</v>
      </c>
      <c r="J276">
        <v>75</v>
      </c>
      <c r="K276">
        <v>4</v>
      </c>
      <c r="L276">
        <v>3</v>
      </c>
      <c r="M276">
        <v>1</v>
      </c>
      <c r="N276">
        <v>2</v>
      </c>
      <c r="O276">
        <v>2</v>
      </c>
      <c r="P276">
        <v>0</v>
      </c>
      <c r="Q276">
        <v>2</v>
      </c>
      <c r="R276">
        <v>1</v>
      </c>
      <c r="S276">
        <v>1</v>
      </c>
      <c r="T276">
        <v>4</v>
      </c>
      <c r="U276">
        <v>3</v>
      </c>
      <c r="V276">
        <v>0</v>
      </c>
      <c r="W276">
        <v>0</v>
      </c>
    </row>
    <row r="277" spans="1:23" x14ac:dyDescent="0.3">
      <c r="A277">
        <v>2</v>
      </c>
      <c r="B277">
        <v>1</v>
      </c>
      <c r="C277">
        <v>1</v>
      </c>
      <c r="D277">
        <v>1</v>
      </c>
      <c r="E277" t="s">
        <v>328</v>
      </c>
      <c r="F277" t="s">
        <v>329</v>
      </c>
      <c r="G277">
        <v>199.01900000000001</v>
      </c>
      <c r="H277" t="b">
        <v>0</v>
      </c>
      <c r="I277" t="b">
        <v>0</v>
      </c>
      <c r="J277">
        <v>100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0</v>
      </c>
      <c r="W277">
        <v>0</v>
      </c>
    </row>
    <row r="278" spans="1:23" x14ac:dyDescent="0.3">
      <c r="A278">
        <v>2</v>
      </c>
      <c r="B278">
        <v>1</v>
      </c>
      <c r="C278">
        <v>1</v>
      </c>
      <c r="D278">
        <v>2</v>
      </c>
      <c r="E278" t="s">
        <v>329</v>
      </c>
      <c r="F278" t="s">
        <v>330</v>
      </c>
      <c r="G278">
        <v>204.60900000000001</v>
      </c>
      <c r="H278" t="b">
        <v>0</v>
      </c>
      <c r="I278" t="b">
        <v>0</v>
      </c>
      <c r="J278">
        <v>100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</row>
    <row r="279" spans="1:23" x14ac:dyDescent="0.3">
      <c r="A279">
        <v>2</v>
      </c>
      <c r="B279">
        <v>1</v>
      </c>
      <c r="C279">
        <v>1</v>
      </c>
      <c r="D279">
        <v>3</v>
      </c>
      <c r="E279" t="s">
        <v>330</v>
      </c>
      <c r="F279" t="s">
        <v>331</v>
      </c>
      <c r="G279">
        <v>179.881</v>
      </c>
      <c r="H279" t="b">
        <v>0</v>
      </c>
      <c r="I279" t="b">
        <v>0</v>
      </c>
      <c r="J279">
        <v>75</v>
      </c>
      <c r="K279">
        <v>2</v>
      </c>
      <c r="L279">
        <v>1</v>
      </c>
      <c r="M279">
        <v>1</v>
      </c>
      <c r="N279">
        <v>1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3</v>
      </c>
      <c r="U279">
        <v>3</v>
      </c>
      <c r="V279">
        <v>0</v>
      </c>
      <c r="W279">
        <v>0</v>
      </c>
    </row>
    <row r="280" spans="1:23" x14ac:dyDescent="0.3">
      <c r="A280">
        <v>2</v>
      </c>
      <c r="B280">
        <v>1</v>
      </c>
      <c r="C280">
        <v>1</v>
      </c>
      <c r="D280">
        <v>4</v>
      </c>
      <c r="E280" t="s">
        <v>331</v>
      </c>
      <c r="F280" t="s">
        <v>332</v>
      </c>
      <c r="G280">
        <v>154.411</v>
      </c>
      <c r="H280" t="b">
        <v>0</v>
      </c>
      <c r="I280" t="b">
        <v>0</v>
      </c>
      <c r="J280">
        <v>100</v>
      </c>
      <c r="K280">
        <v>2</v>
      </c>
      <c r="L280">
        <v>2</v>
      </c>
      <c r="M280">
        <v>0</v>
      </c>
      <c r="N280">
        <v>1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2</v>
      </c>
      <c r="U280">
        <v>2</v>
      </c>
      <c r="V280">
        <v>0</v>
      </c>
      <c r="W280">
        <v>0</v>
      </c>
    </row>
    <row r="281" spans="1:23" x14ac:dyDescent="0.3">
      <c r="A281">
        <v>2</v>
      </c>
      <c r="B281">
        <v>1</v>
      </c>
      <c r="C281">
        <v>1</v>
      </c>
      <c r="D281">
        <v>5</v>
      </c>
      <c r="E281" t="s">
        <v>332</v>
      </c>
      <c r="F281" t="s">
        <v>333</v>
      </c>
      <c r="G281">
        <v>148.017</v>
      </c>
      <c r="H281" t="b">
        <v>0</v>
      </c>
      <c r="I281" t="b">
        <v>0</v>
      </c>
      <c r="J281">
        <v>100</v>
      </c>
      <c r="K281">
        <v>4</v>
      </c>
      <c r="L281">
        <v>4</v>
      </c>
      <c r="M281">
        <v>0</v>
      </c>
      <c r="N281">
        <v>1</v>
      </c>
      <c r="O281">
        <v>1</v>
      </c>
      <c r="P281">
        <v>0</v>
      </c>
      <c r="Q281">
        <v>3</v>
      </c>
      <c r="R281">
        <v>3</v>
      </c>
      <c r="S281">
        <v>0</v>
      </c>
      <c r="T281">
        <v>2</v>
      </c>
      <c r="U281">
        <v>2</v>
      </c>
      <c r="V281">
        <v>0</v>
      </c>
      <c r="W281">
        <v>0</v>
      </c>
    </row>
    <row r="282" spans="1:23" x14ac:dyDescent="0.3">
      <c r="A282">
        <v>2</v>
      </c>
      <c r="B282">
        <v>1</v>
      </c>
      <c r="C282">
        <v>1</v>
      </c>
      <c r="D282">
        <v>6</v>
      </c>
      <c r="E282" t="s">
        <v>333</v>
      </c>
      <c r="F282" t="s">
        <v>334</v>
      </c>
      <c r="G282">
        <v>308.60500000000002</v>
      </c>
      <c r="H282" t="b">
        <v>0</v>
      </c>
      <c r="I282" t="b">
        <v>1</v>
      </c>
      <c r="J282">
        <v>75</v>
      </c>
      <c r="K282">
        <v>4</v>
      </c>
      <c r="L282">
        <v>3</v>
      </c>
      <c r="M282">
        <v>1</v>
      </c>
      <c r="N282">
        <v>2</v>
      </c>
      <c r="O282">
        <v>2</v>
      </c>
      <c r="P282">
        <v>0</v>
      </c>
      <c r="Q282">
        <v>2</v>
      </c>
      <c r="R282">
        <v>1</v>
      </c>
      <c r="S282">
        <v>1</v>
      </c>
      <c r="T282">
        <v>4</v>
      </c>
      <c r="U282">
        <v>3</v>
      </c>
      <c r="V282">
        <v>0</v>
      </c>
      <c r="W282">
        <v>0</v>
      </c>
    </row>
    <row r="283" spans="1:23" x14ac:dyDescent="0.3">
      <c r="A283">
        <v>2</v>
      </c>
      <c r="B283">
        <v>1</v>
      </c>
      <c r="C283">
        <v>1</v>
      </c>
      <c r="D283">
        <v>7</v>
      </c>
      <c r="E283" t="s">
        <v>334</v>
      </c>
      <c r="F283" t="s">
        <v>335</v>
      </c>
      <c r="G283">
        <v>191.095</v>
      </c>
      <c r="H283" t="b">
        <v>0</v>
      </c>
      <c r="I283" t="b">
        <v>1</v>
      </c>
      <c r="J283">
        <v>75</v>
      </c>
      <c r="K283">
        <v>3</v>
      </c>
      <c r="L283">
        <v>2</v>
      </c>
      <c r="M283">
        <v>1</v>
      </c>
      <c r="N283">
        <v>2</v>
      </c>
      <c r="O283">
        <v>2</v>
      </c>
      <c r="P283">
        <v>0</v>
      </c>
      <c r="Q283">
        <v>1</v>
      </c>
      <c r="R283">
        <v>0</v>
      </c>
      <c r="S283">
        <v>1</v>
      </c>
      <c r="T283">
        <v>2</v>
      </c>
      <c r="U283">
        <v>1</v>
      </c>
      <c r="V283">
        <v>0</v>
      </c>
      <c r="W283">
        <v>0</v>
      </c>
    </row>
    <row r="284" spans="1:23" x14ac:dyDescent="0.3">
      <c r="A284">
        <v>2</v>
      </c>
      <c r="B284">
        <v>1</v>
      </c>
      <c r="C284">
        <v>1</v>
      </c>
      <c r="D284">
        <v>8</v>
      </c>
      <c r="E284" t="s">
        <v>335</v>
      </c>
      <c r="F284" t="s">
        <v>336</v>
      </c>
      <c r="G284">
        <v>194.535</v>
      </c>
      <c r="H284" t="b">
        <v>0</v>
      </c>
      <c r="I284" t="b">
        <v>0</v>
      </c>
      <c r="J284">
        <v>100</v>
      </c>
      <c r="K284">
        <v>3</v>
      </c>
      <c r="L284">
        <v>3</v>
      </c>
      <c r="M284">
        <v>0</v>
      </c>
      <c r="N284">
        <v>2</v>
      </c>
      <c r="O284">
        <v>2</v>
      </c>
      <c r="P284">
        <v>0</v>
      </c>
      <c r="Q284">
        <v>1</v>
      </c>
      <c r="R284">
        <v>1</v>
      </c>
      <c r="S284">
        <v>0</v>
      </c>
      <c r="T284">
        <v>4</v>
      </c>
      <c r="U284">
        <v>3</v>
      </c>
      <c r="V284">
        <v>0</v>
      </c>
      <c r="W284">
        <v>0</v>
      </c>
    </row>
    <row r="285" spans="1:23" x14ac:dyDescent="0.3">
      <c r="A285">
        <v>2</v>
      </c>
      <c r="B285">
        <v>1</v>
      </c>
      <c r="C285">
        <v>1</v>
      </c>
      <c r="D285">
        <v>9</v>
      </c>
      <c r="E285" t="s">
        <v>336</v>
      </c>
      <c r="F285" t="s">
        <v>337</v>
      </c>
      <c r="G285">
        <v>260.476</v>
      </c>
      <c r="H285" t="b">
        <v>1</v>
      </c>
      <c r="I285" t="b">
        <v>1</v>
      </c>
      <c r="J285">
        <v>100</v>
      </c>
      <c r="K285">
        <v>4</v>
      </c>
      <c r="L285">
        <v>4</v>
      </c>
      <c r="M285">
        <v>0</v>
      </c>
      <c r="N285">
        <v>2</v>
      </c>
      <c r="O285">
        <v>2</v>
      </c>
      <c r="P285">
        <v>0</v>
      </c>
      <c r="Q285">
        <v>2</v>
      </c>
      <c r="R285">
        <v>2</v>
      </c>
      <c r="S285">
        <v>0</v>
      </c>
      <c r="T285">
        <v>4</v>
      </c>
      <c r="U285">
        <v>3</v>
      </c>
      <c r="V285">
        <v>0</v>
      </c>
      <c r="W285">
        <v>0</v>
      </c>
    </row>
    <row r="286" spans="1:23" x14ac:dyDescent="0.3">
      <c r="A286">
        <v>2</v>
      </c>
      <c r="B286">
        <v>1</v>
      </c>
      <c r="C286">
        <v>2</v>
      </c>
      <c r="D286">
        <v>1</v>
      </c>
      <c r="E286" t="s">
        <v>337</v>
      </c>
      <c r="F286" t="s">
        <v>338</v>
      </c>
      <c r="G286">
        <v>170.97499999999999</v>
      </c>
      <c r="H286" t="b">
        <v>0</v>
      </c>
      <c r="I286" t="b">
        <v>0</v>
      </c>
      <c r="J286">
        <v>75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1</v>
      </c>
    </row>
    <row r="287" spans="1:23" x14ac:dyDescent="0.3">
      <c r="A287">
        <v>2</v>
      </c>
      <c r="B287">
        <v>1</v>
      </c>
      <c r="C287">
        <v>2</v>
      </c>
      <c r="D287">
        <v>2</v>
      </c>
      <c r="E287" t="s">
        <v>338</v>
      </c>
      <c r="F287" t="s">
        <v>339</v>
      </c>
      <c r="G287">
        <v>98.828999999999994</v>
      </c>
      <c r="H287" t="b">
        <v>0</v>
      </c>
      <c r="I287" t="b">
        <v>0</v>
      </c>
      <c r="J287">
        <v>100</v>
      </c>
      <c r="K287">
        <v>2</v>
      </c>
      <c r="L287">
        <v>2</v>
      </c>
      <c r="M287">
        <v>0</v>
      </c>
      <c r="N287">
        <v>2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3</v>
      </c>
      <c r="U287">
        <v>2</v>
      </c>
      <c r="V287">
        <v>0</v>
      </c>
      <c r="W287">
        <v>0</v>
      </c>
    </row>
    <row r="288" spans="1:23" x14ac:dyDescent="0.3">
      <c r="A288">
        <v>30</v>
      </c>
      <c r="B288">
        <v>1</v>
      </c>
      <c r="C288">
        <v>1</v>
      </c>
      <c r="D288">
        <v>1</v>
      </c>
      <c r="E288" t="s">
        <v>340</v>
      </c>
      <c r="F288" t="s">
        <v>341</v>
      </c>
      <c r="G288">
        <v>170.08099999999999</v>
      </c>
      <c r="H288" t="b">
        <v>0</v>
      </c>
      <c r="I288" t="b">
        <v>0</v>
      </c>
      <c r="J288">
        <v>100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0</v>
      </c>
    </row>
    <row r="289" spans="1:23" x14ac:dyDescent="0.3">
      <c r="A289">
        <v>30</v>
      </c>
      <c r="B289">
        <v>1</v>
      </c>
      <c r="C289">
        <v>1</v>
      </c>
      <c r="D289">
        <v>2</v>
      </c>
      <c r="E289" t="s">
        <v>341</v>
      </c>
      <c r="F289" t="s">
        <v>342</v>
      </c>
      <c r="G289">
        <v>217.685</v>
      </c>
      <c r="H289" t="b">
        <v>1</v>
      </c>
      <c r="I289" t="b">
        <v>1</v>
      </c>
      <c r="J289">
        <v>100</v>
      </c>
      <c r="K289">
        <v>4</v>
      </c>
      <c r="L289">
        <v>4</v>
      </c>
      <c r="M289">
        <v>0</v>
      </c>
      <c r="N289">
        <v>2</v>
      </c>
      <c r="O289">
        <v>2</v>
      </c>
      <c r="P289">
        <v>0</v>
      </c>
      <c r="Q289">
        <v>2</v>
      </c>
      <c r="R289">
        <v>2</v>
      </c>
      <c r="S289">
        <v>0</v>
      </c>
      <c r="T289">
        <v>4</v>
      </c>
      <c r="U289">
        <v>3</v>
      </c>
      <c r="V289">
        <v>0</v>
      </c>
      <c r="W289">
        <v>0</v>
      </c>
    </row>
    <row r="290" spans="1:23" x14ac:dyDescent="0.3">
      <c r="A290">
        <v>30</v>
      </c>
      <c r="B290">
        <v>1</v>
      </c>
      <c r="C290">
        <v>2</v>
      </c>
      <c r="D290">
        <v>1</v>
      </c>
      <c r="E290" t="s">
        <v>342</v>
      </c>
      <c r="F290" t="s">
        <v>343</v>
      </c>
      <c r="G290">
        <v>269.32299999999998</v>
      </c>
      <c r="H290" t="b">
        <v>1</v>
      </c>
      <c r="I290" t="b">
        <v>1</v>
      </c>
      <c r="J290">
        <v>100</v>
      </c>
      <c r="K290">
        <v>6</v>
      </c>
      <c r="L290">
        <v>6</v>
      </c>
      <c r="M290">
        <v>0</v>
      </c>
      <c r="N290">
        <v>2</v>
      </c>
      <c r="O290">
        <v>2</v>
      </c>
      <c r="P290">
        <v>0</v>
      </c>
      <c r="Q290">
        <v>4</v>
      </c>
      <c r="R290">
        <v>4</v>
      </c>
      <c r="S290">
        <v>0</v>
      </c>
      <c r="T290">
        <v>4</v>
      </c>
      <c r="U290">
        <v>2</v>
      </c>
      <c r="V290">
        <v>0</v>
      </c>
      <c r="W290">
        <v>0</v>
      </c>
    </row>
    <row r="291" spans="1:23" x14ac:dyDescent="0.3">
      <c r="A291">
        <v>30</v>
      </c>
      <c r="B291">
        <v>1</v>
      </c>
      <c r="C291">
        <v>3</v>
      </c>
      <c r="D291">
        <v>1</v>
      </c>
      <c r="E291" t="s">
        <v>343</v>
      </c>
      <c r="F291" t="s">
        <v>344</v>
      </c>
      <c r="G291">
        <v>194.88</v>
      </c>
      <c r="H291" t="b">
        <v>0</v>
      </c>
      <c r="I291" t="b">
        <v>1</v>
      </c>
      <c r="J291">
        <v>75</v>
      </c>
      <c r="K291">
        <v>2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4</v>
      </c>
      <c r="U291">
        <v>3</v>
      </c>
      <c r="V291">
        <v>0</v>
      </c>
      <c r="W291">
        <v>0</v>
      </c>
    </row>
    <row r="292" spans="1:23" x14ac:dyDescent="0.3">
      <c r="A292">
        <v>30</v>
      </c>
      <c r="B292">
        <v>1</v>
      </c>
      <c r="C292">
        <v>3</v>
      </c>
      <c r="D292">
        <v>2</v>
      </c>
      <c r="E292" t="s">
        <v>344</v>
      </c>
      <c r="F292" t="s">
        <v>345</v>
      </c>
      <c r="G292">
        <v>172.23699999999999</v>
      </c>
      <c r="H292" t="b">
        <v>1</v>
      </c>
      <c r="I292" t="b">
        <v>1</v>
      </c>
      <c r="J292">
        <v>100</v>
      </c>
      <c r="K292">
        <v>4</v>
      </c>
      <c r="L292">
        <v>4</v>
      </c>
      <c r="M292">
        <v>0</v>
      </c>
      <c r="N292">
        <v>2</v>
      </c>
      <c r="O292">
        <v>2</v>
      </c>
      <c r="P292">
        <v>0</v>
      </c>
      <c r="Q292">
        <v>2</v>
      </c>
      <c r="R292">
        <v>2</v>
      </c>
      <c r="S292">
        <v>0</v>
      </c>
      <c r="T292">
        <v>4</v>
      </c>
      <c r="U292">
        <v>3</v>
      </c>
      <c r="V292">
        <v>0</v>
      </c>
      <c r="W292">
        <v>0</v>
      </c>
    </row>
    <row r="293" spans="1:23" x14ac:dyDescent="0.3">
      <c r="A293">
        <v>30</v>
      </c>
      <c r="B293">
        <v>1</v>
      </c>
      <c r="C293">
        <v>3</v>
      </c>
      <c r="D293">
        <v>3</v>
      </c>
      <c r="E293" t="s">
        <v>345</v>
      </c>
      <c r="F293" t="s">
        <v>346</v>
      </c>
      <c r="G293">
        <v>182.68199999999999</v>
      </c>
      <c r="H293" t="b">
        <v>0</v>
      </c>
      <c r="I293" t="b">
        <v>0</v>
      </c>
      <c r="J293">
        <v>100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>
        <v>30</v>
      </c>
      <c r="B294">
        <v>1</v>
      </c>
      <c r="C294">
        <v>3</v>
      </c>
      <c r="D294">
        <v>4</v>
      </c>
      <c r="E294" t="s">
        <v>346</v>
      </c>
      <c r="F294" t="s">
        <v>347</v>
      </c>
      <c r="G294">
        <v>234.72800000000001</v>
      </c>
      <c r="H294" t="b">
        <v>0</v>
      </c>
      <c r="I294" t="b">
        <v>1</v>
      </c>
      <c r="J294">
        <v>75</v>
      </c>
      <c r="K294">
        <v>6</v>
      </c>
      <c r="L294">
        <v>5</v>
      </c>
      <c r="M294">
        <v>1</v>
      </c>
      <c r="N294">
        <v>2</v>
      </c>
      <c r="O294">
        <v>2</v>
      </c>
      <c r="P294">
        <v>0</v>
      </c>
      <c r="Q294">
        <v>4</v>
      </c>
      <c r="R294">
        <v>3</v>
      </c>
      <c r="S294">
        <v>1</v>
      </c>
      <c r="T294">
        <v>4</v>
      </c>
      <c r="U294">
        <v>2</v>
      </c>
      <c r="V294">
        <v>0</v>
      </c>
      <c r="W294">
        <v>0</v>
      </c>
    </row>
    <row r="295" spans="1:23" x14ac:dyDescent="0.3">
      <c r="A295">
        <v>30</v>
      </c>
      <c r="B295">
        <v>1</v>
      </c>
      <c r="C295">
        <v>3</v>
      </c>
      <c r="D295">
        <v>5</v>
      </c>
      <c r="E295" t="s">
        <v>347</v>
      </c>
      <c r="F295" t="s">
        <v>348</v>
      </c>
      <c r="G295">
        <v>46.814</v>
      </c>
      <c r="H295" t="b">
        <v>0</v>
      </c>
      <c r="I295" t="b">
        <v>0</v>
      </c>
      <c r="J295">
        <v>100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3">
      <c r="A296">
        <v>30</v>
      </c>
      <c r="B296">
        <v>1</v>
      </c>
      <c r="C296">
        <v>3</v>
      </c>
      <c r="D296">
        <v>6</v>
      </c>
      <c r="E296" t="s">
        <v>348</v>
      </c>
      <c r="F296" t="s">
        <v>349</v>
      </c>
      <c r="G296">
        <v>294.839</v>
      </c>
      <c r="H296" t="b">
        <v>0</v>
      </c>
      <c r="I296" t="b">
        <v>0</v>
      </c>
      <c r="J296">
        <v>75</v>
      </c>
      <c r="K296">
        <v>16</v>
      </c>
      <c r="L296">
        <v>10</v>
      </c>
      <c r="M296">
        <v>6</v>
      </c>
      <c r="N296">
        <v>5</v>
      </c>
      <c r="O296">
        <v>5</v>
      </c>
      <c r="P296">
        <v>0</v>
      </c>
      <c r="Q296">
        <v>11</v>
      </c>
      <c r="R296">
        <v>5</v>
      </c>
      <c r="S296">
        <v>6</v>
      </c>
      <c r="T296">
        <v>2</v>
      </c>
      <c r="U296">
        <v>2</v>
      </c>
      <c r="V296">
        <v>0</v>
      </c>
      <c r="W296">
        <v>0</v>
      </c>
    </row>
    <row r="297" spans="1:23" x14ac:dyDescent="0.3">
      <c r="A297">
        <v>30</v>
      </c>
      <c r="B297">
        <v>3</v>
      </c>
      <c r="C297">
        <v>1</v>
      </c>
      <c r="D297">
        <v>1</v>
      </c>
      <c r="E297" t="s">
        <v>350</v>
      </c>
      <c r="F297" t="s">
        <v>351</v>
      </c>
      <c r="G297">
        <v>202.75299999999999</v>
      </c>
      <c r="H297" t="b">
        <v>0</v>
      </c>
      <c r="I297" t="b">
        <v>0</v>
      </c>
      <c r="J297">
        <v>75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">
      <c r="A298">
        <v>30</v>
      </c>
      <c r="B298">
        <v>3</v>
      </c>
      <c r="C298">
        <v>1</v>
      </c>
      <c r="D298">
        <v>2</v>
      </c>
      <c r="E298" t="s">
        <v>351</v>
      </c>
      <c r="F298" t="s">
        <v>352</v>
      </c>
      <c r="G298">
        <v>124.32299999999999</v>
      </c>
      <c r="H298" t="b">
        <v>1</v>
      </c>
      <c r="I298" t="b">
        <v>1</v>
      </c>
      <c r="J298">
        <v>100</v>
      </c>
      <c r="K298">
        <v>4</v>
      </c>
      <c r="L298">
        <v>4</v>
      </c>
      <c r="M298">
        <v>0</v>
      </c>
      <c r="N298">
        <v>2</v>
      </c>
      <c r="O298">
        <v>2</v>
      </c>
      <c r="P298">
        <v>0</v>
      </c>
      <c r="Q298">
        <v>2</v>
      </c>
      <c r="R298">
        <v>2</v>
      </c>
      <c r="S298">
        <v>0</v>
      </c>
      <c r="T298">
        <v>4</v>
      </c>
      <c r="U298">
        <v>4</v>
      </c>
      <c r="V298">
        <v>0</v>
      </c>
      <c r="W298">
        <v>0</v>
      </c>
    </row>
    <row r="299" spans="1:23" x14ac:dyDescent="0.3">
      <c r="A299">
        <v>30</v>
      </c>
      <c r="B299">
        <v>3</v>
      </c>
      <c r="C299">
        <v>2</v>
      </c>
      <c r="D299">
        <v>1</v>
      </c>
      <c r="E299" t="s">
        <v>352</v>
      </c>
      <c r="F299" t="s">
        <v>353</v>
      </c>
      <c r="G299">
        <v>243.67</v>
      </c>
      <c r="H299" t="b">
        <v>1</v>
      </c>
      <c r="I299" t="b">
        <v>1</v>
      </c>
      <c r="J299">
        <v>100</v>
      </c>
      <c r="K299">
        <v>6</v>
      </c>
      <c r="L299">
        <v>6</v>
      </c>
      <c r="M299">
        <v>0</v>
      </c>
      <c r="N299">
        <v>2</v>
      </c>
      <c r="O299">
        <v>2</v>
      </c>
      <c r="P299">
        <v>0</v>
      </c>
      <c r="Q299">
        <v>4</v>
      </c>
      <c r="R299">
        <v>4</v>
      </c>
      <c r="S299">
        <v>0</v>
      </c>
      <c r="T299">
        <v>4</v>
      </c>
      <c r="U299">
        <v>4</v>
      </c>
      <c r="V299">
        <v>0</v>
      </c>
      <c r="W299">
        <v>0</v>
      </c>
    </row>
    <row r="300" spans="1:23" x14ac:dyDescent="0.3">
      <c r="A300">
        <v>30</v>
      </c>
      <c r="B300">
        <v>3</v>
      </c>
      <c r="C300">
        <v>3</v>
      </c>
      <c r="D300">
        <v>1</v>
      </c>
      <c r="E300" t="s">
        <v>353</v>
      </c>
      <c r="F300" t="s">
        <v>354</v>
      </c>
      <c r="G300">
        <v>214.28100000000001</v>
      </c>
      <c r="H300" t="b">
        <v>1</v>
      </c>
      <c r="I300" t="b">
        <v>1</v>
      </c>
      <c r="J300">
        <v>100</v>
      </c>
      <c r="K300">
        <v>4</v>
      </c>
      <c r="L300">
        <v>4</v>
      </c>
      <c r="M300">
        <v>0</v>
      </c>
      <c r="N300">
        <v>2</v>
      </c>
      <c r="O300">
        <v>2</v>
      </c>
      <c r="P300">
        <v>0</v>
      </c>
      <c r="Q300">
        <v>2</v>
      </c>
      <c r="R300">
        <v>2</v>
      </c>
      <c r="S300">
        <v>0</v>
      </c>
      <c r="T300">
        <v>4</v>
      </c>
      <c r="U300">
        <v>3</v>
      </c>
      <c r="V300">
        <v>0</v>
      </c>
      <c r="W300">
        <v>0</v>
      </c>
    </row>
    <row r="301" spans="1:23" x14ac:dyDescent="0.3">
      <c r="A301">
        <v>30</v>
      </c>
      <c r="B301">
        <v>3</v>
      </c>
      <c r="C301">
        <v>3</v>
      </c>
      <c r="D301">
        <v>2</v>
      </c>
      <c r="E301" t="s">
        <v>354</v>
      </c>
      <c r="F301" t="s">
        <v>355</v>
      </c>
      <c r="G301">
        <v>196.54900000000001</v>
      </c>
      <c r="H301" t="b">
        <v>0</v>
      </c>
      <c r="I301" t="b">
        <v>0</v>
      </c>
      <c r="J301">
        <v>75</v>
      </c>
      <c r="K301">
        <v>16</v>
      </c>
      <c r="L301">
        <v>10</v>
      </c>
      <c r="M301">
        <v>6</v>
      </c>
      <c r="N301">
        <v>5</v>
      </c>
      <c r="O301">
        <v>5</v>
      </c>
      <c r="P301">
        <v>0</v>
      </c>
      <c r="Q301">
        <v>11</v>
      </c>
      <c r="R301">
        <v>5</v>
      </c>
      <c r="S301">
        <v>6</v>
      </c>
      <c r="T301">
        <v>2</v>
      </c>
      <c r="U301">
        <v>2</v>
      </c>
      <c r="V301">
        <v>0</v>
      </c>
      <c r="W301">
        <v>0</v>
      </c>
    </row>
    <row r="302" spans="1:23" x14ac:dyDescent="0.3">
      <c r="A302">
        <v>30</v>
      </c>
      <c r="B302">
        <v>3</v>
      </c>
      <c r="C302">
        <v>3</v>
      </c>
      <c r="D302">
        <v>3</v>
      </c>
      <c r="E302" t="s">
        <v>355</v>
      </c>
      <c r="F302" t="s">
        <v>356</v>
      </c>
      <c r="G302">
        <v>198.376</v>
      </c>
      <c r="H302" t="b">
        <v>0</v>
      </c>
      <c r="I302" t="b">
        <v>0</v>
      </c>
      <c r="J302">
        <v>50</v>
      </c>
      <c r="K302">
        <v>1</v>
      </c>
      <c r="L302">
        <v>0</v>
      </c>
      <c r="M302">
        <v>1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4</v>
      </c>
      <c r="U302">
        <v>2</v>
      </c>
      <c r="V302">
        <v>1</v>
      </c>
      <c r="W302">
        <v>2</v>
      </c>
    </row>
    <row r="303" spans="1:23" x14ac:dyDescent="0.3">
      <c r="A303">
        <v>30</v>
      </c>
      <c r="B303">
        <v>3</v>
      </c>
      <c r="C303">
        <v>3</v>
      </c>
      <c r="D303">
        <v>4</v>
      </c>
      <c r="E303" t="s">
        <v>356</v>
      </c>
      <c r="F303" t="s">
        <v>357</v>
      </c>
      <c r="G303">
        <v>94.805000000000007</v>
      </c>
      <c r="H303" t="b">
        <v>0</v>
      </c>
      <c r="I303" t="b">
        <v>0</v>
      </c>
      <c r="J303">
        <v>75</v>
      </c>
      <c r="K303">
        <v>15</v>
      </c>
      <c r="L303">
        <v>11</v>
      </c>
      <c r="M303">
        <v>4</v>
      </c>
      <c r="N303">
        <v>4</v>
      </c>
      <c r="O303">
        <v>4</v>
      </c>
      <c r="P303">
        <v>0</v>
      </c>
      <c r="Q303">
        <v>11</v>
      </c>
      <c r="R303">
        <v>7</v>
      </c>
      <c r="S303">
        <v>4</v>
      </c>
      <c r="T303">
        <v>4</v>
      </c>
      <c r="U303">
        <v>4</v>
      </c>
      <c r="V303">
        <v>0</v>
      </c>
      <c r="W303">
        <v>0</v>
      </c>
    </row>
    <row r="304" spans="1:23" x14ac:dyDescent="0.3">
      <c r="A304">
        <v>30</v>
      </c>
      <c r="B304">
        <v>3</v>
      </c>
      <c r="C304">
        <v>3</v>
      </c>
      <c r="D304">
        <v>5</v>
      </c>
      <c r="E304" t="s">
        <v>357</v>
      </c>
      <c r="F304" t="s">
        <v>358</v>
      </c>
      <c r="G304">
        <v>264.137</v>
      </c>
      <c r="H304" t="b">
        <v>1</v>
      </c>
      <c r="I304" t="b">
        <v>1</v>
      </c>
      <c r="J304">
        <v>100</v>
      </c>
      <c r="K304">
        <v>4</v>
      </c>
      <c r="L304">
        <v>4</v>
      </c>
      <c r="M304">
        <v>0</v>
      </c>
      <c r="N304">
        <v>2</v>
      </c>
      <c r="O304">
        <v>2</v>
      </c>
      <c r="P304">
        <v>0</v>
      </c>
      <c r="Q304">
        <v>2</v>
      </c>
      <c r="R304">
        <v>2</v>
      </c>
      <c r="S304">
        <v>0</v>
      </c>
      <c r="T304">
        <v>4</v>
      </c>
      <c r="U304">
        <v>3</v>
      </c>
      <c r="V304">
        <v>0</v>
      </c>
      <c r="W304">
        <v>0</v>
      </c>
    </row>
    <row r="305" spans="1:23" x14ac:dyDescent="0.3">
      <c r="A305">
        <v>30</v>
      </c>
      <c r="B305">
        <v>3</v>
      </c>
      <c r="C305">
        <v>3</v>
      </c>
      <c r="D305">
        <v>6</v>
      </c>
      <c r="E305" t="s">
        <v>358</v>
      </c>
      <c r="F305" t="s">
        <v>359</v>
      </c>
      <c r="G305">
        <v>411.09199999999998</v>
      </c>
      <c r="H305" t="b">
        <v>0</v>
      </c>
      <c r="I305" t="b">
        <v>0</v>
      </c>
      <c r="J305">
        <v>100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">
      <c r="A306">
        <v>30</v>
      </c>
      <c r="B306">
        <v>3</v>
      </c>
      <c r="C306">
        <v>3</v>
      </c>
      <c r="D306">
        <v>7</v>
      </c>
      <c r="E306" t="s">
        <v>359</v>
      </c>
      <c r="F306" t="s">
        <v>360</v>
      </c>
      <c r="G306">
        <v>122.64</v>
      </c>
      <c r="H306" t="b">
        <v>0</v>
      </c>
      <c r="I306" t="b">
        <v>0</v>
      </c>
      <c r="J306">
        <v>100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</row>
    <row r="307" spans="1:23" x14ac:dyDescent="0.3">
      <c r="A307">
        <v>30</v>
      </c>
      <c r="B307">
        <v>3</v>
      </c>
      <c r="C307">
        <v>1</v>
      </c>
      <c r="D307">
        <v>1</v>
      </c>
      <c r="E307" t="s">
        <v>360</v>
      </c>
      <c r="F307" t="s">
        <v>361</v>
      </c>
      <c r="G307">
        <v>103.145</v>
      </c>
      <c r="H307" t="b">
        <v>0</v>
      </c>
      <c r="I307" t="b">
        <v>0</v>
      </c>
      <c r="J307">
        <v>100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0</v>
      </c>
    </row>
    <row r="308" spans="1:23" x14ac:dyDescent="0.3">
      <c r="A308">
        <v>30</v>
      </c>
      <c r="B308">
        <v>3</v>
      </c>
      <c r="C308">
        <v>3</v>
      </c>
      <c r="D308">
        <v>1</v>
      </c>
      <c r="E308" t="s">
        <v>361</v>
      </c>
      <c r="F308" t="s">
        <v>362</v>
      </c>
      <c r="G308">
        <v>221.036</v>
      </c>
      <c r="H308" t="b">
        <v>0</v>
      </c>
      <c r="I308" t="b">
        <v>0</v>
      </c>
      <c r="J308">
        <v>75</v>
      </c>
      <c r="K308">
        <v>5</v>
      </c>
      <c r="L308">
        <v>4</v>
      </c>
      <c r="M308">
        <v>1</v>
      </c>
      <c r="N308">
        <v>3</v>
      </c>
      <c r="O308">
        <v>3</v>
      </c>
      <c r="P308">
        <v>0</v>
      </c>
      <c r="Q308">
        <v>2</v>
      </c>
      <c r="R308">
        <v>1</v>
      </c>
      <c r="S308">
        <v>1</v>
      </c>
      <c r="T308">
        <v>4</v>
      </c>
      <c r="U308">
        <v>3</v>
      </c>
      <c r="V308">
        <v>0</v>
      </c>
      <c r="W308">
        <v>0</v>
      </c>
    </row>
    <row r="309" spans="1:23" x14ac:dyDescent="0.3">
      <c r="A309">
        <v>30</v>
      </c>
      <c r="B309">
        <v>3</v>
      </c>
      <c r="C309">
        <v>3</v>
      </c>
      <c r="D309">
        <v>2</v>
      </c>
      <c r="E309" t="s">
        <v>362</v>
      </c>
      <c r="F309" t="s">
        <v>363</v>
      </c>
      <c r="G309">
        <v>86.563999999999993</v>
      </c>
      <c r="H309" t="b">
        <v>0</v>
      </c>
      <c r="I309" t="b">
        <v>0</v>
      </c>
      <c r="J309">
        <v>100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3">
      <c r="A310">
        <v>31</v>
      </c>
      <c r="B310">
        <v>1</v>
      </c>
      <c r="C310">
        <v>1</v>
      </c>
      <c r="D310">
        <v>1</v>
      </c>
      <c r="E310" t="s">
        <v>364</v>
      </c>
      <c r="F310" t="s">
        <v>365</v>
      </c>
      <c r="G310">
        <v>184.02600000000001</v>
      </c>
      <c r="H310" t="b">
        <v>0</v>
      </c>
      <c r="I310" t="b">
        <v>0</v>
      </c>
      <c r="J310">
        <v>100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</row>
    <row r="311" spans="1:23" x14ac:dyDescent="0.3">
      <c r="A311">
        <v>31</v>
      </c>
      <c r="B311">
        <v>1</v>
      </c>
      <c r="C311">
        <v>1</v>
      </c>
      <c r="D311">
        <v>2</v>
      </c>
      <c r="E311" t="s">
        <v>365</v>
      </c>
      <c r="F311" t="s">
        <v>366</v>
      </c>
      <c r="G311">
        <v>124.991</v>
      </c>
      <c r="H311" t="b">
        <v>0</v>
      </c>
      <c r="I311" t="b">
        <v>0</v>
      </c>
      <c r="J311">
        <v>100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0</v>
      </c>
    </row>
    <row r="312" spans="1:23" x14ac:dyDescent="0.3">
      <c r="A312">
        <v>31</v>
      </c>
      <c r="B312">
        <v>1</v>
      </c>
      <c r="C312">
        <v>1</v>
      </c>
      <c r="D312">
        <v>3</v>
      </c>
      <c r="E312" t="s">
        <v>366</v>
      </c>
      <c r="F312" t="s">
        <v>367</v>
      </c>
      <c r="G312">
        <v>150.976</v>
      </c>
      <c r="H312" t="b">
        <v>0</v>
      </c>
      <c r="I312" t="b">
        <v>0</v>
      </c>
      <c r="J312">
        <v>100</v>
      </c>
      <c r="K312">
        <v>2</v>
      </c>
      <c r="L312">
        <v>2</v>
      </c>
      <c r="M312">
        <v>0</v>
      </c>
      <c r="N312">
        <v>1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2</v>
      </c>
      <c r="U312">
        <v>1</v>
      </c>
      <c r="V312">
        <v>0</v>
      </c>
      <c r="W312">
        <v>0</v>
      </c>
    </row>
    <row r="313" spans="1:23" x14ac:dyDescent="0.3">
      <c r="A313">
        <v>31</v>
      </c>
      <c r="B313">
        <v>1</v>
      </c>
      <c r="C313">
        <v>1</v>
      </c>
      <c r="D313">
        <v>4</v>
      </c>
      <c r="E313" t="s">
        <v>367</v>
      </c>
      <c r="F313" t="s">
        <v>368</v>
      </c>
      <c r="G313">
        <v>166.36</v>
      </c>
      <c r="H313" t="b">
        <v>0</v>
      </c>
      <c r="I313" t="b">
        <v>0</v>
      </c>
      <c r="J313">
        <v>100</v>
      </c>
      <c r="K313">
        <v>2</v>
      </c>
      <c r="L313">
        <v>2</v>
      </c>
      <c r="M313">
        <v>0</v>
      </c>
      <c r="N313">
        <v>1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2</v>
      </c>
      <c r="U313">
        <v>1</v>
      </c>
      <c r="V313">
        <v>0</v>
      </c>
      <c r="W313">
        <v>0</v>
      </c>
    </row>
    <row r="314" spans="1:23" x14ac:dyDescent="0.3">
      <c r="A314">
        <v>31</v>
      </c>
      <c r="B314">
        <v>1</v>
      </c>
      <c r="C314">
        <v>2</v>
      </c>
      <c r="D314">
        <v>1</v>
      </c>
      <c r="E314" t="s">
        <v>368</v>
      </c>
      <c r="F314" t="s">
        <v>369</v>
      </c>
      <c r="G314">
        <v>276.16699999999997</v>
      </c>
      <c r="H314" t="b">
        <v>0</v>
      </c>
      <c r="I314" t="b">
        <v>0</v>
      </c>
      <c r="J314">
        <v>50</v>
      </c>
      <c r="K314">
        <v>2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1</v>
      </c>
      <c r="R314">
        <v>0</v>
      </c>
      <c r="S314">
        <v>1</v>
      </c>
      <c r="T314">
        <v>3</v>
      </c>
      <c r="U314">
        <v>1</v>
      </c>
      <c r="V314">
        <v>2</v>
      </c>
      <c r="W314">
        <v>2</v>
      </c>
    </row>
    <row r="315" spans="1:23" x14ac:dyDescent="0.3">
      <c r="A315">
        <v>31</v>
      </c>
      <c r="B315">
        <v>1</v>
      </c>
      <c r="C315">
        <v>2</v>
      </c>
      <c r="D315">
        <v>2</v>
      </c>
      <c r="E315" t="s">
        <v>369</v>
      </c>
      <c r="F315" t="s">
        <v>370</v>
      </c>
      <c r="G315">
        <v>59.296999999999997</v>
      </c>
      <c r="H315" t="b">
        <v>0</v>
      </c>
      <c r="I315" t="b">
        <v>0</v>
      </c>
      <c r="J315">
        <v>75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1</v>
      </c>
      <c r="W315">
        <v>1</v>
      </c>
    </row>
    <row r="316" spans="1:23" x14ac:dyDescent="0.3">
      <c r="A316">
        <v>31</v>
      </c>
      <c r="B316">
        <v>1</v>
      </c>
      <c r="C316">
        <v>2</v>
      </c>
      <c r="D316">
        <v>3</v>
      </c>
      <c r="E316" t="s">
        <v>370</v>
      </c>
      <c r="F316" t="s">
        <v>371</v>
      </c>
      <c r="G316">
        <v>211.53899999999999</v>
      </c>
      <c r="H316" t="b">
        <v>0</v>
      </c>
      <c r="I316" t="b">
        <v>0</v>
      </c>
      <c r="J316">
        <v>100</v>
      </c>
      <c r="K316">
        <v>2</v>
      </c>
      <c r="L316">
        <v>2</v>
      </c>
      <c r="M316">
        <v>0</v>
      </c>
      <c r="N316">
        <v>1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3</v>
      </c>
      <c r="U316">
        <v>1</v>
      </c>
      <c r="V316">
        <v>0</v>
      </c>
      <c r="W316">
        <v>0</v>
      </c>
    </row>
    <row r="317" spans="1:23" x14ac:dyDescent="0.3">
      <c r="A317">
        <v>31</v>
      </c>
      <c r="B317">
        <v>1</v>
      </c>
      <c r="C317">
        <v>2</v>
      </c>
      <c r="D317">
        <v>4</v>
      </c>
      <c r="E317" t="s">
        <v>371</v>
      </c>
      <c r="F317" t="s">
        <v>372</v>
      </c>
      <c r="G317">
        <v>238.386</v>
      </c>
      <c r="H317" t="b">
        <v>0</v>
      </c>
      <c r="I317" t="b">
        <v>0</v>
      </c>
      <c r="J317">
        <v>100</v>
      </c>
      <c r="K317">
        <v>2</v>
      </c>
      <c r="L317">
        <v>2</v>
      </c>
      <c r="M317">
        <v>0</v>
      </c>
      <c r="N317">
        <v>1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3</v>
      </c>
      <c r="U317">
        <v>1</v>
      </c>
      <c r="V317">
        <v>0</v>
      </c>
      <c r="W317">
        <v>0</v>
      </c>
    </row>
    <row r="318" spans="1:23" x14ac:dyDescent="0.3">
      <c r="A318">
        <v>31</v>
      </c>
      <c r="B318">
        <v>1</v>
      </c>
      <c r="C318">
        <v>2</v>
      </c>
      <c r="D318">
        <v>5</v>
      </c>
      <c r="E318" t="s">
        <v>372</v>
      </c>
      <c r="F318" t="s">
        <v>373</v>
      </c>
      <c r="G318">
        <v>248.14599999999999</v>
      </c>
      <c r="H318" t="b">
        <v>0</v>
      </c>
      <c r="I318" t="b">
        <v>0</v>
      </c>
      <c r="J318">
        <v>100</v>
      </c>
      <c r="K318">
        <v>2</v>
      </c>
      <c r="L318">
        <v>2</v>
      </c>
      <c r="M318">
        <v>0</v>
      </c>
      <c r="N318">
        <v>1</v>
      </c>
      <c r="O318">
        <v>1</v>
      </c>
      <c r="P318">
        <v>0</v>
      </c>
      <c r="Q318">
        <v>1</v>
      </c>
      <c r="R318">
        <v>1</v>
      </c>
      <c r="S318">
        <v>0</v>
      </c>
      <c r="T318">
        <v>4</v>
      </c>
      <c r="U318">
        <v>3</v>
      </c>
      <c r="V318">
        <v>0</v>
      </c>
      <c r="W318">
        <v>0</v>
      </c>
    </row>
    <row r="319" spans="1:23" x14ac:dyDescent="0.3">
      <c r="A319">
        <v>31</v>
      </c>
      <c r="B319">
        <v>1</v>
      </c>
      <c r="C319">
        <v>2</v>
      </c>
      <c r="D319">
        <v>6</v>
      </c>
      <c r="E319" t="s">
        <v>373</v>
      </c>
      <c r="F319" t="s">
        <v>374</v>
      </c>
      <c r="G319">
        <v>59.146999999999998</v>
      </c>
      <c r="H319" t="b">
        <v>0</v>
      </c>
      <c r="I319" t="b">
        <v>0</v>
      </c>
      <c r="J319">
        <v>100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3">
      <c r="A320">
        <v>31</v>
      </c>
      <c r="B320">
        <v>1</v>
      </c>
      <c r="C320">
        <v>2</v>
      </c>
      <c r="D320">
        <v>7</v>
      </c>
      <c r="E320" t="s">
        <v>374</v>
      </c>
      <c r="F320" t="s">
        <v>375</v>
      </c>
      <c r="G320">
        <v>88.537000000000006</v>
      </c>
      <c r="H320" t="b">
        <v>0</v>
      </c>
      <c r="I320" t="b">
        <v>0</v>
      </c>
      <c r="J320">
        <v>100</v>
      </c>
      <c r="K320">
        <v>1</v>
      </c>
      <c r="L320">
        <v>1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2</v>
      </c>
      <c r="U320">
        <v>2</v>
      </c>
      <c r="V320">
        <v>0</v>
      </c>
      <c r="W320">
        <v>0</v>
      </c>
    </row>
    <row r="321" spans="1:23" x14ac:dyDescent="0.3">
      <c r="A321">
        <v>31</v>
      </c>
      <c r="B321">
        <v>3</v>
      </c>
      <c r="C321">
        <v>1</v>
      </c>
      <c r="D321">
        <v>1</v>
      </c>
      <c r="E321" t="s">
        <v>376</v>
      </c>
      <c r="F321" t="s">
        <v>377</v>
      </c>
      <c r="G321">
        <v>184.43299999999999</v>
      </c>
      <c r="H321" t="b">
        <v>0</v>
      </c>
      <c r="I321" t="b">
        <v>0</v>
      </c>
      <c r="J321">
        <v>100</v>
      </c>
      <c r="K321">
        <v>3</v>
      </c>
      <c r="L321">
        <v>3</v>
      </c>
      <c r="M321">
        <v>0</v>
      </c>
      <c r="N321">
        <v>2</v>
      </c>
      <c r="O321">
        <v>2</v>
      </c>
      <c r="P321">
        <v>0</v>
      </c>
      <c r="Q321">
        <v>1</v>
      </c>
      <c r="R321">
        <v>1</v>
      </c>
      <c r="S321">
        <v>0</v>
      </c>
      <c r="T321">
        <v>4</v>
      </c>
      <c r="U321">
        <v>4</v>
      </c>
      <c r="V321">
        <v>0</v>
      </c>
      <c r="W321">
        <v>0</v>
      </c>
    </row>
    <row r="322" spans="1:23" x14ac:dyDescent="0.3">
      <c r="A322">
        <v>31</v>
      </c>
      <c r="B322">
        <v>3</v>
      </c>
      <c r="C322">
        <v>1</v>
      </c>
      <c r="D322">
        <v>2</v>
      </c>
      <c r="E322" t="s">
        <v>377</v>
      </c>
      <c r="F322" t="s">
        <v>378</v>
      </c>
      <c r="G322">
        <v>165.292</v>
      </c>
      <c r="H322" t="b">
        <v>0</v>
      </c>
      <c r="I322" t="b">
        <v>0</v>
      </c>
      <c r="J322">
        <v>100</v>
      </c>
      <c r="K322">
        <v>2</v>
      </c>
      <c r="L322">
        <v>2</v>
      </c>
      <c r="M322">
        <v>0</v>
      </c>
      <c r="N322">
        <v>1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4</v>
      </c>
      <c r="U322">
        <v>3</v>
      </c>
      <c r="V322">
        <v>0</v>
      </c>
      <c r="W322">
        <v>0</v>
      </c>
    </row>
    <row r="323" spans="1:23" x14ac:dyDescent="0.3">
      <c r="A323">
        <v>31</v>
      </c>
      <c r="B323">
        <v>3</v>
      </c>
      <c r="C323">
        <v>2</v>
      </c>
      <c r="D323">
        <v>1</v>
      </c>
      <c r="E323" t="s">
        <v>378</v>
      </c>
      <c r="F323" t="s">
        <v>379</v>
      </c>
      <c r="G323">
        <v>340.29899999999998</v>
      </c>
      <c r="H323" t="b">
        <v>0</v>
      </c>
      <c r="I323" t="b">
        <v>0</v>
      </c>
      <c r="J323">
        <v>100</v>
      </c>
      <c r="K323">
        <v>2</v>
      </c>
      <c r="L323">
        <v>2</v>
      </c>
      <c r="M323">
        <v>0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4</v>
      </c>
      <c r="U323">
        <v>4</v>
      </c>
      <c r="V323">
        <v>0</v>
      </c>
      <c r="W323">
        <v>0</v>
      </c>
    </row>
    <row r="324" spans="1:23" x14ac:dyDescent="0.3">
      <c r="A324">
        <v>31</v>
      </c>
      <c r="B324">
        <v>3</v>
      </c>
      <c r="C324">
        <v>2</v>
      </c>
      <c r="D324">
        <v>2</v>
      </c>
      <c r="E324" t="s">
        <v>379</v>
      </c>
      <c r="F324" t="s">
        <v>380</v>
      </c>
      <c r="G324">
        <v>239.56399999999999</v>
      </c>
      <c r="H324" t="b">
        <v>0</v>
      </c>
      <c r="I324" t="b">
        <v>0</v>
      </c>
      <c r="J324">
        <v>100</v>
      </c>
      <c r="K324">
        <v>2</v>
      </c>
      <c r="L324">
        <v>2</v>
      </c>
      <c r="M324">
        <v>0</v>
      </c>
      <c r="N324">
        <v>1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4</v>
      </c>
      <c r="U324">
        <v>2</v>
      </c>
      <c r="V324">
        <v>0</v>
      </c>
      <c r="W324">
        <v>0</v>
      </c>
    </row>
    <row r="325" spans="1:23" x14ac:dyDescent="0.3">
      <c r="A325">
        <v>31</v>
      </c>
      <c r="B325">
        <v>3</v>
      </c>
      <c r="C325">
        <v>2</v>
      </c>
      <c r="D325">
        <v>3</v>
      </c>
      <c r="E325" t="s">
        <v>380</v>
      </c>
      <c r="F325" t="s">
        <v>381</v>
      </c>
      <c r="G325">
        <v>145.27099999999999</v>
      </c>
      <c r="H325" t="b">
        <v>0</v>
      </c>
      <c r="I325" t="b">
        <v>0</v>
      </c>
      <c r="J325">
        <v>75</v>
      </c>
      <c r="K325">
        <v>1</v>
      </c>
      <c r="L325">
        <v>1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3</v>
      </c>
      <c r="U325">
        <v>1</v>
      </c>
      <c r="V325">
        <v>1</v>
      </c>
      <c r="W325">
        <v>1</v>
      </c>
    </row>
    <row r="326" spans="1:23" x14ac:dyDescent="0.3">
      <c r="A326">
        <v>31</v>
      </c>
      <c r="B326">
        <v>3</v>
      </c>
      <c r="C326">
        <v>2</v>
      </c>
      <c r="D326">
        <v>4</v>
      </c>
      <c r="E326" t="s">
        <v>381</v>
      </c>
      <c r="F326" t="s">
        <v>382</v>
      </c>
      <c r="G326">
        <v>106.872</v>
      </c>
      <c r="H326" t="b">
        <v>0</v>
      </c>
      <c r="I326" t="b">
        <v>0</v>
      </c>
      <c r="J326">
        <v>100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</v>
      </c>
      <c r="U326">
        <v>1</v>
      </c>
      <c r="V326">
        <v>0</v>
      </c>
      <c r="W326">
        <v>0</v>
      </c>
    </row>
    <row r="327" spans="1:23" x14ac:dyDescent="0.3">
      <c r="A327">
        <v>31</v>
      </c>
      <c r="B327">
        <v>3</v>
      </c>
      <c r="C327">
        <v>2</v>
      </c>
      <c r="D327">
        <v>5</v>
      </c>
      <c r="E327" t="s">
        <v>382</v>
      </c>
      <c r="F327" t="s">
        <v>383</v>
      </c>
      <c r="G327">
        <v>213.666</v>
      </c>
      <c r="H327" t="b">
        <v>0</v>
      </c>
      <c r="I327" t="b">
        <v>0</v>
      </c>
      <c r="J327">
        <v>100</v>
      </c>
      <c r="K327">
        <v>2</v>
      </c>
      <c r="L327">
        <v>2</v>
      </c>
      <c r="M327">
        <v>0</v>
      </c>
      <c r="N327">
        <v>1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4</v>
      </c>
      <c r="U327">
        <v>2</v>
      </c>
      <c r="V327">
        <v>0</v>
      </c>
      <c r="W327">
        <v>0</v>
      </c>
    </row>
    <row r="328" spans="1:23" x14ac:dyDescent="0.3">
      <c r="A328">
        <v>31</v>
      </c>
      <c r="B328">
        <v>3</v>
      </c>
      <c r="C328">
        <v>2</v>
      </c>
      <c r="D328">
        <v>6</v>
      </c>
      <c r="E328" t="s">
        <v>383</v>
      </c>
      <c r="F328" t="s">
        <v>384</v>
      </c>
      <c r="G328">
        <v>83.031000000000006</v>
      </c>
      <c r="H328" t="b">
        <v>0</v>
      </c>
      <c r="I328" t="b">
        <v>0</v>
      </c>
      <c r="J328">
        <v>100</v>
      </c>
      <c r="K328">
        <v>2</v>
      </c>
      <c r="L328">
        <v>2</v>
      </c>
      <c r="M328">
        <v>0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0</v>
      </c>
      <c r="T328">
        <v>2</v>
      </c>
      <c r="U328">
        <v>1</v>
      </c>
      <c r="V328">
        <v>0</v>
      </c>
      <c r="W328">
        <v>0</v>
      </c>
    </row>
    <row r="329" spans="1:23" x14ac:dyDescent="0.3">
      <c r="A329">
        <v>31</v>
      </c>
      <c r="B329">
        <v>3</v>
      </c>
      <c r="C329">
        <v>2</v>
      </c>
      <c r="D329">
        <v>7</v>
      </c>
      <c r="E329" t="s">
        <v>384</v>
      </c>
      <c r="F329" t="s">
        <v>385</v>
      </c>
      <c r="G329">
        <v>78.159000000000006</v>
      </c>
      <c r="H329" t="b">
        <v>0</v>
      </c>
      <c r="I329" t="b">
        <v>0</v>
      </c>
      <c r="J329">
        <v>100</v>
      </c>
      <c r="K329">
        <v>2</v>
      </c>
      <c r="L329">
        <v>2</v>
      </c>
      <c r="M329">
        <v>0</v>
      </c>
      <c r="N329">
        <v>1</v>
      </c>
      <c r="O329">
        <v>1</v>
      </c>
      <c r="P329">
        <v>0</v>
      </c>
      <c r="Q329">
        <v>1</v>
      </c>
      <c r="R329">
        <v>1</v>
      </c>
      <c r="S329">
        <v>0</v>
      </c>
      <c r="T329">
        <v>2</v>
      </c>
      <c r="U329">
        <v>1</v>
      </c>
      <c r="V329">
        <v>0</v>
      </c>
      <c r="W329">
        <v>0</v>
      </c>
    </row>
    <row r="330" spans="1:23" x14ac:dyDescent="0.3">
      <c r="A330">
        <v>31</v>
      </c>
      <c r="B330">
        <v>3</v>
      </c>
      <c r="C330">
        <v>2</v>
      </c>
      <c r="D330">
        <v>8</v>
      </c>
      <c r="E330" t="s">
        <v>385</v>
      </c>
      <c r="F330" t="s">
        <v>386</v>
      </c>
      <c r="G330">
        <v>61.637</v>
      </c>
      <c r="H330" t="b">
        <v>0</v>
      </c>
      <c r="I330" t="b">
        <v>0</v>
      </c>
      <c r="J330">
        <v>100</v>
      </c>
      <c r="K330">
        <v>1</v>
      </c>
      <c r="L330">
        <v>1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0</v>
      </c>
    </row>
    <row r="331" spans="1:23" x14ac:dyDescent="0.3">
      <c r="A331">
        <v>31</v>
      </c>
      <c r="B331">
        <v>3</v>
      </c>
      <c r="C331">
        <v>2</v>
      </c>
      <c r="D331">
        <v>9</v>
      </c>
      <c r="E331" t="s">
        <v>386</v>
      </c>
      <c r="F331" t="s">
        <v>387</v>
      </c>
      <c r="G331">
        <v>75.367000000000004</v>
      </c>
      <c r="H331" t="b">
        <v>0</v>
      </c>
      <c r="I331" t="b">
        <v>0</v>
      </c>
      <c r="J331">
        <v>75</v>
      </c>
      <c r="K331">
        <v>2</v>
      </c>
      <c r="L331">
        <v>1</v>
      </c>
      <c r="M331">
        <v>1</v>
      </c>
      <c r="N331">
        <v>1</v>
      </c>
      <c r="O331">
        <v>1</v>
      </c>
      <c r="P331">
        <v>0</v>
      </c>
      <c r="Q331">
        <v>1</v>
      </c>
      <c r="R331">
        <v>0</v>
      </c>
      <c r="S331">
        <v>1</v>
      </c>
      <c r="T331">
        <v>2</v>
      </c>
      <c r="U331">
        <v>1</v>
      </c>
      <c r="V331">
        <v>0</v>
      </c>
      <c r="W331">
        <v>0</v>
      </c>
    </row>
    <row r="332" spans="1:23" x14ac:dyDescent="0.3">
      <c r="A332">
        <v>31</v>
      </c>
      <c r="B332">
        <v>3</v>
      </c>
      <c r="C332">
        <v>2</v>
      </c>
      <c r="D332">
        <v>10</v>
      </c>
      <c r="E332" t="s">
        <v>387</v>
      </c>
      <c r="F332" t="s">
        <v>388</v>
      </c>
      <c r="G332">
        <v>218.86</v>
      </c>
      <c r="H332" t="b">
        <v>0</v>
      </c>
      <c r="I332" t="b">
        <v>0</v>
      </c>
      <c r="J332">
        <v>100</v>
      </c>
      <c r="K332">
        <v>2</v>
      </c>
      <c r="L332">
        <v>2</v>
      </c>
      <c r="M332">
        <v>0</v>
      </c>
      <c r="N332">
        <v>1</v>
      </c>
      <c r="O332">
        <v>1</v>
      </c>
      <c r="P332">
        <v>0</v>
      </c>
      <c r="Q332">
        <v>1</v>
      </c>
      <c r="R332">
        <v>1</v>
      </c>
      <c r="S332">
        <v>0</v>
      </c>
      <c r="T332">
        <v>4</v>
      </c>
      <c r="U332">
        <v>2</v>
      </c>
      <c r="V332">
        <v>0</v>
      </c>
      <c r="W332">
        <v>0</v>
      </c>
    </row>
    <row r="333" spans="1:23" x14ac:dyDescent="0.3">
      <c r="A333">
        <v>31</v>
      </c>
      <c r="B333">
        <v>3</v>
      </c>
      <c r="C333">
        <v>2</v>
      </c>
      <c r="D333">
        <v>11</v>
      </c>
      <c r="E333" t="s">
        <v>388</v>
      </c>
      <c r="F333" t="s">
        <v>389</v>
      </c>
      <c r="G333">
        <v>70.819999999999993</v>
      </c>
      <c r="H333" t="b">
        <v>0</v>
      </c>
      <c r="I333" t="b">
        <v>0</v>
      </c>
      <c r="J333">
        <v>75</v>
      </c>
      <c r="K333">
        <v>2</v>
      </c>
      <c r="L333">
        <v>1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</row>
    <row r="334" spans="1:23" x14ac:dyDescent="0.3">
      <c r="A334">
        <v>31</v>
      </c>
      <c r="B334">
        <v>3</v>
      </c>
      <c r="C334">
        <v>2</v>
      </c>
      <c r="D334">
        <v>12</v>
      </c>
      <c r="E334" t="s">
        <v>389</v>
      </c>
      <c r="F334" t="s">
        <v>390</v>
      </c>
      <c r="G334">
        <v>69.516000000000005</v>
      </c>
      <c r="H334" t="b">
        <v>0</v>
      </c>
      <c r="I334" t="b">
        <v>0</v>
      </c>
      <c r="J334">
        <v>75</v>
      </c>
      <c r="K334">
        <v>2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0</v>
      </c>
    </row>
    <row r="335" spans="1:23" x14ac:dyDescent="0.3">
      <c r="A335">
        <v>31</v>
      </c>
      <c r="B335">
        <v>3</v>
      </c>
      <c r="C335">
        <v>2</v>
      </c>
      <c r="D335">
        <v>13</v>
      </c>
      <c r="E335" t="s">
        <v>390</v>
      </c>
      <c r="F335" t="s">
        <v>391</v>
      </c>
      <c r="G335">
        <v>29.518999999999998</v>
      </c>
      <c r="H335" t="b">
        <v>0</v>
      </c>
      <c r="I335" t="b">
        <v>0</v>
      </c>
      <c r="J335">
        <v>75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</row>
    <row r="336" spans="1:23" x14ac:dyDescent="0.3">
      <c r="A336">
        <v>31</v>
      </c>
      <c r="B336">
        <v>3</v>
      </c>
      <c r="C336">
        <v>2</v>
      </c>
      <c r="D336">
        <v>14</v>
      </c>
      <c r="E336" t="s">
        <v>391</v>
      </c>
      <c r="F336" t="s">
        <v>392</v>
      </c>
      <c r="G336">
        <v>84.971999999999994</v>
      </c>
      <c r="H336" t="b">
        <v>0</v>
      </c>
      <c r="I336" t="b">
        <v>0</v>
      </c>
      <c r="J336">
        <v>75</v>
      </c>
      <c r="K336">
        <v>2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1</v>
      </c>
      <c r="R336">
        <v>0</v>
      </c>
      <c r="S336">
        <v>1</v>
      </c>
      <c r="T336">
        <v>3</v>
      </c>
      <c r="U336">
        <v>1</v>
      </c>
      <c r="V336">
        <v>0</v>
      </c>
      <c r="W336">
        <v>0</v>
      </c>
    </row>
    <row r="337" spans="1:23" x14ac:dyDescent="0.3">
      <c r="A337">
        <v>31</v>
      </c>
      <c r="B337">
        <v>3</v>
      </c>
      <c r="C337">
        <v>2</v>
      </c>
      <c r="D337">
        <v>15</v>
      </c>
      <c r="E337" t="s">
        <v>392</v>
      </c>
      <c r="F337" t="s">
        <v>393</v>
      </c>
      <c r="G337">
        <v>201.18100000000001</v>
      </c>
      <c r="H337" t="b">
        <v>0</v>
      </c>
      <c r="I337" t="b">
        <v>0</v>
      </c>
      <c r="J337">
        <v>100</v>
      </c>
      <c r="K337">
        <v>2</v>
      </c>
      <c r="L337">
        <v>2</v>
      </c>
      <c r="M337">
        <v>0</v>
      </c>
      <c r="N337">
        <v>1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3</v>
      </c>
      <c r="U337">
        <v>2</v>
      </c>
      <c r="V337">
        <v>0</v>
      </c>
      <c r="W337">
        <v>0</v>
      </c>
    </row>
    <row r="338" spans="1:23" x14ac:dyDescent="0.3">
      <c r="A338">
        <v>31</v>
      </c>
      <c r="B338">
        <v>3</v>
      </c>
      <c r="C338">
        <v>2</v>
      </c>
      <c r="D338">
        <v>16</v>
      </c>
      <c r="E338" t="s">
        <v>393</v>
      </c>
      <c r="F338" t="s">
        <v>394</v>
      </c>
      <c r="G338">
        <v>221.636</v>
      </c>
      <c r="H338" t="b">
        <v>0</v>
      </c>
      <c r="I338" t="b">
        <v>0</v>
      </c>
      <c r="J338">
        <v>100</v>
      </c>
      <c r="K338">
        <v>2</v>
      </c>
      <c r="L338">
        <v>2</v>
      </c>
      <c r="M338">
        <v>0</v>
      </c>
      <c r="N338">
        <v>1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4</v>
      </c>
      <c r="U338">
        <v>2</v>
      </c>
      <c r="V338">
        <v>0</v>
      </c>
      <c r="W338">
        <v>0</v>
      </c>
    </row>
    <row r="339" spans="1:23" x14ac:dyDescent="0.3">
      <c r="A339">
        <v>31</v>
      </c>
      <c r="B339">
        <v>3</v>
      </c>
      <c r="C339">
        <v>2</v>
      </c>
      <c r="D339">
        <v>17</v>
      </c>
      <c r="E339" t="s">
        <v>394</v>
      </c>
      <c r="F339" t="s">
        <v>395</v>
      </c>
      <c r="G339">
        <v>73.715000000000003</v>
      </c>
      <c r="H339" t="b">
        <v>0</v>
      </c>
      <c r="I339" t="b">
        <v>0</v>
      </c>
      <c r="J339">
        <v>100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">
      <c r="A340">
        <v>31</v>
      </c>
      <c r="B340">
        <v>3</v>
      </c>
      <c r="C340">
        <v>2</v>
      </c>
      <c r="D340">
        <v>18</v>
      </c>
      <c r="E340" t="s">
        <v>395</v>
      </c>
      <c r="F340" t="s">
        <v>396</v>
      </c>
      <c r="G340">
        <v>59.942</v>
      </c>
      <c r="H340" t="b">
        <v>0</v>
      </c>
      <c r="I340" t="b">
        <v>0</v>
      </c>
      <c r="J340">
        <v>75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1</v>
      </c>
    </row>
    <row r="341" spans="1:23" x14ac:dyDescent="0.3">
      <c r="A341">
        <v>31</v>
      </c>
      <c r="B341">
        <v>3</v>
      </c>
      <c r="C341">
        <v>2</v>
      </c>
      <c r="D341">
        <v>19</v>
      </c>
      <c r="E341" t="s">
        <v>396</v>
      </c>
      <c r="F341" t="s">
        <v>397</v>
      </c>
      <c r="G341">
        <v>136.792</v>
      </c>
      <c r="H341" t="b">
        <v>0</v>
      </c>
      <c r="I341" t="b">
        <v>0</v>
      </c>
      <c r="J341">
        <v>75</v>
      </c>
      <c r="K341">
        <v>2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1</v>
      </c>
      <c r="R341">
        <v>0</v>
      </c>
      <c r="S341">
        <v>1</v>
      </c>
      <c r="T341">
        <v>3</v>
      </c>
      <c r="U341">
        <v>3</v>
      </c>
      <c r="V341">
        <v>0</v>
      </c>
      <c r="W341">
        <v>0</v>
      </c>
    </row>
    <row r="342" spans="1:23" x14ac:dyDescent="0.3">
      <c r="A342">
        <v>31</v>
      </c>
      <c r="B342">
        <v>3</v>
      </c>
      <c r="C342">
        <v>2</v>
      </c>
      <c r="D342">
        <v>20</v>
      </c>
      <c r="E342" t="s">
        <v>397</v>
      </c>
      <c r="F342" t="s">
        <v>398</v>
      </c>
      <c r="G342">
        <v>167.624</v>
      </c>
      <c r="H342" t="b">
        <v>0</v>
      </c>
      <c r="I342" t="b">
        <v>0</v>
      </c>
      <c r="J342">
        <v>100</v>
      </c>
      <c r="K342">
        <v>2</v>
      </c>
      <c r="L342">
        <v>2</v>
      </c>
      <c r="M342">
        <v>0</v>
      </c>
      <c r="N342">
        <v>1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4</v>
      </c>
      <c r="U342">
        <v>2</v>
      </c>
      <c r="V342">
        <v>0</v>
      </c>
      <c r="W342">
        <v>0</v>
      </c>
    </row>
    <row r="343" spans="1:23" x14ac:dyDescent="0.3">
      <c r="A343">
        <v>31</v>
      </c>
      <c r="B343">
        <v>3</v>
      </c>
      <c r="C343">
        <v>2</v>
      </c>
      <c r="D343">
        <v>21</v>
      </c>
      <c r="E343" t="s">
        <v>398</v>
      </c>
      <c r="F343" t="s">
        <v>399</v>
      </c>
      <c r="G343">
        <v>222.68199999999999</v>
      </c>
      <c r="H343" t="b">
        <v>0</v>
      </c>
      <c r="I343" t="b">
        <v>0</v>
      </c>
      <c r="J343">
        <v>75</v>
      </c>
      <c r="K343">
        <v>1</v>
      </c>
      <c r="L343">
        <v>1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4</v>
      </c>
      <c r="U343">
        <v>2</v>
      </c>
      <c r="V343">
        <v>1</v>
      </c>
      <c r="W343">
        <v>1</v>
      </c>
    </row>
    <row r="344" spans="1:23" x14ac:dyDescent="0.3">
      <c r="A344">
        <v>32</v>
      </c>
      <c r="B344">
        <v>1</v>
      </c>
      <c r="C344">
        <v>1</v>
      </c>
      <c r="D344">
        <v>1</v>
      </c>
      <c r="E344" t="s">
        <v>400</v>
      </c>
      <c r="F344" t="s">
        <v>401</v>
      </c>
      <c r="G344">
        <v>126.78700000000001</v>
      </c>
      <c r="H344" t="b">
        <v>0</v>
      </c>
      <c r="I344" t="b">
        <v>0</v>
      </c>
      <c r="J344">
        <v>100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</row>
    <row r="345" spans="1:23" x14ac:dyDescent="0.3">
      <c r="A345">
        <v>32</v>
      </c>
      <c r="B345">
        <v>1</v>
      </c>
      <c r="C345">
        <v>1</v>
      </c>
      <c r="D345">
        <v>2</v>
      </c>
      <c r="E345" t="s">
        <v>401</v>
      </c>
      <c r="F345" t="s">
        <v>402</v>
      </c>
      <c r="G345">
        <v>162.16200000000001</v>
      </c>
      <c r="H345" t="b">
        <v>0</v>
      </c>
      <c r="I345" t="b">
        <v>0</v>
      </c>
      <c r="J345">
        <v>100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</row>
    <row r="346" spans="1:23" x14ac:dyDescent="0.3">
      <c r="A346">
        <v>32</v>
      </c>
      <c r="B346">
        <v>1</v>
      </c>
      <c r="C346">
        <v>1</v>
      </c>
      <c r="D346">
        <v>3</v>
      </c>
      <c r="E346" t="s">
        <v>402</v>
      </c>
      <c r="F346" t="s">
        <v>403</v>
      </c>
      <c r="G346">
        <v>171.227</v>
      </c>
      <c r="H346" t="b">
        <v>0</v>
      </c>
      <c r="I346" t="b">
        <v>0</v>
      </c>
      <c r="J346">
        <v>75</v>
      </c>
      <c r="K346">
        <v>3</v>
      </c>
      <c r="L346">
        <v>2</v>
      </c>
      <c r="M346">
        <v>1</v>
      </c>
      <c r="N346">
        <v>2</v>
      </c>
      <c r="O346">
        <v>1</v>
      </c>
      <c r="P346">
        <v>1</v>
      </c>
      <c r="Q346">
        <v>1</v>
      </c>
      <c r="R346">
        <v>1</v>
      </c>
      <c r="S346">
        <v>0</v>
      </c>
      <c r="T346">
        <v>2</v>
      </c>
      <c r="U346">
        <v>2</v>
      </c>
      <c r="V346">
        <v>0</v>
      </c>
      <c r="W346">
        <v>0</v>
      </c>
    </row>
    <row r="347" spans="1:23" x14ac:dyDescent="0.3">
      <c r="A347">
        <v>32</v>
      </c>
      <c r="B347">
        <v>1</v>
      </c>
      <c r="C347">
        <v>1</v>
      </c>
      <c r="D347">
        <v>4</v>
      </c>
      <c r="E347" t="s">
        <v>403</v>
      </c>
      <c r="F347" t="s">
        <v>404</v>
      </c>
      <c r="G347">
        <v>127.205</v>
      </c>
      <c r="H347" t="b">
        <v>0</v>
      </c>
      <c r="I347" t="b">
        <v>0</v>
      </c>
      <c r="J347">
        <v>100</v>
      </c>
      <c r="K347">
        <v>2</v>
      </c>
      <c r="L347">
        <v>2</v>
      </c>
      <c r="M347">
        <v>0</v>
      </c>
      <c r="N347">
        <v>1</v>
      </c>
      <c r="O347">
        <v>1</v>
      </c>
      <c r="P347">
        <v>0</v>
      </c>
      <c r="Q347">
        <v>1</v>
      </c>
      <c r="R347">
        <v>1</v>
      </c>
      <c r="S347">
        <v>0</v>
      </c>
      <c r="T347">
        <v>2</v>
      </c>
      <c r="U347">
        <v>2</v>
      </c>
      <c r="V347">
        <v>0</v>
      </c>
      <c r="W347">
        <v>0</v>
      </c>
    </row>
    <row r="348" spans="1:23" x14ac:dyDescent="0.3">
      <c r="A348">
        <v>32</v>
      </c>
      <c r="B348">
        <v>1</v>
      </c>
      <c r="C348">
        <v>1</v>
      </c>
      <c r="D348">
        <v>5</v>
      </c>
      <c r="E348" t="s">
        <v>404</v>
      </c>
      <c r="F348" t="s">
        <v>405</v>
      </c>
      <c r="G348">
        <v>138.62200000000001</v>
      </c>
      <c r="H348" t="b">
        <v>0</v>
      </c>
      <c r="I348" t="b">
        <v>0</v>
      </c>
      <c r="J348">
        <v>100</v>
      </c>
      <c r="K348">
        <v>3</v>
      </c>
      <c r="L348">
        <v>3</v>
      </c>
      <c r="M348">
        <v>0</v>
      </c>
      <c r="N348">
        <v>2</v>
      </c>
      <c r="O348">
        <v>2</v>
      </c>
      <c r="P348">
        <v>0</v>
      </c>
      <c r="Q348">
        <v>1</v>
      </c>
      <c r="R348">
        <v>1</v>
      </c>
      <c r="S348">
        <v>0</v>
      </c>
      <c r="T348">
        <v>2</v>
      </c>
      <c r="U348">
        <v>2</v>
      </c>
      <c r="V348">
        <v>0</v>
      </c>
      <c r="W348">
        <v>0</v>
      </c>
    </row>
    <row r="349" spans="1:23" x14ac:dyDescent="0.3">
      <c r="A349">
        <v>32</v>
      </c>
      <c r="B349">
        <v>1</v>
      </c>
      <c r="C349">
        <v>1</v>
      </c>
      <c r="D349">
        <v>6</v>
      </c>
      <c r="E349" t="s">
        <v>405</v>
      </c>
      <c r="F349" t="s">
        <v>406</v>
      </c>
      <c r="G349">
        <v>124.14400000000001</v>
      </c>
      <c r="H349" t="b">
        <v>0</v>
      </c>
      <c r="I349" t="b">
        <v>0</v>
      </c>
      <c r="J349">
        <v>75</v>
      </c>
      <c r="K349">
        <v>4</v>
      </c>
      <c r="L349">
        <v>3</v>
      </c>
      <c r="M349">
        <v>1</v>
      </c>
      <c r="N349">
        <v>2</v>
      </c>
      <c r="O349">
        <v>2</v>
      </c>
      <c r="P349">
        <v>0</v>
      </c>
      <c r="Q349">
        <v>2</v>
      </c>
      <c r="R349">
        <v>1</v>
      </c>
      <c r="S349">
        <v>1</v>
      </c>
      <c r="T349">
        <v>2</v>
      </c>
      <c r="U349">
        <v>1</v>
      </c>
      <c r="V349">
        <v>0</v>
      </c>
      <c r="W349">
        <v>0</v>
      </c>
    </row>
    <row r="350" spans="1:23" x14ac:dyDescent="0.3">
      <c r="A350">
        <v>32</v>
      </c>
      <c r="B350">
        <v>1</v>
      </c>
      <c r="C350">
        <v>1</v>
      </c>
      <c r="D350">
        <v>7</v>
      </c>
      <c r="E350" t="s">
        <v>406</v>
      </c>
      <c r="F350" t="s">
        <v>407</v>
      </c>
      <c r="G350">
        <v>85.055999999999997</v>
      </c>
      <c r="H350" t="b">
        <v>0</v>
      </c>
      <c r="I350" t="b">
        <v>0</v>
      </c>
      <c r="J350">
        <v>100</v>
      </c>
      <c r="K350">
        <v>2</v>
      </c>
      <c r="L350">
        <v>2</v>
      </c>
      <c r="M350">
        <v>0</v>
      </c>
      <c r="N350">
        <v>2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</row>
    <row r="351" spans="1:23" x14ac:dyDescent="0.3">
      <c r="A351">
        <v>32</v>
      </c>
      <c r="B351">
        <v>1</v>
      </c>
      <c r="C351">
        <v>1</v>
      </c>
      <c r="D351">
        <v>8</v>
      </c>
      <c r="E351" t="s">
        <v>407</v>
      </c>
      <c r="F351" t="s">
        <v>408</v>
      </c>
      <c r="G351">
        <v>100.642</v>
      </c>
      <c r="H351" t="b">
        <v>0</v>
      </c>
      <c r="I351" t="b">
        <v>0</v>
      </c>
      <c r="J351">
        <v>100</v>
      </c>
      <c r="K351">
        <v>2</v>
      </c>
      <c r="L351">
        <v>2</v>
      </c>
      <c r="M351">
        <v>0</v>
      </c>
      <c r="N351">
        <v>2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2</v>
      </c>
      <c r="U351">
        <v>1</v>
      </c>
      <c r="V351">
        <v>0</v>
      </c>
      <c r="W351">
        <v>0</v>
      </c>
    </row>
    <row r="352" spans="1:23" x14ac:dyDescent="0.3">
      <c r="A352">
        <v>32</v>
      </c>
      <c r="B352">
        <v>1</v>
      </c>
      <c r="C352">
        <v>1</v>
      </c>
      <c r="D352">
        <v>9</v>
      </c>
      <c r="E352" t="s">
        <v>408</v>
      </c>
      <c r="F352" t="s">
        <v>409</v>
      </c>
      <c r="G352">
        <v>170.22300000000001</v>
      </c>
      <c r="H352" t="b">
        <v>0</v>
      </c>
      <c r="I352" t="b">
        <v>0</v>
      </c>
      <c r="J352">
        <v>100</v>
      </c>
      <c r="K352">
        <v>5</v>
      </c>
      <c r="L352">
        <v>5</v>
      </c>
      <c r="M352">
        <v>0</v>
      </c>
      <c r="N352">
        <v>2</v>
      </c>
      <c r="O352">
        <v>2</v>
      </c>
      <c r="P352">
        <v>0</v>
      </c>
      <c r="Q352">
        <v>3</v>
      </c>
      <c r="R352">
        <v>3</v>
      </c>
      <c r="S352">
        <v>0</v>
      </c>
      <c r="T352">
        <v>2</v>
      </c>
      <c r="U352">
        <v>1</v>
      </c>
      <c r="V352">
        <v>0</v>
      </c>
      <c r="W352">
        <v>0</v>
      </c>
    </row>
    <row r="353" spans="1:23" x14ac:dyDescent="0.3">
      <c r="A353">
        <v>32</v>
      </c>
      <c r="B353">
        <v>1</v>
      </c>
      <c r="C353">
        <v>1</v>
      </c>
      <c r="D353">
        <v>10</v>
      </c>
      <c r="E353" t="s">
        <v>409</v>
      </c>
      <c r="F353" t="s">
        <v>410</v>
      </c>
      <c r="G353">
        <v>164.529</v>
      </c>
      <c r="H353" t="b">
        <v>1</v>
      </c>
      <c r="I353" t="b">
        <v>1</v>
      </c>
      <c r="J353">
        <v>100</v>
      </c>
      <c r="K353">
        <v>5</v>
      </c>
      <c r="L353">
        <v>5</v>
      </c>
      <c r="M353">
        <v>0</v>
      </c>
      <c r="N353">
        <v>2</v>
      </c>
      <c r="O353">
        <v>2</v>
      </c>
      <c r="P353">
        <v>0</v>
      </c>
      <c r="Q353">
        <v>3</v>
      </c>
      <c r="R353">
        <v>3</v>
      </c>
      <c r="S353">
        <v>0</v>
      </c>
      <c r="T353">
        <v>4</v>
      </c>
      <c r="U353">
        <v>3</v>
      </c>
      <c r="V353">
        <v>0</v>
      </c>
      <c r="W353">
        <v>0</v>
      </c>
    </row>
    <row r="354" spans="1:23" x14ac:dyDescent="0.3">
      <c r="A354">
        <v>32</v>
      </c>
      <c r="B354">
        <v>1</v>
      </c>
      <c r="C354">
        <v>2</v>
      </c>
      <c r="D354">
        <v>1</v>
      </c>
      <c r="E354" t="s">
        <v>410</v>
      </c>
      <c r="F354" t="s">
        <v>411</v>
      </c>
      <c r="G354">
        <v>148.62700000000001</v>
      </c>
      <c r="H354" t="b">
        <v>0</v>
      </c>
      <c r="I354" t="b">
        <v>1</v>
      </c>
      <c r="J354">
        <v>75</v>
      </c>
      <c r="K354">
        <v>3</v>
      </c>
      <c r="L354">
        <v>3</v>
      </c>
      <c r="M354">
        <v>0</v>
      </c>
      <c r="N354">
        <v>2</v>
      </c>
      <c r="O354">
        <v>2</v>
      </c>
      <c r="P354">
        <v>0</v>
      </c>
      <c r="Q354">
        <v>1</v>
      </c>
      <c r="R354">
        <v>1</v>
      </c>
      <c r="S354">
        <v>0</v>
      </c>
      <c r="T354">
        <v>3</v>
      </c>
      <c r="U354">
        <v>0</v>
      </c>
      <c r="V354">
        <v>1</v>
      </c>
      <c r="W354">
        <v>1</v>
      </c>
    </row>
    <row r="355" spans="1:23" x14ac:dyDescent="0.3">
      <c r="A355">
        <v>32</v>
      </c>
      <c r="B355">
        <v>1</v>
      </c>
      <c r="C355">
        <v>2</v>
      </c>
      <c r="D355">
        <v>2</v>
      </c>
      <c r="E355" t="s">
        <v>411</v>
      </c>
      <c r="F355" t="s">
        <v>412</v>
      </c>
      <c r="G355">
        <v>212.53899999999999</v>
      </c>
      <c r="H355" t="b">
        <v>0</v>
      </c>
      <c r="I355" t="b">
        <v>1</v>
      </c>
      <c r="J355">
        <v>75</v>
      </c>
      <c r="K355">
        <v>5</v>
      </c>
      <c r="L355">
        <v>4</v>
      </c>
      <c r="M355">
        <v>1</v>
      </c>
      <c r="N355">
        <v>2</v>
      </c>
      <c r="O355">
        <v>2</v>
      </c>
      <c r="P355">
        <v>0</v>
      </c>
      <c r="Q355">
        <v>3</v>
      </c>
      <c r="R355">
        <v>2</v>
      </c>
      <c r="S355">
        <v>1</v>
      </c>
      <c r="T355">
        <v>4</v>
      </c>
      <c r="U355">
        <v>2</v>
      </c>
      <c r="V355">
        <v>0</v>
      </c>
      <c r="W355">
        <v>0</v>
      </c>
    </row>
    <row r="356" spans="1:23" x14ac:dyDescent="0.3">
      <c r="A356">
        <v>32</v>
      </c>
      <c r="B356">
        <v>1</v>
      </c>
      <c r="C356">
        <v>2</v>
      </c>
      <c r="D356">
        <v>3</v>
      </c>
      <c r="E356" t="s">
        <v>412</v>
      </c>
      <c r="F356" t="s">
        <v>413</v>
      </c>
      <c r="G356">
        <v>95.543999999999997</v>
      </c>
      <c r="H356" t="b">
        <v>0</v>
      </c>
      <c r="I356" t="b">
        <v>1</v>
      </c>
      <c r="J356">
        <v>75</v>
      </c>
      <c r="K356">
        <v>3</v>
      </c>
      <c r="L356">
        <v>2</v>
      </c>
      <c r="M356">
        <v>1</v>
      </c>
      <c r="N356">
        <v>2</v>
      </c>
      <c r="O356">
        <v>2</v>
      </c>
      <c r="P356">
        <v>0</v>
      </c>
      <c r="Q356">
        <v>1</v>
      </c>
      <c r="R356">
        <v>0</v>
      </c>
      <c r="S356">
        <v>1</v>
      </c>
      <c r="T356">
        <v>2</v>
      </c>
      <c r="U356">
        <v>1</v>
      </c>
      <c r="V356">
        <v>0</v>
      </c>
      <c r="W356">
        <v>0</v>
      </c>
    </row>
    <row r="357" spans="1:23" x14ac:dyDescent="0.3">
      <c r="A357">
        <v>32</v>
      </c>
      <c r="B357">
        <v>1</v>
      </c>
      <c r="C357">
        <v>2</v>
      </c>
      <c r="D357">
        <v>4</v>
      </c>
      <c r="E357" t="s">
        <v>413</v>
      </c>
      <c r="F357" t="s">
        <v>414</v>
      </c>
      <c r="G357">
        <v>104.682</v>
      </c>
      <c r="H357" t="b">
        <v>1</v>
      </c>
      <c r="I357" t="b">
        <v>1</v>
      </c>
      <c r="J357">
        <v>100</v>
      </c>
      <c r="K357">
        <v>4</v>
      </c>
      <c r="L357">
        <v>4</v>
      </c>
      <c r="M357">
        <v>0</v>
      </c>
      <c r="N357">
        <v>2</v>
      </c>
      <c r="O357">
        <v>2</v>
      </c>
      <c r="P357">
        <v>0</v>
      </c>
      <c r="Q357">
        <v>2</v>
      </c>
      <c r="R357">
        <v>2</v>
      </c>
      <c r="S357">
        <v>0</v>
      </c>
      <c r="T357">
        <v>3</v>
      </c>
      <c r="U357">
        <v>2</v>
      </c>
      <c r="V357">
        <v>0</v>
      </c>
      <c r="W357">
        <v>0</v>
      </c>
    </row>
    <row r="358" spans="1:23" x14ac:dyDescent="0.3">
      <c r="A358">
        <v>32</v>
      </c>
      <c r="B358">
        <v>3</v>
      </c>
      <c r="C358">
        <v>1</v>
      </c>
      <c r="D358">
        <v>1</v>
      </c>
      <c r="E358" t="s">
        <v>415</v>
      </c>
      <c r="F358" t="s">
        <v>416</v>
      </c>
      <c r="G358">
        <v>153.184</v>
      </c>
      <c r="H358" t="b">
        <v>0</v>
      </c>
      <c r="I358" t="b">
        <v>0</v>
      </c>
      <c r="J358">
        <v>100</v>
      </c>
      <c r="K358">
        <v>3</v>
      </c>
      <c r="L358">
        <v>3</v>
      </c>
      <c r="M358">
        <v>0</v>
      </c>
      <c r="N358">
        <v>2</v>
      </c>
      <c r="O358">
        <v>2</v>
      </c>
      <c r="P358">
        <v>0</v>
      </c>
      <c r="Q358">
        <v>1</v>
      </c>
      <c r="R358">
        <v>1</v>
      </c>
      <c r="S358">
        <v>0</v>
      </c>
      <c r="T358">
        <v>2</v>
      </c>
      <c r="U358">
        <v>1</v>
      </c>
      <c r="V358">
        <v>0</v>
      </c>
      <c r="W358">
        <v>0</v>
      </c>
    </row>
    <row r="359" spans="1:23" x14ac:dyDescent="0.3">
      <c r="A359">
        <v>32</v>
      </c>
      <c r="B359">
        <v>3</v>
      </c>
      <c r="C359">
        <v>1</v>
      </c>
      <c r="D359">
        <v>2</v>
      </c>
      <c r="E359" t="s">
        <v>416</v>
      </c>
      <c r="F359" t="s">
        <v>417</v>
      </c>
      <c r="G359">
        <v>193.251</v>
      </c>
      <c r="H359" t="b">
        <v>1</v>
      </c>
      <c r="I359" t="b">
        <v>1</v>
      </c>
      <c r="J359">
        <v>100</v>
      </c>
      <c r="K359">
        <v>5</v>
      </c>
      <c r="L359">
        <v>5</v>
      </c>
      <c r="M359">
        <v>0</v>
      </c>
      <c r="N359">
        <v>2</v>
      </c>
      <c r="O359">
        <v>2</v>
      </c>
      <c r="P359">
        <v>0</v>
      </c>
      <c r="Q359">
        <v>3</v>
      </c>
      <c r="R359">
        <v>3</v>
      </c>
      <c r="S359">
        <v>0</v>
      </c>
      <c r="T359">
        <v>4</v>
      </c>
      <c r="U359">
        <v>3</v>
      </c>
      <c r="V359">
        <v>0</v>
      </c>
      <c r="W359">
        <v>0</v>
      </c>
    </row>
    <row r="360" spans="1:23" x14ac:dyDescent="0.3">
      <c r="A360">
        <v>32</v>
      </c>
      <c r="B360">
        <v>3</v>
      </c>
      <c r="C360">
        <v>2</v>
      </c>
      <c r="D360">
        <v>1</v>
      </c>
      <c r="E360" t="s">
        <v>417</v>
      </c>
      <c r="F360" t="s">
        <v>418</v>
      </c>
      <c r="G360">
        <v>111.586</v>
      </c>
      <c r="H360" t="b">
        <v>0</v>
      </c>
      <c r="I360" t="b">
        <v>1</v>
      </c>
      <c r="J360">
        <v>50</v>
      </c>
      <c r="K360">
        <v>3</v>
      </c>
      <c r="L360">
        <v>1</v>
      </c>
      <c r="M360">
        <v>2</v>
      </c>
      <c r="N360">
        <v>2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0</v>
      </c>
    </row>
    <row r="361" spans="1:23" x14ac:dyDescent="0.3">
      <c r="A361">
        <v>32</v>
      </c>
      <c r="B361">
        <v>3</v>
      </c>
      <c r="C361">
        <v>2</v>
      </c>
      <c r="D361">
        <v>2</v>
      </c>
      <c r="E361" t="s">
        <v>418</v>
      </c>
      <c r="F361" t="s">
        <v>419</v>
      </c>
      <c r="G361">
        <v>206.745</v>
      </c>
      <c r="H361" t="b">
        <v>1</v>
      </c>
      <c r="I361" t="b">
        <v>1</v>
      </c>
      <c r="J361">
        <v>100</v>
      </c>
      <c r="K361">
        <v>5</v>
      </c>
      <c r="L361">
        <v>5</v>
      </c>
      <c r="M361">
        <v>0</v>
      </c>
      <c r="N361">
        <v>2</v>
      </c>
      <c r="O361">
        <v>2</v>
      </c>
      <c r="P361">
        <v>0</v>
      </c>
      <c r="Q361">
        <v>3</v>
      </c>
      <c r="R361">
        <v>3</v>
      </c>
      <c r="S361">
        <v>0</v>
      </c>
      <c r="T361">
        <v>4</v>
      </c>
      <c r="U361">
        <v>3</v>
      </c>
      <c r="V361">
        <v>0</v>
      </c>
      <c r="W361">
        <v>0</v>
      </c>
    </row>
    <row r="362" spans="1:23" x14ac:dyDescent="0.3">
      <c r="A362">
        <v>32</v>
      </c>
      <c r="B362">
        <v>3</v>
      </c>
      <c r="C362">
        <v>3</v>
      </c>
      <c r="D362">
        <v>1</v>
      </c>
      <c r="E362" t="s">
        <v>419</v>
      </c>
      <c r="F362" t="s">
        <v>420</v>
      </c>
      <c r="G362">
        <v>116.30200000000001</v>
      </c>
      <c r="H362" t="b">
        <v>1</v>
      </c>
      <c r="I362" t="b">
        <v>1</v>
      </c>
      <c r="J362">
        <v>100</v>
      </c>
      <c r="K362">
        <v>5</v>
      </c>
      <c r="L362">
        <v>5</v>
      </c>
      <c r="M362">
        <v>0</v>
      </c>
      <c r="N362">
        <v>2</v>
      </c>
      <c r="O362">
        <v>2</v>
      </c>
      <c r="P362">
        <v>0</v>
      </c>
      <c r="Q362">
        <v>3</v>
      </c>
      <c r="R362">
        <v>3</v>
      </c>
      <c r="S362">
        <v>0</v>
      </c>
      <c r="T362">
        <v>4</v>
      </c>
      <c r="U362">
        <v>3</v>
      </c>
      <c r="V362">
        <v>0</v>
      </c>
      <c r="W362">
        <v>0</v>
      </c>
    </row>
    <row r="363" spans="1:23" x14ac:dyDescent="0.3">
      <c r="A363">
        <v>33</v>
      </c>
      <c r="B363">
        <v>1</v>
      </c>
      <c r="C363">
        <v>1</v>
      </c>
      <c r="D363">
        <v>1</v>
      </c>
      <c r="E363" t="s">
        <v>421</v>
      </c>
      <c r="F363" t="s">
        <v>422</v>
      </c>
      <c r="G363">
        <v>793.12800000000004</v>
      </c>
      <c r="H363" t="b">
        <v>0</v>
      </c>
      <c r="I363" t="b">
        <v>0</v>
      </c>
      <c r="J363">
        <v>100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0</v>
      </c>
    </row>
    <row r="364" spans="1:23" x14ac:dyDescent="0.3">
      <c r="A364">
        <v>33</v>
      </c>
      <c r="B364">
        <v>1</v>
      </c>
      <c r="C364">
        <v>1</v>
      </c>
      <c r="D364">
        <v>2</v>
      </c>
      <c r="E364" t="s">
        <v>422</v>
      </c>
      <c r="F364" t="s">
        <v>423</v>
      </c>
      <c r="G364">
        <v>132.45500000000001</v>
      </c>
      <c r="H364" t="b">
        <v>0</v>
      </c>
      <c r="I364" t="b">
        <v>0</v>
      </c>
      <c r="J364">
        <v>100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0</v>
      </c>
      <c r="W364">
        <v>0</v>
      </c>
    </row>
    <row r="365" spans="1:23" x14ac:dyDescent="0.3">
      <c r="A365">
        <v>33</v>
      </c>
      <c r="B365">
        <v>1</v>
      </c>
      <c r="C365">
        <v>1</v>
      </c>
      <c r="D365">
        <v>3</v>
      </c>
      <c r="E365" t="s">
        <v>423</v>
      </c>
      <c r="F365" t="s">
        <v>424</v>
      </c>
      <c r="G365">
        <v>157.96100000000001</v>
      </c>
      <c r="H365" t="b">
        <v>0</v>
      </c>
      <c r="I365" t="b">
        <v>0</v>
      </c>
      <c r="J365">
        <v>100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0</v>
      </c>
      <c r="W365">
        <v>0</v>
      </c>
    </row>
    <row r="366" spans="1:23" x14ac:dyDescent="0.3">
      <c r="A366">
        <v>33</v>
      </c>
      <c r="B366">
        <v>1</v>
      </c>
      <c r="C366">
        <v>1</v>
      </c>
      <c r="D366">
        <v>4</v>
      </c>
      <c r="E366" t="s">
        <v>424</v>
      </c>
      <c r="F366" t="s">
        <v>425</v>
      </c>
      <c r="G366">
        <v>124.342</v>
      </c>
      <c r="H366" t="b">
        <v>0</v>
      </c>
      <c r="I366" t="b">
        <v>0</v>
      </c>
      <c r="J366">
        <v>100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0</v>
      </c>
    </row>
    <row r="367" spans="1:23" x14ac:dyDescent="0.3">
      <c r="A367">
        <v>33</v>
      </c>
      <c r="B367">
        <v>1</v>
      </c>
      <c r="C367">
        <v>1</v>
      </c>
      <c r="D367">
        <v>5</v>
      </c>
      <c r="E367" t="s">
        <v>425</v>
      </c>
      <c r="F367" t="s">
        <v>426</v>
      </c>
      <c r="G367">
        <v>224.14699999999999</v>
      </c>
      <c r="H367" t="b">
        <v>0</v>
      </c>
      <c r="I367" t="b">
        <v>0</v>
      </c>
      <c r="J367">
        <v>100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1</v>
      </c>
      <c r="V367">
        <v>0</v>
      </c>
      <c r="W367">
        <v>0</v>
      </c>
    </row>
    <row r="368" spans="1:23" x14ac:dyDescent="0.3">
      <c r="A368">
        <v>33</v>
      </c>
      <c r="B368">
        <v>1</v>
      </c>
      <c r="C368">
        <v>1</v>
      </c>
      <c r="D368">
        <v>6</v>
      </c>
      <c r="E368" t="s">
        <v>426</v>
      </c>
      <c r="F368" t="s">
        <v>427</v>
      </c>
      <c r="G368">
        <v>30.582000000000001</v>
      </c>
      <c r="H368" t="b">
        <v>0</v>
      </c>
      <c r="I368" t="b">
        <v>0</v>
      </c>
      <c r="J368">
        <v>100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3">
      <c r="A369">
        <v>34</v>
      </c>
      <c r="B369">
        <v>1</v>
      </c>
      <c r="C369">
        <v>1</v>
      </c>
      <c r="D369">
        <v>1</v>
      </c>
      <c r="E369" t="s">
        <v>428</v>
      </c>
      <c r="F369" t="s">
        <v>429</v>
      </c>
      <c r="G369">
        <v>148.41300000000001</v>
      </c>
      <c r="H369" t="b">
        <v>0</v>
      </c>
      <c r="I369" t="b">
        <v>0</v>
      </c>
      <c r="J369">
        <v>100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0</v>
      </c>
      <c r="W369">
        <v>0</v>
      </c>
    </row>
    <row r="370" spans="1:23" x14ac:dyDescent="0.3">
      <c r="A370">
        <v>34</v>
      </c>
      <c r="B370">
        <v>1</v>
      </c>
      <c r="C370">
        <v>1</v>
      </c>
      <c r="D370">
        <v>2</v>
      </c>
      <c r="E370" t="s">
        <v>429</v>
      </c>
      <c r="F370" t="s">
        <v>430</v>
      </c>
      <c r="G370">
        <v>106.43300000000001</v>
      </c>
      <c r="H370" t="b">
        <v>0</v>
      </c>
      <c r="I370" t="b">
        <v>0</v>
      </c>
      <c r="J370">
        <v>100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</row>
    <row r="371" spans="1:23" x14ac:dyDescent="0.3">
      <c r="A371">
        <v>34</v>
      </c>
      <c r="B371">
        <v>1</v>
      </c>
      <c r="C371">
        <v>2</v>
      </c>
      <c r="D371">
        <v>1</v>
      </c>
      <c r="E371" t="s">
        <v>430</v>
      </c>
      <c r="F371" t="s">
        <v>431</v>
      </c>
      <c r="G371">
        <v>62.625</v>
      </c>
      <c r="H371" t="b">
        <v>0</v>
      </c>
      <c r="I371" t="b">
        <v>0</v>
      </c>
      <c r="J371">
        <v>100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0</v>
      </c>
    </row>
    <row r="372" spans="1:23" x14ac:dyDescent="0.3">
      <c r="A372">
        <v>34</v>
      </c>
      <c r="B372">
        <v>1</v>
      </c>
      <c r="C372">
        <v>2</v>
      </c>
      <c r="D372">
        <v>2</v>
      </c>
      <c r="E372" t="s">
        <v>431</v>
      </c>
      <c r="F372" t="s">
        <v>432</v>
      </c>
      <c r="G372">
        <v>99.16</v>
      </c>
      <c r="H372" t="b">
        <v>0</v>
      </c>
      <c r="I372" t="b">
        <v>0</v>
      </c>
      <c r="J372">
        <v>100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2</v>
      </c>
      <c r="U372">
        <v>0</v>
      </c>
      <c r="V372">
        <v>0</v>
      </c>
      <c r="W372">
        <v>0</v>
      </c>
    </row>
    <row r="373" spans="1:23" x14ac:dyDescent="0.3">
      <c r="A373">
        <v>34</v>
      </c>
      <c r="B373">
        <v>1</v>
      </c>
      <c r="C373">
        <v>2</v>
      </c>
      <c r="D373">
        <v>3</v>
      </c>
      <c r="E373" t="s">
        <v>432</v>
      </c>
      <c r="F373" t="s">
        <v>433</v>
      </c>
      <c r="G373">
        <v>61.566000000000003</v>
      </c>
      <c r="H373" t="b">
        <v>0</v>
      </c>
      <c r="I373" t="b">
        <v>0</v>
      </c>
      <c r="J373">
        <v>100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</row>
    <row r="374" spans="1:23" x14ac:dyDescent="0.3">
      <c r="A374">
        <v>34</v>
      </c>
      <c r="B374">
        <v>1</v>
      </c>
      <c r="C374">
        <v>2</v>
      </c>
      <c r="D374">
        <v>4</v>
      </c>
      <c r="E374" t="s">
        <v>433</v>
      </c>
      <c r="F374" t="s">
        <v>434</v>
      </c>
      <c r="G374">
        <v>36.613999999999997</v>
      </c>
      <c r="H374" t="b">
        <v>0</v>
      </c>
      <c r="I374" t="b">
        <v>0</v>
      </c>
      <c r="J374">
        <v>100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0</v>
      </c>
    </row>
    <row r="375" spans="1:23" x14ac:dyDescent="0.3">
      <c r="A375">
        <v>34</v>
      </c>
      <c r="B375">
        <v>1</v>
      </c>
      <c r="C375">
        <v>2</v>
      </c>
      <c r="D375">
        <v>5</v>
      </c>
      <c r="E375" t="s">
        <v>434</v>
      </c>
      <c r="F375" t="s">
        <v>435</v>
      </c>
      <c r="G375">
        <v>204.155</v>
      </c>
      <c r="H375" t="b">
        <v>0</v>
      </c>
      <c r="I375" t="b">
        <v>0</v>
      </c>
      <c r="J375">
        <v>100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2</v>
      </c>
      <c r="U375">
        <v>1</v>
      </c>
      <c r="V375">
        <v>0</v>
      </c>
      <c r="W375">
        <v>0</v>
      </c>
    </row>
    <row r="376" spans="1:23" x14ac:dyDescent="0.3">
      <c r="A376">
        <v>34</v>
      </c>
      <c r="B376">
        <v>1</v>
      </c>
      <c r="C376">
        <v>2</v>
      </c>
      <c r="D376">
        <v>6</v>
      </c>
      <c r="E376" t="s">
        <v>435</v>
      </c>
      <c r="F376" t="s">
        <v>436</v>
      </c>
      <c r="G376">
        <v>41.087000000000003</v>
      </c>
      <c r="H376" t="b">
        <v>0</v>
      </c>
      <c r="I376" t="b">
        <v>0</v>
      </c>
      <c r="J376">
        <v>100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  <c r="W376">
        <v>0</v>
      </c>
    </row>
    <row r="377" spans="1:23" x14ac:dyDescent="0.3">
      <c r="A377">
        <v>34</v>
      </c>
      <c r="B377">
        <v>1</v>
      </c>
      <c r="C377">
        <v>2</v>
      </c>
      <c r="D377">
        <v>7</v>
      </c>
      <c r="E377" t="s">
        <v>436</v>
      </c>
      <c r="F377" t="s">
        <v>437</v>
      </c>
      <c r="G377">
        <v>178.22</v>
      </c>
      <c r="H377" t="b">
        <v>0</v>
      </c>
      <c r="I377" t="b">
        <v>0</v>
      </c>
      <c r="J377">
        <v>100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2</v>
      </c>
      <c r="U377">
        <v>0</v>
      </c>
      <c r="V377">
        <v>0</v>
      </c>
      <c r="W377">
        <v>0</v>
      </c>
    </row>
    <row r="378" spans="1:23" x14ac:dyDescent="0.3">
      <c r="A378">
        <v>34</v>
      </c>
      <c r="B378">
        <v>1</v>
      </c>
      <c r="C378">
        <v>2</v>
      </c>
      <c r="D378">
        <v>8</v>
      </c>
      <c r="E378" t="s">
        <v>437</v>
      </c>
      <c r="F378" t="s">
        <v>438</v>
      </c>
      <c r="G378">
        <v>219.32300000000001</v>
      </c>
      <c r="H378" t="b">
        <v>0</v>
      </c>
      <c r="I378" t="b">
        <v>0</v>
      </c>
      <c r="J378">
        <v>100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3">
      <c r="A379">
        <v>34</v>
      </c>
      <c r="B379">
        <v>1</v>
      </c>
      <c r="C379">
        <v>2</v>
      </c>
      <c r="D379">
        <v>9</v>
      </c>
      <c r="E379" t="s">
        <v>438</v>
      </c>
      <c r="F379" t="s">
        <v>439</v>
      </c>
      <c r="G379">
        <v>21.620999999999999</v>
      </c>
      <c r="H379" t="b">
        <v>0</v>
      </c>
      <c r="I379" t="b">
        <v>0</v>
      </c>
      <c r="J379">
        <v>100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>
        <v>34</v>
      </c>
      <c r="B380">
        <v>1</v>
      </c>
      <c r="C380">
        <v>3</v>
      </c>
      <c r="D380">
        <v>1</v>
      </c>
      <c r="E380" t="s">
        <v>439</v>
      </c>
      <c r="F380" t="s">
        <v>440</v>
      </c>
      <c r="G380">
        <v>27.765000000000001</v>
      </c>
      <c r="H380" t="b">
        <v>0</v>
      </c>
      <c r="I380" t="b">
        <v>0</v>
      </c>
      <c r="J380">
        <v>100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">
      <c r="A381">
        <v>34</v>
      </c>
      <c r="B381">
        <v>1</v>
      </c>
      <c r="C381">
        <v>3</v>
      </c>
      <c r="D381">
        <v>2</v>
      </c>
      <c r="E381" t="s">
        <v>440</v>
      </c>
      <c r="F381" t="s">
        <v>441</v>
      </c>
      <c r="G381">
        <v>22.26</v>
      </c>
      <c r="H381" t="b">
        <v>0</v>
      </c>
      <c r="I381" t="b">
        <v>0</v>
      </c>
      <c r="J381">
        <v>100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">
      <c r="A382">
        <v>34</v>
      </c>
      <c r="B382">
        <v>1</v>
      </c>
      <c r="C382">
        <v>3</v>
      </c>
      <c r="D382">
        <v>3</v>
      </c>
      <c r="E382" t="s">
        <v>441</v>
      </c>
      <c r="F382" t="s">
        <v>442</v>
      </c>
      <c r="G382">
        <v>38.380000000000003</v>
      </c>
      <c r="H382" t="b">
        <v>0</v>
      </c>
      <c r="I382" t="b">
        <v>0</v>
      </c>
      <c r="J382">
        <v>100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0</v>
      </c>
    </row>
    <row r="383" spans="1:23" x14ac:dyDescent="0.3">
      <c r="A383">
        <v>35</v>
      </c>
      <c r="B383">
        <v>1</v>
      </c>
      <c r="C383">
        <v>1</v>
      </c>
      <c r="D383">
        <v>1</v>
      </c>
      <c r="E383" t="s">
        <v>443</v>
      </c>
      <c r="F383" t="s">
        <v>444</v>
      </c>
      <c r="G383">
        <v>245.28100000000001</v>
      </c>
      <c r="H383" t="b">
        <v>0</v>
      </c>
      <c r="I383" t="b">
        <v>0</v>
      </c>
      <c r="J383">
        <v>100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0</v>
      </c>
    </row>
    <row r="384" spans="1:23" x14ac:dyDescent="0.3">
      <c r="A384">
        <v>35</v>
      </c>
      <c r="B384">
        <v>1</v>
      </c>
      <c r="C384">
        <v>2</v>
      </c>
      <c r="D384">
        <v>1</v>
      </c>
      <c r="E384" t="s">
        <v>444</v>
      </c>
      <c r="F384" t="s">
        <v>445</v>
      </c>
      <c r="G384">
        <v>234.22200000000001</v>
      </c>
      <c r="H384" t="b">
        <v>0</v>
      </c>
      <c r="I384" t="b">
        <v>0</v>
      </c>
      <c r="J384">
        <v>100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</v>
      </c>
      <c r="U384">
        <v>2</v>
      </c>
      <c r="V384">
        <v>0</v>
      </c>
      <c r="W384">
        <v>0</v>
      </c>
    </row>
    <row r="385" spans="1:23" x14ac:dyDescent="0.3">
      <c r="A385">
        <v>35</v>
      </c>
      <c r="B385">
        <v>1</v>
      </c>
      <c r="C385">
        <v>3</v>
      </c>
      <c r="D385">
        <v>1</v>
      </c>
      <c r="E385" t="s">
        <v>445</v>
      </c>
      <c r="F385" t="s">
        <v>446</v>
      </c>
      <c r="G385">
        <v>191.614</v>
      </c>
      <c r="H385" t="b">
        <v>0</v>
      </c>
      <c r="I385" t="b">
        <v>0</v>
      </c>
      <c r="J385">
        <v>100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0</v>
      </c>
    </row>
    <row r="386" spans="1:23" x14ac:dyDescent="0.3">
      <c r="A386">
        <v>35</v>
      </c>
      <c r="B386">
        <v>1</v>
      </c>
      <c r="C386">
        <v>3</v>
      </c>
      <c r="D386">
        <v>2</v>
      </c>
      <c r="E386" t="s">
        <v>446</v>
      </c>
      <c r="F386" t="s">
        <v>447</v>
      </c>
      <c r="G386">
        <v>25.748000000000001</v>
      </c>
      <c r="H386" t="b">
        <v>0</v>
      </c>
      <c r="I386" t="b">
        <v>0</v>
      </c>
      <c r="J386">
        <v>100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3">
      <c r="A387">
        <v>35</v>
      </c>
      <c r="B387">
        <v>1</v>
      </c>
      <c r="C387">
        <v>2</v>
      </c>
      <c r="D387">
        <v>1</v>
      </c>
      <c r="E387" t="s">
        <v>447</v>
      </c>
      <c r="F387" t="s">
        <v>448</v>
      </c>
      <c r="G387">
        <v>267.04399999999998</v>
      </c>
      <c r="H387" t="b">
        <v>0</v>
      </c>
      <c r="I387" t="b">
        <v>0</v>
      </c>
      <c r="J387">
        <v>75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</v>
      </c>
      <c r="U387">
        <v>1</v>
      </c>
      <c r="V387">
        <v>1</v>
      </c>
      <c r="W387">
        <v>1</v>
      </c>
    </row>
    <row r="388" spans="1:23" x14ac:dyDescent="0.3">
      <c r="A388">
        <v>35</v>
      </c>
      <c r="B388">
        <v>1</v>
      </c>
      <c r="C388">
        <v>2</v>
      </c>
      <c r="D388">
        <v>2</v>
      </c>
      <c r="E388" t="s">
        <v>448</v>
      </c>
      <c r="F388" t="s">
        <v>449</v>
      </c>
      <c r="G388">
        <v>233.47300000000001</v>
      </c>
      <c r="H388" t="b">
        <v>0</v>
      </c>
      <c r="I388" t="b">
        <v>0</v>
      </c>
      <c r="J388">
        <v>75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</v>
      </c>
      <c r="U388">
        <v>1</v>
      </c>
      <c r="V388">
        <v>1</v>
      </c>
      <c r="W388">
        <v>1</v>
      </c>
    </row>
    <row r="389" spans="1:23" x14ac:dyDescent="0.3">
      <c r="A389">
        <v>35</v>
      </c>
      <c r="B389">
        <v>1</v>
      </c>
      <c r="C389">
        <v>2</v>
      </c>
      <c r="D389">
        <v>3</v>
      </c>
      <c r="E389" t="s">
        <v>449</v>
      </c>
      <c r="F389" t="s">
        <v>450</v>
      </c>
      <c r="G389">
        <v>249.58500000000001</v>
      </c>
      <c r="H389" t="b">
        <v>0</v>
      </c>
      <c r="I389" t="b">
        <v>0</v>
      </c>
      <c r="J389">
        <v>100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0</v>
      </c>
      <c r="V389">
        <v>0</v>
      </c>
      <c r="W389">
        <v>0</v>
      </c>
    </row>
    <row r="390" spans="1:23" x14ac:dyDescent="0.3">
      <c r="A390">
        <v>35</v>
      </c>
      <c r="B390">
        <v>1</v>
      </c>
      <c r="C390">
        <v>2</v>
      </c>
      <c r="D390">
        <v>4</v>
      </c>
      <c r="E390" t="s">
        <v>450</v>
      </c>
      <c r="F390" t="s">
        <v>451</v>
      </c>
      <c r="G390">
        <v>243.95400000000001</v>
      </c>
      <c r="H390" t="b">
        <v>0</v>
      </c>
      <c r="I390" t="b">
        <v>0</v>
      </c>
      <c r="J390">
        <v>75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2</v>
      </c>
      <c r="U390">
        <v>0</v>
      </c>
      <c r="V390">
        <v>2</v>
      </c>
      <c r="W390">
        <v>2</v>
      </c>
    </row>
    <row r="391" spans="1:23" x14ac:dyDescent="0.3">
      <c r="A391">
        <v>35</v>
      </c>
      <c r="B391">
        <v>1</v>
      </c>
      <c r="C391">
        <v>2</v>
      </c>
      <c r="D391">
        <v>5</v>
      </c>
      <c r="E391" t="s">
        <v>451</v>
      </c>
      <c r="F391" t="s">
        <v>452</v>
      </c>
      <c r="G391">
        <v>194.22200000000001</v>
      </c>
      <c r="H391" t="b">
        <v>0</v>
      </c>
      <c r="I391" t="b">
        <v>0</v>
      </c>
      <c r="J391">
        <v>100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</v>
      </c>
      <c r="U391">
        <v>0</v>
      </c>
      <c r="V391">
        <v>0</v>
      </c>
      <c r="W391">
        <v>0</v>
      </c>
    </row>
    <row r="392" spans="1:23" x14ac:dyDescent="0.3">
      <c r="A392">
        <v>35</v>
      </c>
      <c r="B392">
        <v>1</v>
      </c>
      <c r="C392">
        <v>2</v>
      </c>
      <c r="D392">
        <v>6</v>
      </c>
      <c r="E392" t="s">
        <v>452</v>
      </c>
      <c r="F392" t="s">
        <v>453</v>
      </c>
      <c r="G392">
        <v>3.0000000000000001E-3</v>
      </c>
      <c r="H392" t="b">
        <v>0</v>
      </c>
      <c r="I392" t="b">
        <v>0</v>
      </c>
      <c r="J392">
        <v>100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3">
      <c r="A393">
        <v>35</v>
      </c>
      <c r="B393">
        <v>3</v>
      </c>
      <c r="C393">
        <v>1</v>
      </c>
      <c r="D393">
        <v>1</v>
      </c>
      <c r="E393" t="s">
        <v>454</v>
      </c>
      <c r="F393" t="s">
        <v>455</v>
      </c>
      <c r="G393">
        <v>181.846</v>
      </c>
      <c r="H393" t="b">
        <v>0</v>
      </c>
      <c r="I393" t="b">
        <v>0</v>
      </c>
      <c r="J393">
        <v>100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0</v>
      </c>
    </row>
    <row r="394" spans="1:23" x14ac:dyDescent="0.3">
      <c r="A394">
        <v>35</v>
      </c>
      <c r="B394">
        <v>3</v>
      </c>
      <c r="C394">
        <v>1</v>
      </c>
      <c r="D394">
        <v>2</v>
      </c>
      <c r="E394" t="s">
        <v>455</v>
      </c>
      <c r="F394" t="s">
        <v>456</v>
      </c>
      <c r="G394">
        <v>170.50800000000001</v>
      </c>
      <c r="H394" t="b">
        <v>0</v>
      </c>
      <c r="I394" t="b">
        <v>0</v>
      </c>
      <c r="J394">
        <v>100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0</v>
      </c>
      <c r="W394">
        <v>0</v>
      </c>
    </row>
    <row r="395" spans="1:23" x14ac:dyDescent="0.3">
      <c r="A395">
        <v>35</v>
      </c>
      <c r="B395">
        <v>3</v>
      </c>
      <c r="C395">
        <v>1</v>
      </c>
      <c r="D395">
        <v>3</v>
      </c>
      <c r="E395" t="s">
        <v>456</v>
      </c>
      <c r="F395" t="s">
        <v>457</v>
      </c>
      <c r="G395">
        <v>223.70599999999999</v>
      </c>
      <c r="H395" t="b">
        <v>0</v>
      </c>
      <c r="I395" t="b">
        <v>0</v>
      </c>
      <c r="J395">
        <v>75</v>
      </c>
      <c r="K395">
        <v>2</v>
      </c>
      <c r="L395">
        <v>1</v>
      </c>
      <c r="M395">
        <v>1</v>
      </c>
      <c r="N395">
        <v>1</v>
      </c>
      <c r="O395">
        <v>0</v>
      </c>
      <c r="P395">
        <v>1</v>
      </c>
      <c r="Q395">
        <v>1</v>
      </c>
      <c r="R395">
        <v>1</v>
      </c>
      <c r="S395">
        <v>0</v>
      </c>
      <c r="T395">
        <v>2</v>
      </c>
      <c r="U395">
        <v>0</v>
      </c>
      <c r="V395">
        <v>0</v>
      </c>
      <c r="W395">
        <v>0</v>
      </c>
    </row>
    <row r="396" spans="1:23" x14ac:dyDescent="0.3">
      <c r="A396">
        <v>35</v>
      </c>
      <c r="B396">
        <v>3</v>
      </c>
      <c r="C396">
        <v>1</v>
      </c>
      <c r="D396">
        <v>4</v>
      </c>
      <c r="E396" t="s">
        <v>457</v>
      </c>
      <c r="F396" t="s">
        <v>458</v>
      </c>
      <c r="G396">
        <v>204.08199999999999</v>
      </c>
      <c r="H396" t="b">
        <v>0</v>
      </c>
      <c r="I396" t="b">
        <v>0</v>
      </c>
      <c r="J396">
        <v>100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0</v>
      </c>
      <c r="T396">
        <v>2</v>
      </c>
      <c r="U396">
        <v>1</v>
      </c>
      <c r="V396">
        <v>0</v>
      </c>
      <c r="W396">
        <v>0</v>
      </c>
    </row>
    <row r="397" spans="1:23" x14ac:dyDescent="0.3">
      <c r="A397">
        <v>35</v>
      </c>
      <c r="B397">
        <v>3</v>
      </c>
      <c r="C397">
        <v>1</v>
      </c>
      <c r="D397">
        <v>5</v>
      </c>
      <c r="E397" t="s">
        <v>458</v>
      </c>
      <c r="F397" t="s">
        <v>459</v>
      </c>
      <c r="G397">
        <v>194.304</v>
      </c>
      <c r="H397" t="b">
        <v>0</v>
      </c>
      <c r="I397" t="b">
        <v>0</v>
      </c>
      <c r="J397">
        <v>100</v>
      </c>
      <c r="K397">
        <v>2</v>
      </c>
      <c r="L397">
        <v>2</v>
      </c>
      <c r="M397">
        <v>0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2</v>
      </c>
      <c r="U397">
        <v>1</v>
      </c>
      <c r="V397">
        <v>0</v>
      </c>
      <c r="W397">
        <v>0</v>
      </c>
    </row>
    <row r="398" spans="1:23" x14ac:dyDescent="0.3">
      <c r="A398">
        <v>35</v>
      </c>
      <c r="B398">
        <v>3</v>
      </c>
      <c r="C398">
        <v>2</v>
      </c>
      <c r="D398">
        <v>1</v>
      </c>
      <c r="E398" t="s">
        <v>459</v>
      </c>
      <c r="F398" t="s">
        <v>460</v>
      </c>
      <c r="G398">
        <v>234.27</v>
      </c>
      <c r="H398" t="b">
        <v>0</v>
      </c>
      <c r="I398" t="b">
        <v>0</v>
      </c>
      <c r="J398">
        <v>100</v>
      </c>
      <c r="K398">
        <v>2</v>
      </c>
      <c r="L398">
        <v>2</v>
      </c>
      <c r="M398">
        <v>0</v>
      </c>
      <c r="N398">
        <v>1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3</v>
      </c>
      <c r="U398">
        <v>2</v>
      </c>
      <c r="V398">
        <v>0</v>
      </c>
      <c r="W398">
        <v>0</v>
      </c>
    </row>
    <row r="399" spans="1:23" x14ac:dyDescent="0.3">
      <c r="A399">
        <v>35</v>
      </c>
      <c r="B399">
        <v>3</v>
      </c>
      <c r="C399">
        <v>2</v>
      </c>
      <c r="D399">
        <v>2</v>
      </c>
      <c r="E399" t="s">
        <v>460</v>
      </c>
      <c r="F399" t="s">
        <v>461</v>
      </c>
      <c r="G399">
        <v>251.67400000000001</v>
      </c>
      <c r="H399" t="b">
        <v>0</v>
      </c>
      <c r="I399" t="b">
        <v>0</v>
      </c>
      <c r="J399">
        <v>75</v>
      </c>
      <c r="K399">
        <v>3</v>
      </c>
      <c r="L399">
        <v>2</v>
      </c>
      <c r="M399">
        <v>1</v>
      </c>
      <c r="N399">
        <v>1</v>
      </c>
      <c r="O399">
        <v>1</v>
      </c>
      <c r="P399">
        <v>0</v>
      </c>
      <c r="Q399">
        <v>2</v>
      </c>
      <c r="R399">
        <v>1</v>
      </c>
      <c r="S399">
        <v>1</v>
      </c>
      <c r="T399">
        <v>3</v>
      </c>
      <c r="U399">
        <v>1</v>
      </c>
      <c r="V399">
        <v>0</v>
      </c>
      <c r="W399">
        <v>0</v>
      </c>
    </row>
    <row r="400" spans="1:23" x14ac:dyDescent="0.3">
      <c r="A400">
        <v>35</v>
      </c>
      <c r="B400">
        <v>3</v>
      </c>
      <c r="C400">
        <v>2</v>
      </c>
      <c r="D400">
        <v>3</v>
      </c>
      <c r="E400" t="s">
        <v>461</v>
      </c>
      <c r="F400" t="s">
        <v>462</v>
      </c>
      <c r="G400">
        <v>223.405</v>
      </c>
      <c r="H400" t="b">
        <v>0</v>
      </c>
      <c r="I400" t="b">
        <v>0</v>
      </c>
      <c r="J400">
        <v>100</v>
      </c>
      <c r="K400">
        <v>2</v>
      </c>
      <c r="L400">
        <v>2</v>
      </c>
      <c r="M400">
        <v>0</v>
      </c>
      <c r="N400">
        <v>1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3</v>
      </c>
      <c r="U400">
        <v>1</v>
      </c>
      <c r="V400">
        <v>0</v>
      </c>
      <c r="W400">
        <v>0</v>
      </c>
    </row>
    <row r="401" spans="1:23" x14ac:dyDescent="0.3">
      <c r="A401">
        <v>35</v>
      </c>
      <c r="B401">
        <v>3</v>
      </c>
      <c r="C401">
        <v>2</v>
      </c>
      <c r="D401">
        <v>4</v>
      </c>
      <c r="E401" t="s">
        <v>462</v>
      </c>
      <c r="F401" t="s">
        <v>463</v>
      </c>
      <c r="G401">
        <v>224.917</v>
      </c>
      <c r="H401" t="b">
        <v>0</v>
      </c>
      <c r="I401" t="b">
        <v>0</v>
      </c>
      <c r="J401">
        <v>75</v>
      </c>
      <c r="K401">
        <v>2</v>
      </c>
      <c r="L401">
        <v>2</v>
      </c>
      <c r="M401">
        <v>0</v>
      </c>
      <c r="N401">
        <v>1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3</v>
      </c>
      <c r="U401">
        <v>1</v>
      </c>
      <c r="V401">
        <v>1</v>
      </c>
      <c r="W401">
        <v>1</v>
      </c>
    </row>
    <row r="402" spans="1:23" x14ac:dyDescent="0.3">
      <c r="A402">
        <v>35</v>
      </c>
      <c r="B402">
        <v>3</v>
      </c>
      <c r="C402">
        <v>3</v>
      </c>
      <c r="D402">
        <v>1</v>
      </c>
      <c r="E402" t="s">
        <v>463</v>
      </c>
      <c r="F402" t="s">
        <v>464</v>
      </c>
      <c r="G402">
        <v>157.4</v>
      </c>
      <c r="H402" t="b">
        <v>0</v>
      </c>
      <c r="I402" t="b">
        <v>0</v>
      </c>
      <c r="J402">
        <v>75</v>
      </c>
      <c r="K402">
        <v>2</v>
      </c>
      <c r="L402">
        <v>1</v>
      </c>
      <c r="M402">
        <v>1</v>
      </c>
      <c r="N402">
        <v>1</v>
      </c>
      <c r="O402">
        <v>1</v>
      </c>
      <c r="P402">
        <v>0</v>
      </c>
      <c r="Q402">
        <v>1</v>
      </c>
      <c r="R402">
        <v>0</v>
      </c>
      <c r="S402">
        <v>1</v>
      </c>
      <c r="T402">
        <v>2</v>
      </c>
      <c r="U402">
        <v>1</v>
      </c>
      <c r="V402">
        <v>0</v>
      </c>
      <c r="W402">
        <v>0</v>
      </c>
    </row>
    <row r="403" spans="1:23" x14ac:dyDescent="0.3">
      <c r="A403">
        <v>35</v>
      </c>
      <c r="B403">
        <v>3</v>
      </c>
      <c r="C403">
        <v>3</v>
      </c>
      <c r="D403">
        <v>2</v>
      </c>
      <c r="E403" t="s">
        <v>464</v>
      </c>
      <c r="F403" t="s">
        <v>465</v>
      </c>
      <c r="G403">
        <v>182.715</v>
      </c>
      <c r="H403" t="b">
        <v>0</v>
      </c>
      <c r="I403" t="b">
        <v>0</v>
      </c>
      <c r="J403">
        <v>75</v>
      </c>
      <c r="K403">
        <v>3</v>
      </c>
      <c r="L403">
        <v>2</v>
      </c>
      <c r="M403">
        <v>1</v>
      </c>
      <c r="N403">
        <v>2</v>
      </c>
      <c r="O403">
        <v>2</v>
      </c>
      <c r="P403">
        <v>0</v>
      </c>
      <c r="Q403">
        <v>1</v>
      </c>
      <c r="R403">
        <v>0</v>
      </c>
      <c r="S403">
        <v>1</v>
      </c>
      <c r="T403">
        <v>2</v>
      </c>
      <c r="U403">
        <v>1</v>
      </c>
      <c r="V403">
        <v>0</v>
      </c>
      <c r="W403">
        <v>0</v>
      </c>
    </row>
    <row r="404" spans="1:23" x14ac:dyDescent="0.3">
      <c r="A404">
        <v>35</v>
      </c>
      <c r="B404">
        <v>3</v>
      </c>
      <c r="C404">
        <v>3</v>
      </c>
      <c r="D404">
        <v>3</v>
      </c>
      <c r="E404" t="s">
        <v>465</v>
      </c>
      <c r="F404" t="s">
        <v>466</v>
      </c>
      <c r="G404">
        <v>179.26</v>
      </c>
      <c r="H404" t="b">
        <v>0</v>
      </c>
      <c r="I404" t="b">
        <v>0</v>
      </c>
      <c r="J404">
        <v>100</v>
      </c>
      <c r="K404">
        <v>2</v>
      </c>
      <c r="L404">
        <v>2</v>
      </c>
      <c r="M404">
        <v>0</v>
      </c>
      <c r="N404">
        <v>1</v>
      </c>
      <c r="O404">
        <v>1</v>
      </c>
      <c r="P404">
        <v>0</v>
      </c>
      <c r="Q404">
        <v>1</v>
      </c>
      <c r="R404">
        <v>1</v>
      </c>
      <c r="S404">
        <v>0</v>
      </c>
      <c r="T404">
        <v>2</v>
      </c>
      <c r="U404">
        <v>1</v>
      </c>
      <c r="V404">
        <v>0</v>
      </c>
      <c r="W404">
        <v>0</v>
      </c>
    </row>
    <row r="405" spans="1:23" x14ac:dyDescent="0.3">
      <c r="A405">
        <v>35</v>
      </c>
      <c r="B405">
        <v>3</v>
      </c>
      <c r="C405">
        <v>1</v>
      </c>
      <c r="D405">
        <v>1</v>
      </c>
      <c r="E405" t="s">
        <v>466</v>
      </c>
      <c r="F405" t="s">
        <v>467</v>
      </c>
      <c r="G405">
        <v>287.03899999999999</v>
      </c>
      <c r="H405" t="b">
        <v>0</v>
      </c>
      <c r="I405" t="b">
        <v>0</v>
      </c>
      <c r="J405">
        <v>50</v>
      </c>
      <c r="K405">
        <v>4</v>
      </c>
      <c r="L405">
        <v>3</v>
      </c>
      <c r="M405">
        <v>1</v>
      </c>
      <c r="N405">
        <v>2</v>
      </c>
      <c r="O405">
        <v>2</v>
      </c>
      <c r="P405">
        <v>0</v>
      </c>
      <c r="Q405">
        <v>2</v>
      </c>
      <c r="R405">
        <v>1</v>
      </c>
      <c r="S405">
        <v>1</v>
      </c>
      <c r="T405">
        <v>2</v>
      </c>
      <c r="U405">
        <v>1</v>
      </c>
      <c r="V405">
        <v>1</v>
      </c>
      <c r="W405">
        <v>1</v>
      </c>
    </row>
    <row r="406" spans="1:23" x14ac:dyDescent="0.3">
      <c r="A406">
        <v>35</v>
      </c>
      <c r="B406">
        <v>3</v>
      </c>
      <c r="C406">
        <v>2</v>
      </c>
      <c r="D406">
        <v>1</v>
      </c>
      <c r="E406" t="s">
        <v>467</v>
      </c>
      <c r="F406" t="s">
        <v>468</v>
      </c>
      <c r="G406">
        <v>254.63399999999999</v>
      </c>
      <c r="H406" t="b">
        <v>0</v>
      </c>
      <c r="I406" t="b">
        <v>0</v>
      </c>
      <c r="J406">
        <v>100</v>
      </c>
      <c r="K406">
        <v>3</v>
      </c>
      <c r="L406">
        <v>3</v>
      </c>
      <c r="M406">
        <v>0</v>
      </c>
      <c r="N406">
        <v>2</v>
      </c>
      <c r="O406">
        <v>2</v>
      </c>
      <c r="P406">
        <v>0</v>
      </c>
      <c r="Q406">
        <v>1</v>
      </c>
      <c r="R406">
        <v>1</v>
      </c>
      <c r="S406">
        <v>0</v>
      </c>
      <c r="T406">
        <v>4</v>
      </c>
      <c r="U406">
        <v>2</v>
      </c>
      <c r="V406">
        <v>0</v>
      </c>
      <c r="W406">
        <v>0</v>
      </c>
    </row>
    <row r="407" spans="1:23" x14ac:dyDescent="0.3">
      <c r="A407">
        <v>35</v>
      </c>
      <c r="B407">
        <v>3</v>
      </c>
      <c r="C407">
        <v>1</v>
      </c>
      <c r="D407">
        <v>1</v>
      </c>
      <c r="E407" t="s">
        <v>468</v>
      </c>
      <c r="F407" t="s">
        <v>469</v>
      </c>
      <c r="G407">
        <v>151.352</v>
      </c>
      <c r="H407" t="b">
        <v>0</v>
      </c>
      <c r="I407" t="b">
        <v>0</v>
      </c>
      <c r="J407">
        <v>100</v>
      </c>
      <c r="K407">
        <v>3</v>
      </c>
      <c r="L407">
        <v>3</v>
      </c>
      <c r="M407">
        <v>0</v>
      </c>
      <c r="N407">
        <v>2</v>
      </c>
      <c r="O407">
        <v>2</v>
      </c>
      <c r="P407">
        <v>0</v>
      </c>
      <c r="Q407">
        <v>1</v>
      </c>
      <c r="R407">
        <v>1</v>
      </c>
      <c r="S407">
        <v>0</v>
      </c>
      <c r="T407">
        <v>4</v>
      </c>
      <c r="U407">
        <v>3</v>
      </c>
      <c r="V407">
        <v>0</v>
      </c>
      <c r="W407">
        <v>0</v>
      </c>
    </row>
    <row r="408" spans="1:23" x14ac:dyDescent="0.3">
      <c r="A408">
        <v>37</v>
      </c>
      <c r="B408">
        <v>1</v>
      </c>
      <c r="C408">
        <v>1</v>
      </c>
      <c r="D408">
        <v>1</v>
      </c>
      <c r="E408" t="s">
        <v>470</v>
      </c>
      <c r="F408" t="s">
        <v>471</v>
      </c>
      <c r="G408">
        <v>202.61199999999999</v>
      </c>
      <c r="H408" t="b">
        <v>0</v>
      </c>
      <c r="I408" t="b">
        <v>0</v>
      </c>
      <c r="J408">
        <v>100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</row>
    <row r="409" spans="1:23" x14ac:dyDescent="0.3">
      <c r="A409">
        <v>37</v>
      </c>
      <c r="B409">
        <v>1</v>
      </c>
      <c r="C409">
        <v>1</v>
      </c>
      <c r="D409">
        <v>2</v>
      </c>
      <c r="E409" t="s">
        <v>471</v>
      </c>
      <c r="F409" t="s">
        <v>472</v>
      </c>
      <c r="G409">
        <v>178.29900000000001</v>
      </c>
      <c r="H409" t="b">
        <v>0</v>
      </c>
      <c r="I409" t="b">
        <v>0</v>
      </c>
      <c r="J409">
        <v>100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0</v>
      </c>
      <c r="T409">
        <v>2</v>
      </c>
      <c r="U409">
        <v>1</v>
      </c>
      <c r="V409">
        <v>0</v>
      </c>
      <c r="W409">
        <v>0</v>
      </c>
    </row>
    <row r="410" spans="1:23" x14ac:dyDescent="0.3">
      <c r="A410">
        <v>37</v>
      </c>
      <c r="B410">
        <v>1</v>
      </c>
      <c r="C410">
        <v>1</v>
      </c>
      <c r="D410">
        <v>3</v>
      </c>
      <c r="E410" t="s">
        <v>472</v>
      </c>
      <c r="F410" t="s">
        <v>473</v>
      </c>
      <c r="G410">
        <v>171.00299999999999</v>
      </c>
      <c r="H410" t="b">
        <v>0</v>
      </c>
      <c r="I410" t="b">
        <v>0</v>
      </c>
      <c r="J410">
        <v>100</v>
      </c>
      <c r="K410">
        <v>2</v>
      </c>
      <c r="L410">
        <v>2</v>
      </c>
      <c r="M410">
        <v>0</v>
      </c>
      <c r="N410">
        <v>1</v>
      </c>
      <c r="O410">
        <v>1</v>
      </c>
      <c r="P410">
        <v>0</v>
      </c>
      <c r="Q410">
        <v>1</v>
      </c>
      <c r="R410">
        <v>1</v>
      </c>
      <c r="S410">
        <v>0</v>
      </c>
      <c r="T410">
        <v>2</v>
      </c>
      <c r="U410">
        <v>1</v>
      </c>
      <c r="V410">
        <v>0</v>
      </c>
      <c r="W410">
        <v>0</v>
      </c>
    </row>
    <row r="411" spans="1:23" x14ac:dyDescent="0.3">
      <c r="A411">
        <v>37</v>
      </c>
      <c r="B411">
        <v>1</v>
      </c>
      <c r="C411">
        <v>1</v>
      </c>
      <c r="D411">
        <v>4</v>
      </c>
      <c r="E411" t="s">
        <v>473</v>
      </c>
      <c r="F411" t="s">
        <v>474</v>
      </c>
      <c r="G411">
        <v>250.12700000000001</v>
      </c>
      <c r="H411" t="b">
        <v>0</v>
      </c>
      <c r="I411" t="b">
        <v>0</v>
      </c>
      <c r="J411">
        <v>100</v>
      </c>
      <c r="K411">
        <v>3</v>
      </c>
      <c r="L411">
        <v>3</v>
      </c>
      <c r="M411">
        <v>0</v>
      </c>
      <c r="N411">
        <v>1</v>
      </c>
      <c r="O411">
        <v>1</v>
      </c>
      <c r="P411">
        <v>0</v>
      </c>
      <c r="Q411">
        <v>2</v>
      </c>
      <c r="R411">
        <v>2</v>
      </c>
      <c r="S411">
        <v>0</v>
      </c>
      <c r="T411">
        <v>4</v>
      </c>
      <c r="U411">
        <v>3</v>
      </c>
      <c r="V411">
        <v>0</v>
      </c>
      <c r="W411">
        <v>0</v>
      </c>
    </row>
    <row r="412" spans="1:23" x14ac:dyDescent="0.3">
      <c r="A412">
        <v>37</v>
      </c>
      <c r="B412">
        <v>1</v>
      </c>
      <c r="C412">
        <v>2</v>
      </c>
      <c r="D412">
        <v>1</v>
      </c>
      <c r="E412" t="s">
        <v>474</v>
      </c>
      <c r="F412" t="s">
        <v>475</v>
      </c>
      <c r="G412">
        <v>255.15600000000001</v>
      </c>
      <c r="H412" t="b">
        <v>0</v>
      </c>
      <c r="I412" t="b">
        <v>0</v>
      </c>
      <c r="J412">
        <v>75</v>
      </c>
      <c r="K412">
        <v>3</v>
      </c>
      <c r="L412">
        <v>2</v>
      </c>
      <c r="M412">
        <v>1</v>
      </c>
      <c r="N412">
        <v>2</v>
      </c>
      <c r="O412">
        <v>2</v>
      </c>
      <c r="P412">
        <v>0</v>
      </c>
      <c r="Q412">
        <v>1</v>
      </c>
      <c r="R412">
        <v>0</v>
      </c>
      <c r="S412">
        <v>1</v>
      </c>
      <c r="T412">
        <v>4</v>
      </c>
      <c r="U412">
        <v>2</v>
      </c>
      <c r="V412">
        <v>0</v>
      </c>
      <c r="W412">
        <v>0</v>
      </c>
    </row>
    <row r="413" spans="1:23" x14ac:dyDescent="0.3">
      <c r="A413">
        <v>37</v>
      </c>
      <c r="B413">
        <v>1</v>
      </c>
      <c r="C413">
        <v>3</v>
      </c>
      <c r="D413">
        <v>1</v>
      </c>
      <c r="E413" t="s">
        <v>475</v>
      </c>
      <c r="F413" t="s">
        <v>476</v>
      </c>
      <c r="G413">
        <v>157.999</v>
      </c>
      <c r="H413" t="b">
        <v>0</v>
      </c>
      <c r="I413" t="b">
        <v>0</v>
      </c>
      <c r="J413">
        <v>100</v>
      </c>
      <c r="K413">
        <v>4</v>
      </c>
      <c r="L413">
        <v>4</v>
      </c>
      <c r="M413">
        <v>0</v>
      </c>
      <c r="N413">
        <v>2</v>
      </c>
      <c r="O413">
        <v>2</v>
      </c>
      <c r="P413">
        <v>0</v>
      </c>
      <c r="Q413">
        <v>2</v>
      </c>
      <c r="R413">
        <v>2</v>
      </c>
      <c r="S413">
        <v>0</v>
      </c>
      <c r="T413">
        <v>4</v>
      </c>
      <c r="U413">
        <v>3</v>
      </c>
      <c r="V413">
        <v>0</v>
      </c>
      <c r="W413">
        <v>0</v>
      </c>
    </row>
    <row r="414" spans="1:23" x14ac:dyDescent="0.3">
      <c r="A414">
        <v>37</v>
      </c>
      <c r="B414">
        <v>1</v>
      </c>
      <c r="C414">
        <v>2</v>
      </c>
      <c r="D414">
        <v>1</v>
      </c>
      <c r="E414" t="s">
        <v>476</v>
      </c>
      <c r="F414" t="s">
        <v>477</v>
      </c>
      <c r="G414">
        <v>219.11199999999999</v>
      </c>
      <c r="H414" t="b">
        <v>0</v>
      </c>
      <c r="I414" t="b">
        <v>0</v>
      </c>
      <c r="J414">
        <v>50</v>
      </c>
      <c r="K414">
        <v>3</v>
      </c>
      <c r="L414">
        <v>1</v>
      </c>
      <c r="M414">
        <v>2</v>
      </c>
      <c r="N414">
        <v>2</v>
      </c>
      <c r="O414">
        <v>1</v>
      </c>
      <c r="P414">
        <v>1</v>
      </c>
      <c r="Q414">
        <v>1</v>
      </c>
      <c r="R414">
        <v>0</v>
      </c>
      <c r="S414">
        <v>1</v>
      </c>
      <c r="T414">
        <v>2</v>
      </c>
      <c r="U414">
        <v>2</v>
      </c>
      <c r="V414">
        <v>0</v>
      </c>
      <c r="W414">
        <v>1</v>
      </c>
    </row>
    <row r="415" spans="1:23" x14ac:dyDescent="0.3">
      <c r="A415">
        <v>37</v>
      </c>
      <c r="B415">
        <v>1</v>
      </c>
      <c r="C415">
        <v>2</v>
      </c>
      <c r="D415">
        <v>2</v>
      </c>
      <c r="E415" t="s">
        <v>477</v>
      </c>
      <c r="F415" t="s">
        <v>478</v>
      </c>
      <c r="G415">
        <v>191.53200000000001</v>
      </c>
      <c r="H415" t="b">
        <v>1</v>
      </c>
      <c r="I415" t="b">
        <v>1</v>
      </c>
      <c r="J415">
        <v>100</v>
      </c>
      <c r="K415">
        <v>3</v>
      </c>
      <c r="L415">
        <v>3</v>
      </c>
      <c r="M415">
        <v>0</v>
      </c>
      <c r="N415">
        <v>2</v>
      </c>
      <c r="O415">
        <v>2</v>
      </c>
      <c r="P415">
        <v>0</v>
      </c>
      <c r="Q415">
        <v>1</v>
      </c>
      <c r="R415">
        <v>1</v>
      </c>
      <c r="S415">
        <v>0</v>
      </c>
      <c r="T415">
        <v>4</v>
      </c>
      <c r="U415">
        <v>2</v>
      </c>
      <c r="V415">
        <v>0</v>
      </c>
      <c r="W415">
        <v>0</v>
      </c>
    </row>
    <row r="416" spans="1:23" x14ac:dyDescent="0.3">
      <c r="A416">
        <v>37</v>
      </c>
      <c r="B416">
        <v>1</v>
      </c>
      <c r="C416">
        <v>3</v>
      </c>
      <c r="D416">
        <v>1</v>
      </c>
      <c r="E416" t="s">
        <v>478</v>
      </c>
      <c r="F416" t="s">
        <v>479</v>
      </c>
      <c r="G416">
        <v>195.59299999999999</v>
      </c>
      <c r="H416" t="b">
        <v>0</v>
      </c>
      <c r="I416" t="b">
        <v>1</v>
      </c>
      <c r="J416">
        <v>75</v>
      </c>
      <c r="K416">
        <v>5</v>
      </c>
      <c r="L416">
        <v>3</v>
      </c>
      <c r="M416">
        <v>2</v>
      </c>
      <c r="N416">
        <v>3</v>
      </c>
      <c r="O416">
        <v>3</v>
      </c>
      <c r="P416">
        <v>0</v>
      </c>
      <c r="Q416">
        <v>2</v>
      </c>
      <c r="R416">
        <v>0</v>
      </c>
      <c r="S416">
        <v>2</v>
      </c>
      <c r="T416">
        <v>4</v>
      </c>
      <c r="U416">
        <v>4</v>
      </c>
      <c r="V416">
        <v>0</v>
      </c>
      <c r="W416">
        <v>0</v>
      </c>
    </row>
    <row r="417" spans="1:23" x14ac:dyDescent="0.3">
      <c r="A417">
        <v>37</v>
      </c>
      <c r="B417">
        <v>1</v>
      </c>
      <c r="C417">
        <v>2</v>
      </c>
      <c r="D417">
        <v>1</v>
      </c>
      <c r="E417" t="s">
        <v>479</v>
      </c>
      <c r="F417" t="s">
        <v>480</v>
      </c>
      <c r="G417">
        <v>146.059</v>
      </c>
      <c r="H417" t="b">
        <v>0</v>
      </c>
      <c r="I417" t="b">
        <v>0</v>
      </c>
      <c r="J417">
        <v>100</v>
      </c>
      <c r="K417">
        <v>2</v>
      </c>
      <c r="L417">
        <v>2</v>
      </c>
      <c r="M417">
        <v>0</v>
      </c>
      <c r="N417">
        <v>2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2</v>
      </c>
      <c r="U417">
        <v>2</v>
      </c>
      <c r="V417">
        <v>0</v>
      </c>
      <c r="W417">
        <v>0</v>
      </c>
    </row>
    <row r="418" spans="1:23" x14ac:dyDescent="0.3">
      <c r="A418">
        <v>37</v>
      </c>
      <c r="B418">
        <v>3</v>
      </c>
      <c r="C418">
        <v>1</v>
      </c>
      <c r="D418">
        <v>1</v>
      </c>
      <c r="E418" t="s">
        <v>481</v>
      </c>
      <c r="F418" t="s">
        <v>482</v>
      </c>
      <c r="G418">
        <v>195.24199999999999</v>
      </c>
      <c r="H418" t="b">
        <v>0</v>
      </c>
      <c r="I418" t="b">
        <v>0</v>
      </c>
      <c r="J418">
        <v>75</v>
      </c>
      <c r="K418">
        <v>4</v>
      </c>
      <c r="L418">
        <v>3</v>
      </c>
      <c r="M418">
        <v>1</v>
      </c>
      <c r="N418">
        <v>2</v>
      </c>
      <c r="O418">
        <v>2</v>
      </c>
      <c r="P418">
        <v>0</v>
      </c>
      <c r="Q418">
        <v>2</v>
      </c>
      <c r="R418">
        <v>1</v>
      </c>
      <c r="S418">
        <v>1</v>
      </c>
      <c r="T418">
        <v>1</v>
      </c>
      <c r="U418">
        <v>0</v>
      </c>
      <c r="V418">
        <v>0</v>
      </c>
      <c r="W418">
        <v>0</v>
      </c>
    </row>
    <row r="419" spans="1:23" x14ac:dyDescent="0.3">
      <c r="A419">
        <v>37</v>
      </c>
      <c r="B419">
        <v>3</v>
      </c>
      <c r="C419">
        <v>1</v>
      </c>
      <c r="D419">
        <v>2</v>
      </c>
      <c r="E419" t="s">
        <v>482</v>
      </c>
      <c r="F419" t="s">
        <v>483</v>
      </c>
      <c r="G419">
        <v>221.62</v>
      </c>
      <c r="H419" t="b">
        <v>0</v>
      </c>
      <c r="I419" t="b">
        <v>0</v>
      </c>
      <c r="J419">
        <v>100</v>
      </c>
      <c r="K419">
        <v>4</v>
      </c>
      <c r="L419">
        <v>4</v>
      </c>
      <c r="M419">
        <v>0</v>
      </c>
      <c r="N419">
        <v>2</v>
      </c>
      <c r="O419">
        <v>2</v>
      </c>
      <c r="P419">
        <v>0</v>
      </c>
      <c r="Q419">
        <v>2</v>
      </c>
      <c r="R419">
        <v>2</v>
      </c>
      <c r="S419">
        <v>0</v>
      </c>
      <c r="T419">
        <v>1</v>
      </c>
      <c r="U419">
        <v>0</v>
      </c>
      <c r="V419">
        <v>0</v>
      </c>
      <c r="W419">
        <v>0</v>
      </c>
    </row>
    <row r="420" spans="1:23" x14ac:dyDescent="0.3">
      <c r="A420">
        <v>37</v>
      </c>
      <c r="B420">
        <v>3</v>
      </c>
      <c r="C420">
        <v>2</v>
      </c>
      <c r="D420">
        <v>1</v>
      </c>
      <c r="E420" t="s">
        <v>483</v>
      </c>
      <c r="F420" t="s">
        <v>484</v>
      </c>
      <c r="G420">
        <v>281.108</v>
      </c>
      <c r="H420" t="b">
        <v>0</v>
      </c>
      <c r="I420" t="b">
        <v>1</v>
      </c>
      <c r="J420">
        <v>75</v>
      </c>
      <c r="K420">
        <v>4</v>
      </c>
      <c r="L420">
        <v>4</v>
      </c>
      <c r="M420">
        <v>0</v>
      </c>
      <c r="N420">
        <v>2</v>
      </c>
      <c r="O420">
        <v>2</v>
      </c>
      <c r="P420">
        <v>0</v>
      </c>
      <c r="Q420">
        <v>2</v>
      </c>
      <c r="R420">
        <v>2</v>
      </c>
      <c r="S420">
        <v>0</v>
      </c>
      <c r="T420">
        <v>4</v>
      </c>
      <c r="U420">
        <v>2</v>
      </c>
      <c r="V420">
        <v>2</v>
      </c>
      <c r="W420">
        <v>2</v>
      </c>
    </row>
    <row r="421" spans="1:23" x14ac:dyDescent="0.3">
      <c r="A421">
        <v>37</v>
      </c>
      <c r="B421">
        <v>3</v>
      </c>
      <c r="C421">
        <v>1</v>
      </c>
      <c r="D421">
        <v>1</v>
      </c>
      <c r="E421" t="s">
        <v>484</v>
      </c>
      <c r="F421" t="s">
        <v>485</v>
      </c>
      <c r="G421">
        <v>222.53200000000001</v>
      </c>
      <c r="H421" t="b">
        <v>0</v>
      </c>
      <c r="I421" t="b">
        <v>0</v>
      </c>
      <c r="J421">
        <v>100</v>
      </c>
      <c r="K421">
        <v>4</v>
      </c>
      <c r="L421">
        <v>4</v>
      </c>
      <c r="M421">
        <v>0</v>
      </c>
      <c r="N421">
        <v>2</v>
      </c>
      <c r="O421">
        <v>2</v>
      </c>
      <c r="P421">
        <v>0</v>
      </c>
      <c r="Q421">
        <v>2</v>
      </c>
      <c r="R421">
        <v>2</v>
      </c>
      <c r="S421">
        <v>0</v>
      </c>
      <c r="T421">
        <v>4</v>
      </c>
      <c r="U421">
        <v>3</v>
      </c>
      <c r="V421">
        <v>0</v>
      </c>
      <c r="W421">
        <v>0</v>
      </c>
    </row>
    <row r="422" spans="1:23" x14ac:dyDescent="0.3">
      <c r="A422">
        <v>37</v>
      </c>
      <c r="B422">
        <v>3</v>
      </c>
      <c r="C422">
        <v>3</v>
      </c>
      <c r="D422">
        <v>1</v>
      </c>
      <c r="E422" t="s">
        <v>485</v>
      </c>
      <c r="F422" t="s">
        <v>486</v>
      </c>
      <c r="G422">
        <v>207.91800000000001</v>
      </c>
      <c r="H422" t="b">
        <v>1</v>
      </c>
      <c r="I422" t="b">
        <v>1</v>
      </c>
      <c r="J422">
        <v>100</v>
      </c>
      <c r="K422">
        <v>4</v>
      </c>
      <c r="L422">
        <v>4</v>
      </c>
      <c r="M422">
        <v>0</v>
      </c>
      <c r="N422">
        <v>2</v>
      </c>
      <c r="O422">
        <v>2</v>
      </c>
      <c r="P422">
        <v>0</v>
      </c>
      <c r="Q422">
        <v>2</v>
      </c>
      <c r="R422">
        <v>2</v>
      </c>
      <c r="S422">
        <v>0</v>
      </c>
      <c r="T422">
        <v>4</v>
      </c>
      <c r="U422">
        <v>3</v>
      </c>
      <c r="V422">
        <v>0</v>
      </c>
      <c r="W422">
        <v>0</v>
      </c>
    </row>
    <row r="423" spans="1:23" x14ac:dyDescent="0.3">
      <c r="A423">
        <v>37</v>
      </c>
      <c r="B423">
        <v>3</v>
      </c>
      <c r="C423">
        <v>1</v>
      </c>
      <c r="D423">
        <v>1</v>
      </c>
      <c r="E423" t="s">
        <v>486</v>
      </c>
      <c r="F423" t="s">
        <v>487</v>
      </c>
      <c r="G423">
        <v>230.917</v>
      </c>
      <c r="H423" t="b">
        <v>0</v>
      </c>
      <c r="I423" t="b">
        <v>0</v>
      </c>
      <c r="J423">
        <v>100</v>
      </c>
      <c r="K423">
        <v>4</v>
      </c>
      <c r="L423">
        <v>4</v>
      </c>
      <c r="M423">
        <v>0</v>
      </c>
      <c r="N423">
        <v>2</v>
      </c>
      <c r="O423">
        <v>2</v>
      </c>
      <c r="P423">
        <v>0</v>
      </c>
      <c r="Q423">
        <v>2</v>
      </c>
      <c r="R423">
        <v>2</v>
      </c>
      <c r="S423">
        <v>0</v>
      </c>
      <c r="T423">
        <v>4</v>
      </c>
      <c r="U423">
        <v>3</v>
      </c>
      <c r="V423">
        <v>0</v>
      </c>
      <c r="W423">
        <v>0</v>
      </c>
    </row>
    <row r="424" spans="1:23" x14ac:dyDescent="0.3">
      <c r="A424">
        <v>37</v>
      </c>
      <c r="B424">
        <v>3</v>
      </c>
      <c r="C424">
        <v>1</v>
      </c>
      <c r="D424">
        <v>2</v>
      </c>
      <c r="E424" t="s">
        <v>487</v>
      </c>
      <c r="F424" t="s">
        <v>488</v>
      </c>
      <c r="G424">
        <v>207.62200000000001</v>
      </c>
      <c r="H424" t="b">
        <v>0</v>
      </c>
      <c r="I424" t="b">
        <v>0</v>
      </c>
      <c r="J424">
        <v>100</v>
      </c>
      <c r="K424">
        <v>4</v>
      </c>
      <c r="L424">
        <v>4</v>
      </c>
      <c r="M424">
        <v>0</v>
      </c>
      <c r="N424">
        <v>2</v>
      </c>
      <c r="O424">
        <v>2</v>
      </c>
      <c r="P424">
        <v>0</v>
      </c>
      <c r="Q424">
        <v>2</v>
      </c>
      <c r="R424">
        <v>2</v>
      </c>
      <c r="S424">
        <v>0</v>
      </c>
      <c r="T424">
        <v>4</v>
      </c>
      <c r="U424">
        <v>4</v>
      </c>
      <c r="V424">
        <v>0</v>
      </c>
      <c r="W424">
        <v>0</v>
      </c>
    </row>
    <row r="425" spans="1:23" x14ac:dyDescent="0.3">
      <c r="A425">
        <v>3</v>
      </c>
      <c r="B425">
        <v>1</v>
      </c>
      <c r="C425">
        <v>1</v>
      </c>
      <c r="D425">
        <v>1</v>
      </c>
      <c r="E425" t="s">
        <v>489</v>
      </c>
      <c r="F425" t="s">
        <v>490</v>
      </c>
      <c r="G425">
        <v>7.0000000000000001E-3</v>
      </c>
      <c r="H425" t="b">
        <v>0</v>
      </c>
      <c r="I425" t="b">
        <v>0</v>
      </c>
      <c r="J425">
        <v>100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x14ac:dyDescent="0.3">
      <c r="A426">
        <v>3</v>
      </c>
      <c r="B426">
        <v>1</v>
      </c>
      <c r="C426">
        <v>1</v>
      </c>
      <c r="D426">
        <v>1</v>
      </c>
      <c r="E426" t="s">
        <v>491</v>
      </c>
      <c r="F426" t="s">
        <v>492</v>
      </c>
      <c r="G426">
        <v>142.673</v>
      </c>
      <c r="H426" t="b">
        <v>0</v>
      </c>
      <c r="I426" t="b">
        <v>0</v>
      </c>
      <c r="J426">
        <v>100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 x14ac:dyDescent="0.3">
      <c r="A427">
        <v>3</v>
      </c>
      <c r="B427">
        <v>1</v>
      </c>
      <c r="C427">
        <v>1</v>
      </c>
      <c r="D427">
        <v>2</v>
      </c>
      <c r="E427" t="s">
        <v>492</v>
      </c>
      <c r="F427" t="s">
        <v>493</v>
      </c>
      <c r="G427">
        <v>236.899</v>
      </c>
      <c r="H427" t="b">
        <v>0</v>
      </c>
      <c r="I427" t="b">
        <v>0</v>
      </c>
      <c r="J427">
        <v>100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1</v>
      </c>
      <c r="V427">
        <v>0</v>
      </c>
      <c r="W427">
        <v>0</v>
      </c>
    </row>
    <row r="428" spans="1:23" x14ac:dyDescent="0.3">
      <c r="A428">
        <v>3</v>
      </c>
      <c r="B428">
        <v>1</v>
      </c>
      <c r="C428">
        <v>1</v>
      </c>
      <c r="D428">
        <v>3</v>
      </c>
      <c r="E428" t="s">
        <v>493</v>
      </c>
      <c r="F428" t="s">
        <v>494</v>
      </c>
      <c r="G428">
        <v>3.0000000000000001E-3</v>
      </c>
      <c r="H428" t="b">
        <v>0</v>
      </c>
      <c r="I428" t="b">
        <v>0</v>
      </c>
      <c r="J428">
        <v>100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3">
      <c r="A429">
        <v>41</v>
      </c>
      <c r="B429">
        <v>1</v>
      </c>
      <c r="C429">
        <v>1</v>
      </c>
      <c r="D429">
        <v>1</v>
      </c>
      <c r="E429" t="s">
        <v>495</v>
      </c>
      <c r="F429" t="s">
        <v>496</v>
      </c>
      <c r="G429">
        <v>172.899</v>
      </c>
      <c r="H429" t="b">
        <v>0</v>
      </c>
      <c r="I429" t="b">
        <v>0</v>
      </c>
      <c r="J429">
        <v>100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</row>
    <row r="430" spans="1:23" x14ac:dyDescent="0.3">
      <c r="A430">
        <v>41</v>
      </c>
      <c r="B430">
        <v>1</v>
      </c>
      <c r="C430">
        <v>1</v>
      </c>
      <c r="D430">
        <v>2</v>
      </c>
      <c r="E430" t="s">
        <v>496</v>
      </c>
      <c r="F430" t="s">
        <v>497</v>
      </c>
      <c r="G430">
        <v>189.089</v>
      </c>
      <c r="H430" t="b">
        <v>0</v>
      </c>
      <c r="I430" t="b">
        <v>1</v>
      </c>
      <c r="J430">
        <v>75</v>
      </c>
      <c r="K430">
        <v>4</v>
      </c>
      <c r="L430">
        <v>3</v>
      </c>
      <c r="M430">
        <v>1</v>
      </c>
      <c r="N430">
        <v>2</v>
      </c>
      <c r="O430">
        <v>2</v>
      </c>
      <c r="P430">
        <v>0</v>
      </c>
      <c r="Q430">
        <v>2</v>
      </c>
      <c r="R430">
        <v>1</v>
      </c>
      <c r="S430">
        <v>1</v>
      </c>
      <c r="T430">
        <v>4</v>
      </c>
      <c r="U430">
        <v>3</v>
      </c>
      <c r="V430">
        <v>0</v>
      </c>
      <c r="W430">
        <v>0</v>
      </c>
    </row>
    <row r="431" spans="1:23" x14ac:dyDescent="0.3">
      <c r="A431">
        <v>41</v>
      </c>
      <c r="B431">
        <v>1</v>
      </c>
      <c r="C431">
        <v>2</v>
      </c>
      <c r="D431">
        <v>1</v>
      </c>
      <c r="E431" t="s">
        <v>497</v>
      </c>
      <c r="F431" t="s">
        <v>498</v>
      </c>
      <c r="G431">
        <v>293.10599999999999</v>
      </c>
      <c r="H431" t="b">
        <v>0</v>
      </c>
      <c r="I431" t="b">
        <v>0</v>
      </c>
      <c r="J431">
        <v>75</v>
      </c>
      <c r="K431">
        <v>3</v>
      </c>
      <c r="L431">
        <v>3</v>
      </c>
      <c r="M431">
        <v>0</v>
      </c>
      <c r="N431">
        <v>2</v>
      </c>
      <c r="O431">
        <v>2</v>
      </c>
      <c r="P431">
        <v>0</v>
      </c>
      <c r="Q431">
        <v>1</v>
      </c>
      <c r="R431">
        <v>1</v>
      </c>
      <c r="S431">
        <v>0</v>
      </c>
      <c r="T431">
        <v>4</v>
      </c>
      <c r="U431">
        <v>2</v>
      </c>
      <c r="V431">
        <v>1</v>
      </c>
      <c r="W431">
        <v>1</v>
      </c>
    </row>
    <row r="432" spans="1:23" x14ac:dyDescent="0.3">
      <c r="A432">
        <v>41</v>
      </c>
      <c r="B432">
        <v>1</v>
      </c>
      <c r="C432">
        <v>3</v>
      </c>
      <c r="D432">
        <v>1</v>
      </c>
      <c r="E432" t="s">
        <v>498</v>
      </c>
      <c r="F432" t="s">
        <v>499</v>
      </c>
      <c r="G432">
        <v>120.66500000000001</v>
      </c>
      <c r="H432" t="b">
        <v>0</v>
      </c>
      <c r="I432" t="b">
        <v>0</v>
      </c>
      <c r="J432">
        <v>100</v>
      </c>
      <c r="K432">
        <v>2</v>
      </c>
      <c r="L432">
        <v>2</v>
      </c>
      <c r="M432">
        <v>0</v>
      </c>
      <c r="N432">
        <v>2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</row>
    <row r="433" spans="1:23" x14ac:dyDescent="0.3">
      <c r="A433">
        <v>41</v>
      </c>
      <c r="B433">
        <v>1</v>
      </c>
      <c r="C433">
        <v>3</v>
      </c>
      <c r="D433">
        <v>2</v>
      </c>
      <c r="E433" t="s">
        <v>499</v>
      </c>
      <c r="F433" t="s">
        <v>500</v>
      </c>
      <c r="G433">
        <v>155.22499999999999</v>
      </c>
      <c r="H433" t="b">
        <v>0</v>
      </c>
      <c r="I433" t="b">
        <v>0</v>
      </c>
      <c r="J433">
        <v>75</v>
      </c>
      <c r="K433">
        <v>4</v>
      </c>
      <c r="L433">
        <v>3</v>
      </c>
      <c r="M433">
        <v>1</v>
      </c>
      <c r="N433">
        <v>2</v>
      </c>
      <c r="O433">
        <v>2</v>
      </c>
      <c r="P433">
        <v>0</v>
      </c>
      <c r="Q433">
        <v>2</v>
      </c>
      <c r="R433">
        <v>1</v>
      </c>
      <c r="S433">
        <v>1</v>
      </c>
      <c r="T433">
        <v>4</v>
      </c>
      <c r="U433">
        <v>3</v>
      </c>
      <c r="V433">
        <v>0</v>
      </c>
      <c r="W433">
        <v>0</v>
      </c>
    </row>
    <row r="434" spans="1:23" x14ac:dyDescent="0.3">
      <c r="A434">
        <v>41</v>
      </c>
      <c r="B434">
        <v>1</v>
      </c>
      <c r="C434">
        <v>3</v>
      </c>
      <c r="D434">
        <v>3</v>
      </c>
      <c r="E434" t="s">
        <v>500</v>
      </c>
      <c r="F434" t="s">
        <v>501</v>
      </c>
      <c r="G434">
        <v>120.06399999999999</v>
      </c>
      <c r="H434" t="b">
        <v>0</v>
      </c>
      <c r="I434" t="b">
        <v>1</v>
      </c>
      <c r="J434">
        <v>75</v>
      </c>
      <c r="K434">
        <v>4</v>
      </c>
      <c r="L434">
        <v>2</v>
      </c>
      <c r="M434">
        <v>2</v>
      </c>
      <c r="N434">
        <v>2</v>
      </c>
      <c r="O434">
        <v>2</v>
      </c>
      <c r="P434">
        <v>0</v>
      </c>
      <c r="Q434">
        <v>2</v>
      </c>
      <c r="R434">
        <v>0</v>
      </c>
      <c r="S434">
        <v>2</v>
      </c>
      <c r="T434">
        <v>4</v>
      </c>
      <c r="U434">
        <v>3</v>
      </c>
      <c r="V434">
        <v>0</v>
      </c>
      <c r="W434">
        <v>0</v>
      </c>
    </row>
    <row r="435" spans="1:23" x14ac:dyDescent="0.3">
      <c r="A435">
        <v>41</v>
      </c>
      <c r="B435">
        <v>1</v>
      </c>
      <c r="C435">
        <v>3</v>
      </c>
      <c r="D435">
        <v>4</v>
      </c>
      <c r="E435" t="s">
        <v>501</v>
      </c>
      <c r="F435" t="s">
        <v>502</v>
      </c>
      <c r="G435">
        <v>135.006</v>
      </c>
      <c r="H435" t="b">
        <v>1</v>
      </c>
      <c r="I435" t="b">
        <v>1</v>
      </c>
      <c r="J435">
        <v>100</v>
      </c>
      <c r="K435">
        <v>4</v>
      </c>
      <c r="L435">
        <v>4</v>
      </c>
      <c r="M435">
        <v>0</v>
      </c>
      <c r="N435">
        <v>2</v>
      </c>
      <c r="O435">
        <v>2</v>
      </c>
      <c r="P435">
        <v>0</v>
      </c>
      <c r="Q435">
        <v>2</v>
      </c>
      <c r="R435">
        <v>2</v>
      </c>
      <c r="S435">
        <v>0</v>
      </c>
      <c r="T435">
        <v>4</v>
      </c>
      <c r="U435">
        <v>3</v>
      </c>
      <c r="V435">
        <v>0</v>
      </c>
      <c r="W435">
        <v>0</v>
      </c>
    </row>
    <row r="436" spans="1:23" x14ac:dyDescent="0.3">
      <c r="A436">
        <v>41</v>
      </c>
      <c r="B436">
        <v>1</v>
      </c>
      <c r="C436">
        <v>2</v>
      </c>
      <c r="D436">
        <v>1</v>
      </c>
      <c r="E436" t="s">
        <v>502</v>
      </c>
      <c r="F436" t="s">
        <v>503</v>
      </c>
      <c r="G436">
        <v>3.0000000000000001E-3</v>
      </c>
      <c r="H436" t="b">
        <v>0</v>
      </c>
      <c r="I436" t="b">
        <v>0</v>
      </c>
      <c r="J436">
        <v>100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3">
      <c r="A437">
        <v>42</v>
      </c>
      <c r="B437">
        <v>1</v>
      </c>
      <c r="C437">
        <v>1</v>
      </c>
      <c r="D437">
        <v>1</v>
      </c>
      <c r="E437" t="s">
        <v>504</v>
      </c>
      <c r="F437" t="s">
        <v>505</v>
      </c>
      <c r="G437">
        <v>160.72900000000001</v>
      </c>
      <c r="H437" t="b">
        <v>0</v>
      </c>
      <c r="I437" t="b">
        <v>0</v>
      </c>
      <c r="J437">
        <v>100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0</v>
      </c>
    </row>
    <row r="438" spans="1:23" x14ac:dyDescent="0.3">
      <c r="A438">
        <v>42</v>
      </c>
      <c r="B438">
        <v>1</v>
      </c>
      <c r="C438">
        <v>1</v>
      </c>
      <c r="D438">
        <v>2</v>
      </c>
      <c r="E438" t="s">
        <v>505</v>
      </c>
      <c r="F438" t="s">
        <v>506</v>
      </c>
      <c r="G438">
        <v>165.31200000000001</v>
      </c>
      <c r="H438" t="b">
        <v>0</v>
      </c>
      <c r="I438" t="b">
        <v>0</v>
      </c>
      <c r="J438">
        <v>100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</row>
    <row r="439" spans="1:23" x14ac:dyDescent="0.3">
      <c r="A439">
        <v>42</v>
      </c>
      <c r="B439">
        <v>1</v>
      </c>
      <c r="C439">
        <v>2</v>
      </c>
      <c r="D439">
        <v>1</v>
      </c>
      <c r="E439" t="s">
        <v>506</v>
      </c>
      <c r="F439" t="s">
        <v>507</v>
      </c>
      <c r="G439">
        <v>231.48</v>
      </c>
      <c r="H439" t="b">
        <v>0</v>
      </c>
      <c r="I439" t="b">
        <v>0</v>
      </c>
      <c r="J439">
        <v>75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2</v>
      </c>
      <c r="U439">
        <v>1</v>
      </c>
      <c r="V439">
        <v>1</v>
      </c>
      <c r="W439">
        <v>1</v>
      </c>
    </row>
    <row r="440" spans="1:23" x14ac:dyDescent="0.3">
      <c r="A440">
        <v>42</v>
      </c>
      <c r="B440">
        <v>1</v>
      </c>
      <c r="C440">
        <v>2</v>
      </c>
      <c r="D440">
        <v>2</v>
      </c>
      <c r="E440" t="s">
        <v>507</v>
      </c>
      <c r="F440" t="s">
        <v>508</v>
      </c>
      <c r="G440">
        <v>211.47800000000001</v>
      </c>
      <c r="H440" t="b">
        <v>0</v>
      </c>
      <c r="I440" t="b">
        <v>0</v>
      </c>
      <c r="J440">
        <v>75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</v>
      </c>
      <c r="U440">
        <v>0</v>
      </c>
      <c r="V440">
        <v>1</v>
      </c>
      <c r="W440">
        <v>1</v>
      </c>
    </row>
    <row r="441" spans="1:23" x14ac:dyDescent="0.3">
      <c r="A441">
        <v>42</v>
      </c>
      <c r="B441">
        <v>1</v>
      </c>
      <c r="C441">
        <v>2</v>
      </c>
      <c r="D441">
        <v>3</v>
      </c>
      <c r="E441" t="s">
        <v>508</v>
      </c>
      <c r="F441" t="s">
        <v>509</v>
      </c>
      <c r="G441">
        <v>359.71899999999999</v>
      </c>
      <c r="H441" t="b">
        <v>0</v>
      </c>
      <c r="I441" t="b">
        <v>0</v>
      </c>
      <c r="J441">
        <v>100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</v>
      </c>
      <c r="U441">
        <v>2</v>
      </c>
      <c r="V441">
        <v>0</v>
      </c>
      <c r="W441">
        <v>0</v>
      </c>
    </row>
    <row r="442" spans="1:23" x14ac:dyDescent="0.3">
      <c r="A442">
        <v>42</v>
      </c>
      <c r="B442">
        <v>1</v>
      </c>
      <c r="C442">
        <v>1</v>
      </c>
      <c r="D442">
        <v>1</v>
      </c>
      <c r="E442" t="s">
        <v>509</v>
      </c>
      <c r="F442" t="s">
        <v>510</v>
      </c>
      <c r="G442">
        <v>3.0000000000000001E-3</v>
      </c>
      <c r="H442" t="b">
        <v>0</v>
      </c>
      <c r="I442" t="b">
        <v>0</v>
      </c>
      <c r="J442">
        <v>100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3">
      <c r="A443">
        <v>43</v>
      </c>
      <c r="B443">
        <v>1</v>
      </c>
      <c r="C443">
        <v>1</v>
      </c>
      <c r="D443">
        <v>1</v>
      </c>
      <c r="E443" t="s">
        <v>511</v>
      </c>
      <c r="F443" t="s">
        <v>512</v>
      </c>
      <c r="G443">
        <v>215.078</v>
      </c>
      <c r="H443" t="b">
        <v>0</v>
      </c>
      <c r="I443" t="b">
        <v>0</v>
      </c>
      <c r="J443">
        <v>100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</row>
    <row r="444" spans="1:23" x14ac:dyDescent="0.3">
      <c r="A444">
        <v>43</v>
      </c>
      <c r="B444">
        <v>1</v>
      </c>
      <c r="C444">
        <v>1</v>
      </c>
      <c r="D444">
        <v>2</v>
      </c>
      <c r="E444" t="s">
        <v>512</v>
      </c>
      <c r="F444" t="s">
        <v>513</v>
      </c>
      <c r="G444">
        <v>157.68700000000001</v>
      </c>
      <c r="H444" t="b">
        <v>0</v>
      </c>
      <c r="I444" t="b">
        <v>0</v>
      </c>
      <c r="J444">
        <v>100</v>
      </c>
      <c r="K444">
        <v>2</v>
      </c>
      <c r="L444">
        <v>2</v>
      </c>
      <c r="M444">
        <v>0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2</v>
      </c>
      <c r="U444">
        <v>2</v>
      </c>
      <c r="V444">
        <v>0</v>
      </c>
      <c r="W444">
        <v>0</v>
      </c>
    </row>
    <row r="445" spans="1:23" x14ac:dyDescent="0.3">
      <c r="A445">
        <v>43</v>
      </c>
      <c r="B445">
        <v>1</v>
      </c>
      <c r="C445">
        <v>1</v>
      </c>
      <c r="D445">
        <v>3</v>
      </c>
      <c r="E445" t="s">
        <v>513</v>
      </c>
      <c r="F445" t="s">
        <v>514</v>
      </c>
      <c r="G445">
        <v>142.459</v>
      </c>
      <c r="H445" t="b">
        <v>0</v>
      </c>
      <c r="I445" t="b">
        <v>0</v>
      </c>
      <c r="J445">
        <v>100</v>
      </c>
      <c r="K445">
        <v>2</v>
      </c>
      <c r="L445">
        <v>2</v>
      </c>
      <c r="M445">
        <v>0</v>
      </c>
      <c r="N445">
        <v>1</v>
      </c>
      <c r="O445">
        <v>1</v>
      </c>
      <c r="P445">
        <v>0</v>
      </c>
      <c r="Q445">
        <v>1</v>
      </c>
      <c r="R445">
        <v>1</v>
      </c>
      <c r="S445">
        <v>0</v>
      </c>
      <c r="T445">
        <v>2</v>
      </c>
      <c r="U445">
        <v>1</v>
      </c>
      <c r="V445">
        <v>0</v>
      </c>
      <c r="W445">
        <v>0</v>
      </c>
    </row>
    <row r="446" spans="1:23" x14ac:dyDescent="0.3">
      <c r="A446">
        <v>43</v>
      </c>
      <c r="B446">
        <v>1</v>
      </c>
      <c r="C446">
        <v>1</v>
      </c>
      <c r="D446">
        <v>4</v>
      </c>
      <c r="E446" t="s">
        <v>514</v>
      </c>
      <c r="F446" t="s">
        <v>515</v>
      </c>
      <c r="G446">
        <v>80.466999999999999</v>
      </c>
      <c r="H446" t="b">
        <v>0</v>
      </c>
      <c r="I446" t="b">
        <v>0</v>
      </c>
      <c r="J446">
        <v>75</v>
      </c>
      <c r="K446">
        <v>2</v>
      </c>
      <c r="L446">
        <v>1</v>
      </c>
      <c r="M446">
        <v>1</v>
      </c>
      <c r="N446">
        <v>1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2</v>
      </c>
      <c r="U446">
        <v>1</v>
      </c>
      <c r="V446">
        <v>0</v>
      </c>
      <c r="W446">
        <v>0</v>
      </c>
    </row>
    <row r="447" spans="1:23" x14ac:dyDescent="0.3">
      <c r="A447">
        <v>43</v>
      </c>
      <c r="B447">
        <v>1</v>
      </c>
      <c r="C447">
        <v>1</v>
      </c>
      <c r="D447">
        <v>5</v>
      </c>
      <c r="E447" t="s">
        <v>515</v>
      </c>
      <c r="F447" t="s">
        <v>516</v>
      </c>
      <c r="G447">
        <v>65.7</v>
      </c>
      <c r="H447" t="b">
        <v>0</v>
      </c>
      <c r="I447" t="b">
        <v>0</v>
      </c>
      <c r="J447">
        <v>75</v>
      </c>
      <c r="K447">
        <v>2</v>
      </c>
      <c r="L447">
        <v>1</v>
      </c>
      <c r="M447">
        <v>1</v>
      </c>
      <c r="N447">
        <v>1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2</v>
      </c>
      <c r="U447">
        <v>1</v>
      </c>
      <c r="V447">
        <v>0</v>
      </c>
      <c r="W447">
        <v>0</v>
      </c>
    </row>
    <row r="448" spans="1:23" x14ac:dyDescent="0.3">
      <c r="A448">
        <v>43</v>
      </c>
      <c r="B448">
        <v>1</v>
      </c>
      <c r="C448">
        <v>1</v>
      </c>
      <c r="D448">
        <v>6</v>
      </c>
      <c r="E448" t="s">
        <v>516</v>
      </c>
      <c r="F448" t="s">
        <v>517</v>
      </c>
      <c r="G448">
        <v>163.53700000000001</v>
      </c>
      <c r="H448" t="b">
        <v>0</v>
      </c>
      <c r="I448" t="b">
        <v>0</v>
      </c>
      <c r="J448">
        <v>100</v>
      </c>
      <c r="K448">
        <v>3</v>
      </c>
      <c r="L448">
        <v>3</v>
      </c>
      <c r="M448">
        <v>0</v>
      </c>
      <c r="N448">
        <v>1</v>
      </c>
      <c r="O448">
        <v>1</v>
      </c>
      <c r="P448">
        <v>0</v>
      </c>
      <c r="Q448">
        <v>2</v>
      </c>
      <c r="R448">
        <v>2</v>
      </c>
      <c r="S448">
        <v>0</v>
      </c>
      <c r="T448">
        <v>4</v>
      </c>
      <c r="U448">
        <v>3</v>
      </c>
      <c r="V448">
        <v>0</v>
      </c>
      <c r="W448">
        <v>0</v>
      </c>
    </row>
    <row r="449" spans="1:23" x14ac:dyDescent="0.3">
      <c r="A449">
        <v>43</v>
      </c>
      <c r="B449">
        <v>1</v>
      </c>
      <c r="C449">
        <v>1</v>
      </c>
      <c r="D449">
        <v>7</v>
      </c>
      <c r="E449" t="s">
        <v>517</v>
      </c>
      <c r="F449" t="s">
        <v>518</v>
      </c>
      <c r="G449">
        <v>143.16300000000001</v>
      </c>
      <c r="H449" t="b">
        <v>0</v>
      </c>
      <c r="I449" t="b">
        <v>0</v>
      </c>
      <c r="J449">
        <v>100</v>
      </c>
      <c r="K449">
        <v>2</v>
      </c>
      <c r="L449">
        <v>2</v>
      </c>
      <c r="M449">
        <v>0</v>
      </c>
      <c r="N449">
        <v>1</v>
      </c>
      <c r="O449">
        <v>1</v>
      </c>
      <c r="P449">
        <v>0</v>
      </c>
      <c r="Q449">
        <v>1</v>
      </c>
      <c r="R449">
        <v>1</v>
      </c>
      <c r="S449">
        <v>0</v>
      </c>
      <c r="T449">
        <v>2</v>
      </c>
      <c r="U449">
        <v>1</v>
      </c>
      <c r="V449">
        <v>0</v>
      </c>
      <c r="W449">
        <v>0</v>
      </c>
    </row>
    <row r="450" spans="1:23" x14ac:dyDescent="0.3">
      <c r="A450">
        <v>43</v>
      </c>
      <c r="B450">
        <v>1</v>
      </c>
      <c r="C450">
        <v>1</v>
      </c>
      <c r="D450">
        <v>8</v>
      </c>
      <c r="E450" t="s">
        <v>518</v>
      </c>
      <c r="F450" t="s">
        <v>519</v>
      </c>
      <c r="G450">
        <v>131.86600000000001</v>
      </c>
      <c r="H450" t="b">
        <v>0</v>
      </c>
      <c r="I450" t="b">
        <v>0</v>
      </c>
      <c r="J450">
        <v>100</v>
      </c>
      <c r="K450">
        <v>2</v>
      </c>
      <c r="L450">
        <v>2</v>
      </c>
      <c r="M450">
        <v>0</v>
      </c>
      <c r="N450">
        <v>1</v>
      </c>
      <c r="O450">
        <v>1</v>
      </c>
      <c r="P450">
        <v>0</v>
      </c>
      <c r="Q450">
        <v>1</v>
      </c>
      <c r="R450">
        <v>1</v>
      </c>
      <c r="S450">
        <v>0</v>
      </c>
      <c r="T450">
        <v>1</v>
      </c>
      <c r="U450">
        <v>0</v>
      </c>
      <c r="V450">
        <v>0</v>
      </c>
      <c r="W450">
        <v>0</v>
      </c>
    </row>
    <row r="451" spans="1:23" x14ac:dyDescent="0.3">
      <c r="A451">
        <v>43</v>
      </c>
      <c r="B451">
        <v>1</v>
      </c>
      <c r="C451">
        <v>1</v>
      </c>
      <c r="D451">
        <v>9</v>
      </c>
      <c r="E451" t="s">
        <v>519</v>
      </c>
      <c r="F451" t="s">
        <v>520</v>
      </c>
      <c r="G451">
        <v>165.203</v>
      </c>
      <c r="H451" t="b">
        <v>0</v>
      </c>
      <c r="I451" t="b">
        <v>0</v>
      </c>
      <c r="J451">
        <v>100</v>
      </c>
      <c r="K451">
        <v>3</v>
      </c>
      <c r="L451">
        <v>3</v>
      </c>
      <c r="M451">
        <v>0</v>
      </c>
      <c r="N451">
        <v>2</v>
      </c>
      <c r="O451">
        <v>2</v>
      </c>
      <c r="P451">
        <v>0</v>
      </c>
      <c r="Q451">
        <v>1</v>
      </c>
      <c r="R451">
        <v>1</v>
      </c>
      <c r="S451">
        <v>0</v>
      </c>
      <c r="T451">
        <v>2</v>
      </c>
      <c r="U451">
        <v>1</v>
      </c>
      <c r="V451">
        <v>0</v>
      </c>
      <c r="W451">
        <v>0</v>
      </c>
    </row>
    <row r="452" spans="1:23" x14ac:dyDescent="0.3">
      <c r="A452">
        <v>43</v>
      </c>
      <c r="B452">
        <v>1</v>
      </c>
      <c r="C452">
        <v>1</v>
      </c>
      <c r="D452">
        <v>10</v>
      </c>
      <c r="E452" t="s">
        <v>520</v>
      </c>
      <c r="F452" t="s">
        <v>521</v>
      </c>
      <c r="G452">
        <v>59.692999999999998</v>
      </c>
      <c r="H452" t="b">
        <v>0</v>
      </c>
      <c r="I452" t="b">
        <v>0</v>
      </c>
      <c r="J452">
        <v>100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</v>
      </c>
      <c r="U452">
        <v>1</v>
      </c>
      <c r="V452">
        <v>0</v>
      </c>
      <c r="W452">
        <v>0</v>
      </c>
    </row>
    <row r="453" spans="1:23" x14ac:dyDescent="0.3">
      <c r="A453">
        <v>43</v>
      </c>
      <c r="B453">
        <v>5</v>
      </c>
      <c r="C453">
        <v>1</v>
      </c>
      <c r="D453">
        <v>1</v>
      </c>
      <c r="E453" t="s">
        <v>522</v>
      </c>
      <c r="F453" t="s">
        <v>523</v>
      </c>
      <c r="G453">
        <v>252.22900000000001</v>
      </c>
      <c r="H453" t="b">
        <v>0</v>
      </c>
      <c r="I453" t="b">
        <v>0</v>
      </c>
      <c r="J453">
        <v>100</v>
      </c>
      <c r="K453">
        <v>2</v>
      </c>
      <c r="L453">
        <v>2</v>
      </c>
      <c r="M453">
        <v>0</v>
      </c>
      <c r="N453">
        <v>1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2</v>
      </c>
      <c r="U453">
        <v>1</v>
      </c>
      <c r="V453">
        <v>0</v>
      </c>
      <c r="W453">
        <v>0</v>
      </c>
    </row>
    <row r="454" spans="1:23" x14ac:dyDescent="0.3">
      <c r="A454">
        <v>43</v>
      </c>
      <c r="B454">
        <v>5</v>
      </c>
      <c r="C454">
        <v>1</v>
      </c>
      <c r="D454">
        <v>2</v>
      </c>
      <c r="E454" t="s">
        <v>523</v>
      </c>
      <c r="F454" t="s">
        <v>524</v>
      </c>
      <c r="G454">
        <v>122.80500000000001</v>
      </c>
      <c r="H454" t="b">
        <v>0</v>
      </c>
      <c r="I454" t="b">
        <v>0</v>
      </c>
      <c r="J454">
        <v>75</v>
      </c>
      <c r="K454">
        <v>1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0</v>
      </c>
    </row>
    <row r="455" spans="1:23" x14ac:dyDescent="0.3">
      <c r="A455">
        <v>43</v>
      </c>
      <c r="B455">
        <v>5</v>
      </c>
      <c r="C455">
        <v>1</v>
      </c>
      <c r="D455">
        <v>3</v>
      </c>
      <c r="E455" t="s">
        <v>524</v>
      </c>
      <c r="F455" t="s">
        <v>525</v>
      </c>
      <c r="G455">
        <v>171.25800000000001</v>
      </c>
      <c r="H455" t="b">
        <v>0</v>
      </c>
      <c r="I455" t="b">
        <v>0</v>
      </c>
      <c r="J455">
        <v>75</v>
      </c>
      <c r="K455">
        <v>3</v>
      </c>
      <c r="L455">
        <v>2</v>
      </c>
      <c r="M455">
        <v>1</v>
      </c>
      <c r="N455">
        <v>1</v>
      </c>
      <c r="O455">
        <v>1</v>
      </c>
      <c r="P455">
        <v>0</v>
      </c>
      <c r="Q455">
        <v>2</v>
      </c>
      <c r="R455">
        <v>1</v>
      </c>
      <c r="S455">
        <v>1</v>
      </c>
      <c r="T455">
        <v>2</v>
      </c>
      <c r="U455">
        <v>1</v>
      </c>
      <c r="V455">
        <v>0</v>
      </c>
      <c r="W455">
        <v>0</v>
      </c>
    </row>
    <row r="456" spans="1:23" x14ac:dyDescent="0.3">
      <c r="A456">
        <v>43</v>
      </c>
      <c r="B456">
        <v>5</v>
      </c>
      <c r="C456">
        <v>1</v>
      </c>
      <c r="D456">
        <v>4</v>
      </c>
      <c r="E456" t="s">
        <v>525</v>
      </c>
      <c r="F456" t="s">
        <v>526</v>
      </c>
      <c r="G456">
        <v>172.221</v>
      </c>
      <c r="H456" t="b">
        <v>0</v>
      </c>
      <c r="I456" t="b">
        <v>1</v>
      </c>
      <c r="J456">
        <v>75</v>
      </c>
      <c r="K456">
        <v>7</v>
      </c>
      <c r="L456">
        <v>6</v>
      </c>
      <c r="M456">
        <v>1</v>
      </c>
      <c r="N456">
        <v>2</v>
      </c>
      <c r="O456">
        <v>2</v>
      </c>
      <c r="P456">
        <v>0</v>
      </c>
      <c r="Q456">
        <v>5</v>
      </c>
      <c r="R456">
        <v>4</v>
      </c>
      <c r="S456">
        <v>1</v>
      </c>
      <c r="T456">
        <v>4</v>
      </c>
      <c r="U456">
        <v>3</v>
      </c>
      <c r="V456">
        <v>0</v>
      </c>
      <c r="W456">
        <v>0</v>
      </c>
    </row>
    <row r="457" spans="1:23" x14ac:dyDescent="0.3">
      <c r="A457">
        <v>43</v>
      </c>
      <c r="B457">
        <v>5</v>
      </c>
      <c r="C457">
        <v>2</v>
      </c>
      <c r="D457">
        <v>1</v>
      </c>
      <c r="E457" t="s">
        <v>526</v>
      </c>
      <c r="F457" t="s">
        <v>527</v>
      </c>
      <c r="G457">
        <v>250.69399999999999</v>
      </c>
      <c r="H457" t="b">
        <v>0</v>
      </c>
      <c r="I457" t="b">
        <v>1</v>
      </c>
      <c r="J457">
        <v>50</v>
      </c>
      <c r="K457">
        <v>6</v>
      </c>
      <c r="L457">
        <v>5</v>
      </c>
      <c r="M457">
        <v>1</v>
      </c>
      <c r="N457">
        <v>2</v>
      </c>
      <c r="O457">
        <v>2</v>
      </c>
      <c r="P457">
        <v>0</v>
      </c>
      <c r="Q457">
        <v>4</v>
      </c>
      <c r="R457">
        <v>3</v>
      </c>
      <c r="S457">
        <v>1</v>
      </c>
      <c r="T457">
        <v>4</v>
      </c>
      <c r="U457">
        <v>2</v>
      </c>
      <c r="V457">
        <v>2</v>
      </c>
      <c r="W457">
        <v>2</v>
      </c>
    </row>
    <row r="458" spans="1:23" x14ac:dyDescent="0.3">
      <c r="A458">
        <v>43</v>
      </c>
      <c r="B458">
        <v>5</v>
      </c>
      <c r="C458">
        <v>3</v>
      </c>
      <c r="D458">
        <v>1</v>
      </c>
      <c r="E458" t="s">
        <v>527</v>
      </c>
      <c r="F458" t="s">
        <v>528</v>
      </c>
      <c r="G458">
        <v>167.273</v>
      </c>
      <c r="H458" t="b">
        <v>0</v>
      </c>
      <c r="I458" t="b">
        <v>1</v>
      </c>
      <c r="J458">
        <v>75</v>
      </c>
      <c r="K458">
        <v>7</v>
      </c>
      <c r="L458">
        <v>4</v>
      </c>
      <c r="M458">
        <v>3</v>
      </c>
      <c r="N458">
        <v>2</v>
      </c>
      <c r="O458">
        <v>2</v>
      </c>
      <c r="P458">
        <v>0</v>
      </c>
      <c r="Q458">
        <v>5</v>
      </c>
      <c r="R458">
        <v>2</v>
      </c>
      <c r="S458">
        <v>3</v>
      </c>
      <c r="T458">
        <v>4</v>
      </c>
      <c r="U458">
        <v>3</v>
      </c>
      <c r="V458">
        <v>0</v>
      </c>
      <c r="W458">
        <v>0</v>
      </c>
    </row>
    <row r="459" spans="1:23" x14ac:dyDescent="0.3">
      <c r="A459">
        <v>43</v>
      </c>
      <c r="B459">
        <v>5</v>
      </c>
      <c r="C459">
        <v>3</v>
      </c>
      <c r="D459">
        <v>2</v>
      </c>
      <c r="E459" t="s">
        <v>528</v>
      </c>
      <c r="F459" t="s">
        <v>529</v>
      </c>
      <c r="G459">
        <v>108.983</v>
      </c>
      <c r="H459" t="b">
        <v>1</v>
      </c>
      <c r="I459" t="b">
        <v>1</v>
      </c>
      <c r="J459">
        <v>100</v>
      </c>
      <c r="K459">
        <v>7</v>
      </c>
      <c r="L459">
        <v>7</v>
      </c>
      <c r="M459">
        <v>0</v>
      </c>
      <c r="N459">
        <v>2</v>
      </c>
      <c r="O459">
        <v>2</v>
      </c>
      <c r="P459">
        <v>0</v>
      </c>
      <c r="Q459">
        <v>5</v>
      </c>
      <c r="R459">
        <v>5</v>
      </c>
      <c r="S459">
        <v>0</v>
      </c>
      <c r="T459">
        <v>4</v>
      </c>
      <c r="U459">
        <v>3</v>
      </c>
      <c r="V459">
        <v>0</v>
      </c>
      <c r="W459">
        <v>0</v>
      </c>
    </row>
    <row r="460" spans="1:23" x14ac:dyDescent="0.3">
      <c r="A460">
        <v>44</v>
      </c>
      <c r="B460">
        <v>1</v>
      </c>
      <c r="C460">
        <v>1</v>
      </c>
      <c r="D460">
        <v>1</v>
      </c>
      <c r="E460" t="s">
        <v>530</v>
      </c>
      <c r="F460" t="s">
        <v>531</v>
      </c>
      <c r="G460">
        <v>213.15899999999999</v>
      </c>
      <c r="H460" t="b">
        <v>0</v>
      </c>
      <c r="I460" t="b">
        <v>0</v>
      </c>
      <c r="J460">
        <v>100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0</v>
      </c>
      <c r="W460">
        <v>0</v>
      </c>
    </row>
    <row r="461" spans="1:23" x14ac:dyDescent="0.3">
      <c r="A461">
        <v>44</v>
      </c>
      <c r="B461">
        <v>1</v>
      </c>
      <c r="C461">
        <v>2</v>
      </c>
      <c r="D461">
        <v>1</v>
      </c>
      <c r="E461" t="s">
        <v>531</v>
      </c>
      <c r="F461" t="s">
        <v>532</v>
      </c>
      <c r="G461">
        <v>266.80399999999997</v>
      </c>
      <c r="H461" t="b">
        <v>0</v>
      </c>
      <c r="I461" t="b">
        <v>0</v>
      </c>
      <c r="J461">
        <v>75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</v>
      </c>
      <c r="U461">
        <v>1</v>
      </c>
      <c r="V461">
        <v>1</v>
      </c>
      <c r="W461">
        <v>1</v>
      </c>
    </row>
    <row r="462" spans="1:23" x14ac:dyDescent="0.3">
      <c r="A462">
        <v>44</v>
      </c>
      <c r="B462">
        <v>1</v>
      </c>
      <c r="C462">
        <v>2</v>
      </c>
      <c r="D462">
        <v>2</v>
      </c>
      <c r="E462" t="s">
        <v>532</v>
      </c>
      <c r="F462" t="s">
        <v>533</v>
      </c>
      <c r="G462">
        <v>240.55500000000001</v>
      </c>
      <c r="H462" t="b">
        <v>0</v>
      </c>
      <c r="I462" t="b">
        <v>0</v>
      </c>
      <c r="J462">
        <v>100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2</v>
      </c>
      <c r="U462">
        <v>2</v>
      </c>
      <c r="V462">
        <v>0</v>
      </c>
      <c r="W462">
        <v>0</v>
      </c>
    </row>
    <row r="463" spans="1:23" x14ac:dyDescent="0.3">
      <c r="A463">
        <v>44</v>
      </c>
      <c r="B463">
        <v>1</v>
      </c>
      <c r="C463">
        <v>2</v>
      </c>
      <c r="D463">
        <v>3</v>
      </c>
      <c r="E463" t="s">
        <v>533</v>
      </c>
      <c r="F463" t="s">
        <v>534</v>
      </c>
      <c r="G463">
        <v>24.231000000000002</v>
      </c>
      <c r="H463" t="b">
        <v>0</v>
      </c>
      <c r="I463" t="b">
        <v>0</v>
      </c>
      <c r="J463">
        <v>100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3">
      <c r="A464">
        <v>45</v>
      </c>
      <c r="B464">
        <v>1</v>
      </c>
      <c r="C464">
        <v>1</v>
      </c>
      <c r="D464">
        <v>1</v>
      </c>
      <c r="E464" t="s">
        <v>535</v>
      </c>
      <c r="F464" t="s">
        <v>536</v>
      </c>
      <c r="G464">
        <v>213.80099999999999</v>
      </c>
      <c r="H464" t="b">
        <v>0</v>
      </c>
      <c r="I464" t="b">
        <v>0</v>
      </c>
      <c r="J464">
        <v>100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</v>
      </c>
      <c r="V464">
        <v>0</v>
      </c>
      <c r="W464">
        <v>0</v>
      </c>
    </row>
    <row r="465" spans="1:23" x14ac:dyDescent="0.3">
      <c r="A465">
        <v>45</v>
      </c>
      <c r="B465">
        <v>1</v>
      </c>
      <c r="C465">
        <v>1</v>
      </c>
      <c r="D465">
        <v>2</v>
      </c>
      <c r="E465" t="s">
        <v>536</v>
      </c>
      <c r="F465" t="s">
        <v>537</v>
      </c>
      <c r="G465">
        <v>134.19499999999999</v>
      </c>
      <c r="H465" t="b">
        <v>0</v>
      </c>
      <c r="I465" t="b">
        <v>0</v>
      </c>
      <c r="J465">
        <v>100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</row>
    <row r="466" spans="1:23" x14ac:dyDescent="0.3">
      <c r="A466">
        <v>45</v>
      </c>
      <c r="B466">
        <v>1</v>
      </c>
      <c r="C466">
        <v>1</v>
      </c>
      <c r="D466">
        <v>3</v>
      </c>
      <c r="E466" t="s">
        <v>537</v>
      </c>
      <c r="F466" t="s">
        <v>538</v>
      </c>
      <c r="G466">
        <v>118.04300000000001</v>
      </c>
      <c r="H466" t="b">
        <v>0</v>
      </c>
      <c r="I466" t="b">
        <v>0</v>
      </c>
      <c r="J466">
        <v>75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1</v>
      </c>
      <c r="W466">
        <v>1</v>
      </c>
    </row>
    <row r="467" spans="1:23" x14ac:dyDescent="0.3">
      <c r="A467">
        <v>45</v>
      </c>
      <c r="B467">
        <v>1</v>
      </c>
      <c r="C467">
        <v>1</v>
      </c>
      <c r="D467">
        <v>4</v>
      </c>
      <c r="E467" t="s">
        <v>538</v>
      </c>
      <c r="F467" t="s">
        <v>539</v>
      </c>
      <c r="G467">
        <v>222.47399999999999</v>
      </c>
      <c r="H467" t="b">
        <v>1</v>
      </c>
      <c r="I467" t="b">
        <v>1</v>
      </c>
      <c r="J467">
        <v>100</v>
      </c>
      <c r="K467">
        <v>4</v>
      </c>
      <c r="L467">
        <v>4</v>
      </c>
      <c r="M467">
        <v>0</v>
      </c>
      <c r="N467">
        <v>2</v>
      </c>
      <c r="O467">
        <v>2</v>
      </c>
      <c r="P467">
        <v>0</v>
      </c>
      <c r="Q467">
        <v>2</v>
      </c>
      <c r="R467">
        <v>2</v>
      </c>
      <c r="S467">
        <v>0</v>
      </c>
      <c r="T467">
        <v>4</v>
      </c>
      <c r="U467">
        <v>3</v>
      </c>
      <c r="V467">
        <v>0</v>
      </c>
      <c r="W467">
        <v>0</v>
      </c>
    </row>
    <row r="468" spans="1:23" x14ac:dyDescent="0.3">
      <c r="A468">
        <v>45</v>
      </c>
      <c r="B468">
        <v>1</v>
      </c>
      <c r="C468">
        <v>2</v>
      </c>
      <c r="D468">
        <v>1</v>
      </c>
      <c r="E468" t="s">
        <v>539</v>
      </c>
      <c r="F468" t="s">
        <v>540</v>
      </c>
      <c r="G468">
        <v>436.10700000000003</v>
      </c>
      <c r="H468" t="b">
        <v>0</v>
      </c>
      <c r="I468" t="b">
        <v>0</v>
      </c>
      <c r="J468">
        <v>25</v>
      </c>
      <c r="K468">
        <v>3</v>
      </c>
      <c r="L468">
        <v>0</v>
      </c>
      <c r="M468">
        <v>3</v>
      </c>
      <c r="N468">
        <v>2</v>
      </c>
      <c r="O468">
        <v>0</v>
      </c>
      <c r="P468">
        <v>2</v>
      </c>
      <c r="Q468">
        <v>1</v>
      </c>
      <c r="R468">
        <v>0</v>
      </c>
      <c r="S468">
        <v>1</v>
      </c>
      <c r="T468">
        <v>3</v>
      </c>
      <c r="U468">
        <v>1</v>
      </c>
      <c r="V468">
        <v>2</v>
      </c>
      <c r="W468">
        <v>4</v>
      </c>
    </row>
    <row r="469" spans="1:23" x14ac:dyDescent="0.3">
      <c r="A469">
        <v>45</v>
      </c>
      <c r="B469">
        <v>3</v>
      </c>
      <c r="C469">
        <v>1</v>
      </c>
      <c r="D469">
        <v>1</v>
      </c>
      <c r="E469" t="s">
        <v>541</v>
      </c>
      <c r="F469" t="s">
        <v>542</v>
      </c>
      <c r="G469">
        <v>360.42200000000003</v>
      </c>
      <c r="H469" t="b">
        <v>0</v>
      </c>
      <c r="I469" t="b">
        <v>0</v>
      </c>
      <c r="J469">
        <v>75</v>
      </c>
      <c r="K469">
        <v>3</v>
      </c>
      <c r="L469">
        <v>2</v>
      </c>
      <c r="M469">
        <v>1</v>
      </c>
      <c r="N469">
        <v>2</v>
      </c>
      <c r="O469">
        <v>2</v>
      </c>
      <c r="P469">
        <v>0</v>
      </c>
      <c r="Q469">
        <v>1</v>
      </c>
      <c r="R469">
        <v>0</v>
      </c>
      <c r="S469">
        <v>1</v>
      </c>
      <c r="T469">
        <v>4</v>
      </c>
      <c r="U469">
        <v>3</v>
      </c>
      <c r="V469">
        <v>0</v>
      </c>
      <c r="W469">
        <v>0</v>
      </c>
    </row>
    <row r="470" spans="1:23" x14ac:dyDescent="0.3">
      <c r="A470">
        <v>45</v>
      </c>
      <c r="B470">
        <v>3</v>
      </c>
      <c r="C470">
        <v>1</v>
      </c>
      <c r="D470">
        <v>2</v>
      </c>
      <c r="E470" t="s">
        <v>542</v>
      </c>
      <c r="F470" t="s">
        <v>543</v>
      </c>
      <c r="G470">
        <v>306.339</v>
      </c>
      <c r="H470" t="b">
        <v>1</v>
      </c>
      <c r="I470" t="b">
        <v>1</v>
      </c>
      <c r="J470">
        <v>100</v>
      </c>
      <c r="K470">
        <v>4</v>
      </c>
      <c r="L470">
        <v>4</v>
      </c>
      <c r="M470">
        <v>0</v>
      </c>
      <c r="N470">
        <v>2</v>
      </c>
      <c r="O470">
        <v>2</v>
      </c>
      <c r="P470">
        <v>0</v>
      </c>
      <c r="Q470">
        <v>2</v>
      </c>
      <c r="R470">
        <v>2</v>
      </c>
      <c r="S470">
        <v>0</v>
      </c>
      <c r="T470">
        <v>4</v>
      </c>
      <c r="U470">
        <v>3</v>
      </c>
      <c r="V470">
        <v>0</v>
      </c>
      <c r="W470">
        <v>0</v>
      </c>
    </row>
    <row r="471" spans="1:23" x14ac:dyDescent="0.3">
      <c r="A471">
        <v>45</v>
      </c>
      <c r="B471">
        <v>3</v>
      </c>
      <c r="C471">
        <v>2</v>
      </c>
      <c r="D471">
        <v>1</v>
      </c>
      <c r="E471" t="s">
        <v>543</v>
      </c>
      <c r="F471" t="s">
        <v>544</v>
      </c>
      <c r="G471">
        <v>361.20699999999999</v>
      </c>
      <c r="H471" t="b">
        <v>0</v>
      </c>
      <c r="I471" t="b">
        <v>0</v>
      </c>
      <c r="J471">
        <v>75</v>
      </c>
      <c r="K471">
        <v>3</v>
      </c>
      <c r="L471">
        <v>3</v>
      </c>
      <c r="M471">
        <v>0</v>
      </c>
      <c r="N471">
        <v>2</v>
      </c>
      <c r="O471">
        <v>2</v>
      </c>
      <c r="P471">
        <v>0</v>
      </c>
      <c r="Q471">
        <v>1</v>
      </c>
      <c r="R471">
        <v>1</v>
      </c>
      <c r="S471">
        <v>0</v>
      </c>
      <c r="T471">
        <v>4</v>
      </c>
      <c r="U471">
        <v>1</v>
      </c>
      <c r="V471">
        <v>1</v>
      </c>
      <c r="W471">
        <v>1</v>
      </c>
    </row>
    <row r="472" spans="1:23" x14ac:dyDescent="0.3">
      <c r="A472">
        <v>45</v>
      </c>
      <c r="B472">
        <v>3</v>
      </c>
      <c r="C472">
        <v>2</v>
      </c>
      <c r="D472">
        <v>2</v>
      </c>
      <c r="E472" t="s">
        <v>544</v>
      </c>
      <c r="F472" t="s">
        <v>545</v>
      </c>
      <c r="G472">
        <v>489.72199999999998</v>
      </c>
      <c r="H472" t="b">
        <v>0</v>
      </c>
      <c r="I472" t="b">
        <v>0</v>
      </c>
      <c r="J472">
        <v>50</v>
      </c>
      <c r="K472">
        <v>4</v>
      </c>
      <c r="L472">
        <v>3</v>
      </c>
      <c r="M472">
        <v>1</v>
      </c>
      <c r="N472">
        <v>2</v>
      </c>
      <c r="O472">
        <v>1</v>
      </c>
      <c r="P472">
        <v>1</v>
      </c>
      <c r="Q472">
        <v>2</v>
      </c>
      <c r="R472">
        <v>2</v>
      </c>
      <c r="S472">
        <v>0</v>
      </c>
      <c r="T472">
        <v>4</v>
      </c>
      <c r="U472">
        <v>1</v>
      </c>
      <c r="V472">
        <v>2</v>
      </c>
      <c r="W472">
        <v>3</v>
      </c>
    </row>
    <row r="473" spans="1:23" x14ac:dyDescent="0.3">
      <c r="A473">
        <v>45</v>
      </c>
      <c r="B473">
        <v>3</v>
      </c>
      <c r="C473">
        <v>2</v>
      </c>
      <c r="D473">
        <v>3</v>
      </c>
      <c r="E473" t="s">
        <v>545</v>
      </c>
      <c r="F473" t="s">
        <v>546</v>
      </c>
      <c r="G473">
        <v>481.82499999999999</v>
      </c>
      <c r="H473" t="b">
        <v>0</v>
      </c>
      <c r="I473" t="b">
        <v>1</v>
      </c>
      <c r="J473">
        <v>75</v>
      </c>
      <c r="K473">
        <v>3</v>
      </c>
      <c r="L473">
        <v>3</v>
      </c>
      <c r="M473">
        <v>0</v>
      </c>
      <c r="N473">
        <v>2</v>
      </c>
      <c r="O473">
        <v>2</v>
      </c>
      <c r="P473">
        <v>0</v>
      </c>
      <c r="Q473">
        <v>1</v>
      </c>
      <c r="R473">
        <v>1</v>
      </c>
      <c r="S473">
        <v>0</v>
      </c>
      <c r="T473">
        <v>4</v>
      </c>
      <c r="U473">
        <v>1</v>
      </c>
      <c r="V473">
        <v>2</v>
      </c>
      <c r="W473">
        <v>2</v>
      </c>
    </row>
    <row r="474" spans="1:23" x14ac:dyDescent="0.3">
      <c r="A474">
        <v>45</v>
      </c>
      <c r="B474">
        <v>3</v>
      </c>
      <c r="C474">
        <v>2</v>
      </c>
      <c r="D474">
        <v>4</v>
      </c>
      <c r="E474" t="s">
        <v>546</v>
      </c>
      <c r="F474" t="s">
        <v>547</v>
      </c>
      <c r="G474">
        <v>353.98500000000001</v>
      </c>
      <c r="H474" t="b">
        <v>1</v>
      </c>
      <c r="I474" t="b">
        <v>1</v>
      </c>
      <c r="J474">
        <v>100</v>
      </c>
      <c r="K474">
        <v>5</v>
      </c>
      <c r="L474">
        <v>5</v>
      </c>
      <c r="M474">
        <v>0</v>
      </c>
      <c r="N474">
        <v>2</v>
      </c>
      <c r="O474">
        <v>2</v>
      </c>
      <c r="P474">
        <v>0</v>
      </c>
      <c r="Q474">
        <v>3</v>
      </c>
      <c r="R474">
        <v>3</v>
      </c>
      <c r="S474">
        <v>0</v>
      </c>
      <c r="T474">
        <v>4</v>
      </c>
      <c r="U474">
        <v>2</v>
      </c>
      <c r="V474">
        <v>0</v>
      </c>
      <c r="W474">
        <v>0</v>
      </c>
    </row>
    <row r="475" spans="1:23" x14ac:dyDescent="0.3">
      <c r="A475">
        <v>45</v>
      </c>
      <c r="B475">
        <v>3</v>
      </c>
      <c r="C475">
        <v>3</v>
      </c>
      <c r="D475">
        <v>1</v>
      </c>
      <c r="E475" t="s">
        <v>547</v>
      </c>
      <c r="F475" t="s">
        <v>548</v>
      </c>
      <c r="G475">
        <v>427.91500000000002</v>
      </c>
      <c r="H475" t="b">
        <v>0</v>
      </c>
      <c r="I475" t="b">
        <v>1</v>
      </c>
      <c r="J475">
        <v>75</v>
      </c>
      <c r="K475">
        <v>4</v>
      </c>
      <c r="L475">
        <v>3</v>
      </c>
      <c r="M475">
        <v>1</v>
      </c>
      <c r="N475">
        <v>2</v>
      </c>
      <c r="O475">
        <v>2</v>
      </c>
      <c r="P475">
        <v>0</v>
      </c>
      <c r="Q475">
        <v>2</v>
      </c>
      <c r="R475">
        <v>1</v>
      </c>
      <c r="S475">
        <v>1</v>
      </c>
      <c r="T475">
        <v>4</v>
      </c>
      <c r="U475">
        <v>3</v>
      </c>
      <c r="V475">
        <v>0</v>
      </c>
      <c r="W475">
        <v>0</v>
      </c>
    </row>
    <row r="476" spans="1:23" x14ac:dyDescent="0.3">
      <c r="A476">
        <v>45</v>
      </c>
      <c r="B476">
        <v>3</v>
      </c>
      <c r="C476">
        <v>3</v>
      </c>
      <c r="D476">
        <v>2</v>
      </c>
      <c r="E476" t="s">
        <v>548</v>
      </c>
      <c r="F476" t="s">
        <v>549</v>
      </c>
      <c r="G476">
        <v>201.92500000000001</v>
      </c>
      <c r="H476" t="b">
        <v>1</v>
      </c>
      <c r="I476" t="b">
        <v>1</v>
      </c>
      <c r="J476">
        <v>100</v>
      </c>
      <c r="K476">
        <v>4</v>
      </c>
      <c r="L476">
        <v>4</v>
      </c>
      <c r="M476">
        <v>0</v>
      </c>
      <c r="N476">
        <v>2</v>
      </c>
      <c r="O476">
        <v>2</v>
      </c>
      <c r="P476">
        <v>0</v>
      </c>
      <c r="Q476">
        <v>2</v>
      </c>
      <c r="R476">
        <v>2</v>
      </c>
      <c r="S476">
        <v>0</v>
      </c>
      <c r="T476">
        <v>4</v>
      </c>
      <c r="U476">
        <v>3</v>
      </c>
      <c r="V476">
        <v>0</v>
      </c>
      <c r="W476">
        <v>0</v>
      </c>
    </row>
    <row r="477" spans="1:23" x14ac:dyDescent="0.3">
      <c r="A477">
        <v>46</v>
      </c>
      <c r="B477">
        <v>1</v>
      </c>
      <c r="C477">
        <v>1</v>
      </c>
      <c r="D477">
        <v>1</v>
      </c>
      <c r="E477" t="s">
        <v>550</v>
      </c>
      <c r="F477" t="s">
        <v>551</v>
      </c>
      <c r="G477">
        <v>100.041</v>
      </c>
      <c r="H477" t="b">
        <v>0</v>
      </c>
      <c r="I477" t="b">
        <v>0</v>
      </c>
      <c r="J477">
        <v>100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0</v>
      </c>
      <c r="W477">
        <v>0</v>
      </c>
    </row>
    <row r="478" spans="1:23" x14ac:dyDescent="0.3">
      <c r="A478">
        <v>46</v>
      </c>
      <c r="B478">
        <v>1</v>
      </c>
      <c r="C478">
        <v>1</v>
      </c>
      <c r="D478">
        <v>2</v>
      </c>
      <c r="E478" t="s">
        <v>551</v>
      </c>
      <c r="F478" t="s">
        <v>552</v>
      </c>
      <c r="G478">
        <v>155.61500000000001</v>
      </c>
      <c r="H478" t="b">
        <v>0</v>
      </c>
      <c r="I478" t="b">
        <v>0</v>
      </c>
      <c r="J478">
        <v>100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</row>
    <row r="479" spans="1:23" x14ac:dyDescent="0.3">
      <c r="A479">
        <v>46</v>
      </c>
      <c r="B479">
        <v>1</v>
      </c>
      <c r="C479">
        <v>1</v>
      </c>
      <c r="D479">
        <v>3</v>
      </c>
      <c r="E479" t="s">
        <v>552</v>
      </c>
      <c r="F479" t="s">
        <v>553</v>
      </c>
      <c r="G479">
        <v>160.50700000000001</v>
      </c>
      <c r="H479" t="b">
        <v>0</v>
      </c>
      <c r="I479" t="b">
        <v>0</v>
      </c>
      <c r="J479">
        <v>100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0</v>
      </c>
      <c r="W479">
        <v>0</v>
      </c>
    </row>
    <row r="480" spans="1:23" x14ac:dyDescent="0.3">
      <c r="A480">
        <v>46</v>
      </c>
      <c r="B480">
        <v>1</v>
      </c>
      <c r="C480">
        <v>3</v>
      </c>
      <c r="D480">
        <v>1</v>
      </c>
      <c r="E480" t="s">
        <v>553</v>
      </c>
      <c r="F480" t="s">
        <v>554</v>
      </c>
      <c r="G480">
        <v>103.598</v>
      </c>
      <c r="H480" t="b">
        <v>0</v>
      </c>
      <c r="I480" t="b">
        <v>0</v>
      </c>
      <c r="J480">
        <v>100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3">
      <c r="A481">
        <v>46</v>
      </c>
      <c r="B481">
        <v>1</v>
      </c>
      <c r="C481">
        <v>1</v>
      </c>
      <c r="D481">
        <v>1</v>
      </c>
      <c r="E481" t="s">
        <v>554</v>
      </c>
      <c r="F481" t="s">
        <v>555</v>
      </c>
      <c r="G481">
        <v>271.584</v>
      </c>
      <c r="H481" t="b">
        <v>0</v>
      </c>
      <c r="I481" t="b">
        <v>1</v>
      </c>
      <c r="J481">
        <v>50</v>
      </c>
      <c r="K481">
        <v>4</v>
      </c>
      <c r="L481">
        <v>3</v>
      </c>
      <c r="M481">
        <v>1</v>
      </c>
      <c r="N481">
        <v>2</v>
      </c>
      <c r="O481">
        <v>2</v>
      </c>
      <c r="P481">
        <v>0</v>
      </c>
      <c r="Q481">
        <v>2</v>
      </c>
      <c r="R481">
        <v>1</v>
      </c>
      <c r="S481">
        <v>1</v>
      </c>
      <c r="T481">
        <v>4</v>
      </c>
      <c r="U481">
        <v>1</v>
      </c>
      <c r="V481">
        <v>2</v>
      </c>
      <c r="W481">
        <v>2</v>
      </c>
    </row>
    <row r="482" spans="1:23" x14ac:dyDescent="0.3">
      <c r="A482">
        <v>47</v>
      </c>
      <c r="B482">
        <v>1</v>
      </c>
      <c r="C482">
        <v>1</v>
      </c>
      <c r="D482">
        <v>1</v>
      </c>
      <c r="E482" t="s">
        <v>556</v>
      </c>
      <c r="F482" t="s">
        <v>557</v>
      </c>
      <c r="G482">
        <v>191.79</v>
      </c>
      <c r="H482" t="b">
        <v>0</v>
      </c>
      <c r="I482" t="b">
        <v>0</v>
      </c>
      <c r="J482">
        <v>100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</row>
    <row r="483" spans="1:23" x14ac:dyDescent="0.3">
      <c r="A483">
        <v>47</v>
      </c>
      <c r="B483">
        <v>1</v>
      </c>
      <c r="C483">
        <v>1</v>
      </c>
      <c r="D483">
        <v>2</v>
      </c>
      <c r="E483" t="s">
        <v>557</v>
      </c>
      <c r="F483" t="s">
        <v>558</v>
      </c>
      <c r="G483">
        <v>45.837000000000003</v>
      </c>
      <c r="H483" t="b">
        <v>0</v>
      </c>
      <c r="I483" t="b">
        <v>0</v>
      </c>
      <c r="J483">
        <v>100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1</v>
      </c>
      <c r="V483">
        <v>0</v>
      </c>
      <c r="W483">
        <v>0</v>
      </c>
    </row>
    <row r="484" spans="1:23" x14ac:dyDescent="0.3">
      <c r="A484">
        <v>47</v>
      </c>
      <c r="B484">
        <v>1</v>
      </c>
      <c r="C484">
        <v>1</v>
      </c>
      <c r="D484">
        <v>3</v>
      </c>
      <c r="E484" t="s">
        <v>558</v>
      </c>
      <c r="F484" t="s">
        <v>559</v>
      </c>
      <c r="G484">
        <v>65.004999999999995</v>
      </c>
      <c r="H484" t="b">
        <v>0</v>
      </c>
      <c r="I484" t="b">
        <v>0</v>
      </c>
      <c r="J484">
        <v>100</v>
      </c>
      <c r="K484">
        <v>1</v>
      </c>
      <c r="L484">
        <v>1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</row>
    <row r="485" spans="1:23" x14ac:dyDescent="0.3">
      <c r="A485">
        <v>47</v>
      </c>
      <c r="B485">
        <v>3</v>
      </c>
      <c r="C485">
        <v>1</v>
      </c>
      <c r="D485">
        <v>1</v>
      </c>
      <c r="E485" t="s">
        <v>560</v>
      </c>
      <c r="F485" t="s">
        <v>561</v>
      </c>
      <c r="G485">
        <v>133.18199999999999</v>
      </c>
      <c r="H485" t="b">
        <v>0</v>
      </c>
      <c r="I485" t="b">
        <v>0</v>
      </c>
      <c r="J485">
        <v>50</v>
      </c>
      <c r="K485">
        <v>9</v>
      </c>
      <c r="L485">
        <v>3</v>
      </c>
      <c r="M485">
        <v>6</v>
      </c>
      <c r="N485">
        <v>8</v>
      </c>
      <c r="O485">
        <v>3</v>
      </c>
      <c r="P485">
        <v>5</v>
      </c>
      <c r="Q485">
        <v>1</v>
      </c>
      <c r="R485">
        <v>0</v>
      </c>
      <c r="S485">
        <v>1</v>
      </c>
      <c r="T485">
        <v>2</v>
      </c>
      <c r="U485">
        <v>1</v>
      </c>
      <c r="V485">
        <v>0</v>
      </c>
      <c r="W485">
        <v>0</v>
      </c>
    </row>
    <row r="486" spans="1:23" x14ac:dyDescent="0.3">
      <c r="A486">
        <v>47</v>
      </c>
      <c r="B486">
        <v>3</v>
      </c>
      <c r="C486">
        <v>1</v>
      </c>
      <c r="D486">
        <v>2</v>
      </c>
      <c r="E486" t="s">
        <v>561</v>
      </c>
      <c r="F486" t="s">
        <v>562</v>
      </c>
      <c r="G486">
        <v>117.49</v>
      </c>
      <c r="H486" t="b">
        <v>0</v>
      </c>
      <c r="I486" t="b">
        <v>0</v>
      </c>
      <c r="J486">
        <v>50</v>
      </c>
      <c r="K486">
        <v>2</v>
      </c>
      <c r="L486">
        <v>0</v>
      </c>
      <c r="M486">
        <v>2</v>
      </c>
      <c r="N486">
        <v>1</v>
      </c>
      <c r="O486">
        <v>0</v>
      </c>
      <c r="P486">
        <v>1</v>
      </c>
      <c r="Q486">
        <v>1</v>
      </c>
      <c r="R486">
        <v>0</v>
      </c>
      <c r="S486">
        <v>1</v>
      </c>
      <c r="T486">
        <v>4</v>
      </c>
      <c r="U486">
        <v>3</v>
      </c>
      <c r="V486">
        <v>0</v>
      </c>
      <c r="W486">
        <v>0</v>
      </c>
    </row>
    <row r="487" spans="1:23" x14ac:dyDescent="0.3">
      <c r="A487">
        <v>47</v>
      </c>
      <c r="B487">
        <v>3</v>
      </c>
      <c r="C487">
        <v>1</v>
      </c>
      <c r="D487">
        <v>3</v>
      </c>
      <c r="E487" t="s">
        <v>562</v>
      </c>
      <c r="F487" t="s">
        <v>563</v>
      </c>
      <c r="G487">
        <v>135.36699999999999</v>
      </c>
      <c r="H487" t="b">
        <v>0</v>
      </c>
      <c r="I487" t="b">
        <v>0</v>
      </c>
      <c r="J487">
        <v>100</v>
      </c>
      <c r="K487">
        <v>2</v>
      </c>
      <c r="L487">
        <v>2</v>
      </c>
      <c r="M487">
        <v>0</v>
      </c>
      <c r="N487">
        <v>1</v>
      </c>
      <c r="O487">
        <v>1</v>
      </c>
      <c r="P487">
        <v>0</v>
      </c>
      <c r="Q487">
        <v>1</v>
      </c>
      <c r="R487">
        <v>1</v>
      </c>
      <c r="S487">
        <v>0</v>
      </c>
      <c r="T487">
        <v>2</v>
      </c>
      <c r="U487">
        <v>0</v>
      </c>
      <c r="V487">
        <v>0</v>
      </c>
      <c r="W487">
        <v>0</v>
      </c>
    </row>
    <row r="488" spans="1:23" x14ac:dyDescent="0.3">
      <c r="A488">
        <v>47</v>
      </c>
      <c r="B488">
        <v>3</v>
      </c>
      <c r="C488">
        <v>1</v>
      </c>
      <c r="D488">
        <v>4</v>
      </c>
      <c r="E488" t="s">
        <v>563</v>
      </c>
      <c r="F488" t="s">
        <v>564</v>
      </c>
      <c r="G488">
        <v>10.596</v>
      </c>
      <c r="H488" t="b">
        <v>0</v>
      </c>
      <c r="I488" t="b">
        <v>0</v>
      </c>
      <c r="J488">
        <v>100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">
      <c r="A489">
        <v>47</v>
      </c>
      <c r="B489">
        <v>3</v>
      </c>
      <c r="C489">
        <v>1</v>
      </c>
      <c r="D489">
        <v>5</v>
      </c>
      <c r="E489" t="s">
        <v>564</v>
      </c>
      <c r="F489" t="s">
        <v>565</v>
      </c>
      <c r="G489">
        <v>59.070999999999998</v>
      </c>
      <c r="H489" t="b">
        <v>0</v>
      </c>
      <c r="I489" t="b">
        <v>0</v>
      </c>
      <c r="J489">
        <v>75</v>
      </c>
      <c r="K489">
        <v>1</v>
      </c>
      <c r="L489">
        <v>0</v>
      </c>
      <c r="M489">
        <v>1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">
      <c r="A490">
        <v>47</v>
      </c>
      <c r="B490">
        <v>3</v>
      </c>
      <c r="C490">
        <v>2</v>
      </c>
      <c r="D490">
        <v>1</v>
      </c>
      <c r="E490" t="s">
        <v>565</v>
      </c>
      <c r="F490" t="s">
        <v>566</v>
      </c>
      <c r="G490">
        <v>230.85</v>
      </c>
      <c r="H490" t="b">
        <v>0</v>
      </c>
      <c r="I490" t="b">
        <v>0</v>
      </c>
      <c r="J490">
        <v>75</v>
      </c>
      <c r="K490">
        <v>2</v>
      </c>
      <c r="L490">
        <v>2</v>
      </c>
      <c r="M490">
        <v>0</v>
      </c>
      <c r="N490">
        <v>1</v>
      </c>
      <c r="O490">
        <v>1</v>
      </c>
      <c r="P490">
        <v>0</v>
      </c>
      <c r="Q490">
        <v>1</v>
      </c>
      <c r="R490">
        <v>1</v>
      </c>
      <c r="S490">
        <v>0</v>
      </c>
      <c r="T490">
        <v>4</v>
      </c>
      <c r="U490">
        <v>3</v>
      </c>
      <c r="V490">
        <v>1</v>
      </c>
      <c r="W490">
        <v>1</v>
      </c>
    </row>
    <row r="491" spans="1:23" x14ac:dyDescent="0.3">
      <c r="A491">
        <v>47</v>
      </c>
      <c r="B491">
        <v>3</v>
      </c>
      <c r="C491">
        <v>2</v>
      </c>
      <c r="D491">
        <v>2</v>
      </c>
      <c r="E491" t="s">
        <v>566</v>
      </c>
      <c r="F491" t="s">
        <v>567</v>
      </c>
      <c r="G491">
        <v>222.87100000000001</v>
      </c>
      <c r="H491" t="b">
        <v>0</v>
      </c>
      <c r="I491" t="b">
        <v>0</v>
      </c>
      <c r="J491">
        <v>75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</v>
      </c>
      <c r="U491">
        <v>1</v>
      </c>
      <c r="V491">
        <v>1</v>
      </c>
      <c r="W491">
        <v>1</v>
      </c>
    </row>
    <row r="492" spans="1:23" x14ac:dyDescent="0.3">
      <c r="A492">
        <v>47</v>
      </c>
      <c r="B492">
        <v>3</v>
      </c>
      <c r="C492">
        <v>2</v>
      </c>
      <c r="D492">
        <v>3</v>
      </c>
      <c r="E492" t="s">
        <v>567</v>
      </c>
      <c r="F492" t="s">
        <v>568</v>
      </c>
      <c r="G492">
        <v>22.446999999999999</v>
      </c>
      <c r="H492" t="b">
        <v>0</v>
      </c>
      <c r="I492" t="b">
        <v>0</v>
      </c>
      <c r="J492">
        <v>100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3">
      <c r="A493">
        <v>47</v>
      </c>
      <c r="B493">
        <v>3</v>
      </c>
      <c r="C493">
        <v>2</v>
      </c>
      <c r="D493">
        <v>4</v>
      </c>
      <c r="E493" t="s">
        <v>568</v>
      </c>
      <c r="F493" t="s">
        <v>569</v>
      </c>
      <c r="G493">
        <v>83.733000000000004</v>
      </c>
      <c r="H493" t="b">
        <v>0</v>
      </c>
      <c r="I493" t="b">
        <v>0</v>
      </c>
      <c r="J493">
        <v>75</v>
      </c>
      <c r="K493">
        <v>4</v>
      </c>
      <c r="L493">
        <v>2</v>
      </c>
      <c r="M493">
        <v>2</v>
      </c>
      <c r="N493">
        <v>3</v>
      </c>
      <c r="O493">
        <v>1</v>
      </c>
      <c r="P493">
        <v>2</v>
      </c>
      <c r="Q493">
        <v>1</v>
      </c>
      <c r="R493">
        <v>1</v>
      </c>
      <c r="S493">
        <v>0</v>
      </c>
      <c r="T493">
        <v>4</v>
      </c>
      <c r="U493">
        <v>0</v>
      </c>
      <c r="V493">
        <v>0</v>
      </c>
      <c r="W493">
        <v>1</v>
      </c>
    </row>
    <row r="494" spans="1:23" x14ac:dyDescent="0.3">
      <c r="A494">
        <v>47</v>
      </c>
      <c r="B494">
        <v>3</v>
      </c>
      <c r="C494">
        <v>2</v>
      </c>
      <c r="D494">
        <v>5</v>
      </c>
      <c r="E494" t="s">
        <v>569</v>
      </c>
      <c r="F494" t="s">
        <v>570</v>
      </c>
      <c r="G494">
        <v>171.084</v>
      </c>
      <c r="H494" t="b">
        <v>0</v>
      </c>
      <c r="I494" t="b">
        <v>0</v>
      </c>
      <c r="J494">
        <v>100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2</v>
      </c>
      <c r="U494">
        <v>2</v>
      </c>
      <c r="V494">
        <v>0</v>
      </c>
      <c r="W494">
        <v>0</v>
      </c>
    </row>
    <row r="495" spans="1:23" x14ac:dyDescent="0.3">
      <c r="A495">
        <v>47</v>
      </c>
      <c r="B495">
        <v>3</v>
      </c>
      <c r="C495">
        <v>2</v>
      </c>
      <c r="D495">
        <v>6</v>
      </c>
      <c r="E495" t="s">
        <v>570</v>
      </c>
      <c r="F495" t="s">
        <v>571</v>
      </c>
      <c r="G495">
        <v>212.10900000000001</v>
      </c>
      <c r="H495" t="b">
        <v>0</v>
      </c>
      <c r="I495" t="b">
        <v>0</v>
      </c>
      <c r="J495">
        <v>100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2</v>
      </c>
      <c r="U495">
        <v>1</v>
      </c>
      <c r="V495">
        <v>0</v>
      </c>
      <c r="W495">
        <v>0</v>
      </c>
    </row>
    <row r="496" spans="1:23" x14ac:dyDescent="0.3">
      <c r="A496">
        <v>47</v>
      </c>
      <c r="B496">
        <v>3</v>
      </c>
      <c r="C496">
        <v>2</v>
      </c>
      <c r="D496">
        <v>7</v>
      </c>
      <c r="E496" t="s">
        <v>571</v>
      </c>
      <c r="F496" t="s">
        <v>572</v>
      </c>
      <c r="G496">
        <v>168.483</v>
      </c>
      <c r="H496" t="b">
        <v>0</v>
      </c>
      <c r="I496" t="b">
        <v>0</v>
      </c>
      <c r="J496">
        <v>75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</v>
      </c>
      <c r="U496">
        <v>0</v>
      </c>
      <c r="V496">
        <v>1</v>
      </c>
      <c r="W496">
        <v>1</v>
      </c>
    </row>
    <row r="497" spans="1:23" x14ac:dyDescent="0.3">
      <c r="A497">
        <v>47</v>
      </c>
      <c r="B497">
        <v>3</v>
      </c>
      <c r="C497">
        <v>2</v>
      </c>
      <c r="D497">
        <v>8</v>
      </c>
      <c r="E497" t="s">
        <v>572</v>
      </c>
      <c r="F497" t="s">
        <v>573</v>
      </c>
      <c r="G497">
        <v>67.995999999999995</v>
      </c>
      <c r="H497" t="b">
        <v>0</v>
      </c>
      <c r="I497" t="b">
        <v>0</v>
      </c>
      <c r="J497">
        <v>50</v>
      </c>
      <c r="K497">
        <v>2</v>
      </c>
      <c r="L497">
        <v>0</v>
      </c>
      <c r="M497">
        <v>2</v>
      </c>
      <c r="N497">
        <v>1</v>
      </c>
      <c r="O497">
        <v>0</v>
      </c>
      <c r="P497">
        <v>1</v>
      </c>
      <c r="Q497">
        <v>1</v>
      </c>
      <c r="R497">
        <v>0</v>
      </c>
      <c r="S497">
        <v>1</v>
      </c>
      <c r="T497">
        <v>2</v>
      </c>
      <c r="U497">
        <v>2</v>
      </c>
      <c r="V497">
        <v>0</v>
      </c>
      <c r="W497">
        <v>1</v>
      </c>
    </row>
    <row r="498" spans="1:23" x14ac:dyDescent="0.3">
      <c r="A498">
        <v>47</v>
      </c>
      <c r="B498">
        <v>3</v>
      </c>
      <c r="C498">
        <v>2</v>
      </c>
      <c r="D498">
        <v>9</v>
      </c>
      <c r="E498" t="s">
        <v>573</v>
      </c>
      <c r="F498" t="s">
        <v>574</v>
      </c>
      <c r="G498">
        <v>89.027000000000001</v>
      </c>
      <c r="H498" t="b">
        <v>0</v>
      </c>
      <c r="I498" t="b">
        <v>0</v>
      </c>
      <c r="J498">
        <v>75</v>
      </c>
      <c r="K498">
        <v>2</v>
      </c>
      <c r="L498">
        <v>1</v>
      </c>
      <c r="M498">
        <v>1</v>
      </c>
      <c r="N498">
        <v>1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2</v>
      </c>
      <c r="U498">
        <v>2</v>
      </c>
      <c r="V498">
        <v>0</v>
      </c>
      <c r="W498">
        <v>0</v>
      </c>
    </row>
    <row r="499" spans="1:23" x14ac:dyDescent="0.3">
      <c r="A499">
        <v>47</v>
      </c>
      <c r="B499">
        <v>3</v>
      </c>
      <c r="C499">
        <v>2</v>
      </c>
      <c r="D499">
        <v>10</v>
      </c>
      <c r="E499" t="s">
        <v>574</v>
      </c>
      <c r="F499" t="s">
        <v>575</v>
      </c>
      <c r="G499">
        <v>199.33699999999999</v>
      </c>
      <c r="H499" t="b">
        <v>0</v>
      </c>
      <c r="I499" t="b">
        <v>0</v>
      </c>
      <c r="J499">
        <v>100</v>
      </c>
      <c r="K499">
        <v>4</v>
      </c>
      <c r="L499">
        <v>4</v>
      </c>
      <c r="M499">
        <v>0</v>
      </c>
      <c r="N499">
        <v>1</v>
      </c>
      <c r="O499">
        <v>1</v>
      </c>
      <c r="P499">
        <v>0</v>
      </c>
      <c r="Q499">
        <v>3</v>
      </c>
      <c r="R499">
        <v>3</v>
      </c>
      <c r="S499">
        <v>0</v>
      </c>
      <c r="T499">
        <v>4</v>
      </c>
      <c r="U499">
        <v>3</v>
      </c>
      <c r="V499">
        <v>0</v>
      </c>
      <c r="W499">
        <v>0</v>
      </c>
    </row>
    <row r="500" spans="1:23" x14ac:dyDescent="0.3">
      <c r="A500">
        <v>47</v>
      </c>
      <c r="B500">
        <v>3</v>
      </c>
      <c r="C500">
        <v>2</v>
      </c>
      <c r="D500">
        <v>11</v>
      </c>
      <c r="E500" t="s">
        <v>575</v>
      </c>
      <c r="F500" t="s">
        <v>576</v>
      </c>
      <c r="G500">
        <v>105.90600000000001</v>
      </c>
      <c r="H500" t="b">
        <v>0</v>
      </c>
      <c r="I500" t="b">
        <v>0</v>
      </c>
      <c r="J500">
        <v>25</v>
      </c>
      <c r="K500">
        <v>4</v>
      </c>
      <c r="L500">
        <v>2</v>
      </c>
      <c r="M500">
        <v>2</v>
      </c>
      <c r="N500">
        <v>3</v>
      </c>
      <c r="O500">
        <v>2</v>
      </c>
      <c r="P500">
        <v>1</v>
      </c>
      <c r="Q500">
        <v>1</v>
      </c>
      <c r="R500">
        <v>0</v>
      </c>
      <c r="S500">
        <v>1</v>
      </c>
      <c r="T500">
        <v>4</v>
      </c>
      <c r="U500">
        <v>3</v>
      </c>
      <c r="V500">
        <v>1</v>
      </c>
      <c r="W500">
        <v>2</v>
      </c>
    </row>
    <row r="501" spans="1:23" x14ac:dyDescent="0.3">
      <c r="A501">
        <v>47</v>
      </c>
      <c r="B501">
        <v>3</v>
      </c>
      <c r="C501">
        <v>2</v>
      </c>
      <c r="D501">
        <v>12</v>
      </c>
      <c r="E501" t="s">
        <v>576</v>
      </c>
      <c r="F501" t="s">
        <v>577</v>
      </c>
      <c r="G501">
        <v>29.341999999999999</v>
      </c>
      <c r="H501" t="b">
        <v>0</v>
      </c>
      <c r="I501" t="b">
        <v>0</v>
      </c>
      <c r="J501">
        <v>100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3</v>
      </c>
      <c r="U501">
        <v>3</v>
      </c>
      <c r="V501">
        <v>0</v>
      </c>
      <c r="W501">
        <v>0</v>
      </c>
    </row>
    <row r="502" spans="1:23" x14ac:dyDescent="0.3">
      <c r="A502">
        <v>47</v>
      </c>
      <c r="B502">
        <v>3</v>
      </c>
      <c r="C502">
        <v>2</v>
      </c>
      <c r="D502">
        <v>13</v>
      </c>
      <c r="E502" t="s">
        <v>577</v>
      </c>
      <c r="F502" t="s">
        <v>578</v>
      </c>
      <c r="G502">
        <v>56.015000000000001</v>
      </c>
      <c r="H502" t="b">
        <v>1</v>
      </c>
      <c r="I502" t="b">
        <v>1</v>
      </c>
      <c r="J502">
        <v>100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4</v>
      </c>
      <c r="U502">
        <v>4</v>
      </c>
      <c r="V502">
        <v>0</v>
      </c>
      <c r="W502">
        <v>0</v>
      </c>
    </row>
    <row r="503" spans="1:23" x14ac:dyDescent="0.3">
      <c r="A503">
        <v>47</v>
      </c>
      <c r="B503">
        <v>3</v>
      </c>
      <c r="C503">
        <v>2</v>
      </c>
      <c r="D503">
        <v>14</v>
      </c>
      <c r="E503" t="s">
        <v>578</v>
      </c>
      <c r="F503" t="s">
        <v>579</v>
      </c>
      <c r="G503">
        <v>154.679</v>
      </c>
      <c r="H503" t="b">
        <v>0</v>
      </c>
      <c r="I503" t="b">
        <v>0</v>
      </c>
      <c r="J503">
        <v>100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</v>
      </c>
      <c r="U503">
        <v>2</v>
      </c>
      <c r="V503">
        <v>0</v>
      </c>
      <c r="W503">
        <v>0</v>
      </c>
    </row>
    <row r="504" spans="1:23" x14ac:dyDescent="0.3">
      <c r="A504">
        <v>47</v>
      </c>
      <c r="B504">
        <v>3</v>
      </c>
      <c r="C504">
        <v>2</v>
      </c>
      <c r="D504">
        <v>15</v>
      </c>
      <c r="E504" t="s">
        <v>579</v>
      </c>
      <c r="F504" t="s">
        <v>580</v>
      </c>
      <c r="G504">
        <v>75.617999999999995</v>
      </c>
      <c r="H504" t="b">
        <v>0</v>
      </c>
      <c r="I504" t="b">
        <v>0</v>
      </c>
      <c r="J504">
        <v>100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x14ac:dyDescent="0.3">
      <c r="A505">
        <v>47</v>
      </c>
      <c r="B505">
        <v>3</v>
      </c>
      <c r="C505">
        <v>3</v>
      </c>
      <c r="D505">
        <v>1</v>
      </c>
      <c r="E505" t="s">
        <v>580</v>
      </c>
      <c r="F505" t="s">
        <v>581</v>
      </c>
      <c r="G505">
        <v>47.116999999999997</v>
      </c>
      <c r="H505" t="b">
        <v>0</v>
      </c>
      <c r="I505" t="b">
        <v>0</v>
      </c>
      <c r="J505">
        <v>100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">
      <c r="A506">
        <v>47</v>
      </c>
      <c r="B506">
        <v>3</v>
      </c>
      <c r="C506">
        <v>3</v>
      </c>
      <c r="D506">
        <v>2</v>
      </c>
      <c r="E506" t="s">
        <v>581</v>
      </c>
      <c r="F506" t="s">
        <v>582</v>
      </c>
      <c r="G506">
        <v>22.245999999999999</v>
      </c>
      <c r="H506" t="b">
        <v>0</v>
      </c>
      <c r="I506" t="b">
        <v>0</v>
      </c>
      <c r="J506">
        <v>100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3">
      <c r="A507">
        <v>47</v>
      </c>
      <c r="B507">
        <v>3</v>
      </c>
      <c r="C507">
        <v>3</v>
      </c>
      <c r="D507">
        <v>3</v>
      </c>
      <c r="E507" t="s">
        <v>582</v>
      </c>
      <c r="F507" t="s">
        <v>583</v>
      </c>
      <c r="G507">
        <v>15.837</v>
      </c>
      <c r="H507" t="b">
        <v>0</v>
      </c>
      <c r="I507" t="b">
        <v>0</v>
      </c>
      <c r="J507">
        <v>100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x14ac:dyDescent="0.3">
      <c r="A508">
        <v>47</v>
      </c>
      <c r="B508">
        <v>3</v>
      </c>
      <c r="C508">
        <v>3</v>
      </c>
      <c r="D508">
        <v>4</v>
      </c>
      <c r="E508" t="s">
        <v>583</v>
      </c>
      <c r="F508" t="s">
        <v>584</v>
      </c>
      <c r="G508">
        <v>149.13800000000001</v>
      </c>
      <c r="H508" t="b">
        <v>0</v>
      </c>
      <c r="I508" t="b">
        <v>0</v>
      </c>
      <c r="J508">
        <v>100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</row>
    <row r="509" spans="1:23" x14ac:dyDescent="0.3">
      <c r="A509">
        <v>47</v>
      </c>
      <c r="B509">
        <v>3</v>
      </c>
      <c r="C509">
        <v>3</v>
      </c>
      <c r="D509">
        <v>5</v>
      </c>
      <c r="E509" t="s">
        <v>584</v>
      </c>
      <c r="F509" t="s">
        <v>585</v>
      </c>
      <c r="G509">
        <v>1205.817</v>
      </c>
      <c r="H509" t="b">
        <v>0</v>
      </c>
      <c r="I509" t="b">
        <v>0</v>
      </c>
      <c r="J509">
        <v>100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3">
      <c r="A510">
        <v>47</v>
      </c>
      <c r="B510">
        <v>3</v>
      </c>
      <c r="C510">
        <v>3</v>
      </c>
      <c r="D510">
        <v>6</v>
      </c>
      <c r="E510" t="s">
        <v>585</v>
      </c>
      <c r="F510" t="s">
        <v>586</v>
      </c>
      <c r="G510">
        <v>3.0000000000000001E-3</v>
      </c>
      <c r="H510" t="b">
        <v>0</v>
      </c>
      <c r="I510" t="b">
        <v>0</v>
      </c>
      <c r="J510">
        <v>100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3">
      <c r="A511">
        <v>48</v>
      </c>
      <c r="B511">
        <v>1</v>
      </c>
      <c r="C511">
        <v>1</v>
      </c>
      <c r="D511">
        <v>1</v>
      </c>
      <c r="E511" t="s">
        <v>587</v>
      </c>
      <c r="F511" t="s">
        <v>588</v>
      </c>
      <c r="G511">
        <v>186.179</v>
      </c>
      <c r="H511" t="b">
        <v>0</v>
      </c>
      <c r="I511" t="b">
        <v>0</v>
      </c>
      <c r="J511">
        <v>100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</row>
    <row r="512" spans="1:23" x14ac:dyDescent="0.3">
      <c r="A512">
        <v>48</v>
      </c>
      <c r="B512">
        <v>1</v>
      </c>
      <c r="C512">
        <v>1</v>
      </c>
      <c r="D512">
        <v>2</v>
      </c>
      <c r="E512" t="s">
        <v>588</v>
      </c>
      <c r="F512" t="s">
        <v>589</v>
      </c>
      <c r="G512">
        <v>15.734</v>
      </c>
      <c r="H512" t="b">
        <v>0</v>
      </c>
      <c r="I512" t="b">
        <v>0</v>
      </c>
      <c r="J512">
        <v>100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3">
      <c r="A513">
        <v>48</v>
      </c>
      <c r="B513">
        <v>1</v>
      </c>
      <c r="C513">
        <v>1</v>
      </c>
      <c r="D513">
        <v>3</v>
      </c>
      <c r="E513" t="s">
        <v>589</v>
      </c>
      <c r="F513" t="s">
        <v>590</v>
      </c>
      <c r="G513">
        <v>103.934</v>
      </c>
      <c r="H513" t="b">
        <v>0</v>
      </c>
      <c r="I513" t="b">
        <v>0</v>
      </c>
      <c r="J513">
        <v>100</v>
      </c>
      <c r="K513">
        <v>1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1</v>
      </c>
      <c r="U513">
        <v>1</v>
      </c>
      <c r="V513">
        <v>0</v>
      </c>
      <c r="W513">
        <v>0</v>
      </c>
    </row>
    <row r="514" spans="1:23" x14ac:dyDescent="0.3">
      <c r="A514">
        <v>48</v>
      </c>
      <c r="B514">
        <v>1</v>
      </c>
      <c r="C514">
        <v>2</v>
      </c>
      <c r="D514">
        <v>1</v>
      </c>
      <c r="E514" t="s">
        <v>590</v>
      </c>
      <c r="F514" t="s">
        <v>591</v>
      </c>
      <c r="G514">
        <v>258.41800000000001</v>
      </c>
      <c r="H514" t="b">
        <v>0</v>
      </c>
      <c r="I514" t="b">
        <v>0</v>
      </c>
      <c r="J514">
        <v>75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4</v>
      </c>
      <c r="U514">
        <v>2</v>
      </c>
      <c r="V514">
        <v>1</v>
      </c>
      <c r="W514">
        <v>1</v>
      </c>
    </row>
    <row r="515" spans="1:23" x14ac:dyDescent="0.3">
      <c r="A515">
        <v>48</v>
      </c>
      <c r="B515">
        <v>1</v>
      </c>
      <c r="C515">
        <v>2</v>
      </c>
      <c r="D515">
        <v>2</v>
      </c>
      <c r="E515" t="s">
        <v>591</v>
      </c>
      <c r="F515" t="s">
        <v>592</v>
      </c>
      <c r="G515">
        <v>23.277999999999999</v>
      </c>
      <c r="H515" t="b">
        <v>0</v>
      </c>
      <c r="I515" t="b">
        <v>0</v>
      </c>
      <c r="J515">
        <v>100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">
      <c r="A516">
        <v>48</v>
      </c>
      <c r="B516">
        <v>1</v>
      </c>
      <c r="C516">
        <v>3</v>
      </c>
      <c r="D516">
        <v>1</v>
      </c>
      <c r="E516" t="s">
        <v>592</v>
      </c>
      <c r="F516" t="s">
        <v>593</v>
      </c>
      <c r="G516">
        <v>170.68199999999999</v>
      </c>
      <c r="H516" t="b">
        <v>0</v>
      </c>
      <c r="I516" t="b">
        <v>0</v>
      </c>
      <c r="J516">
        <v>100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</row>
    <row r="517" spans="1:23" x14ac:dyDescent="0.3">
      <c r="A517">
        <v>48</v>
      </c>
      <c r="B517">
        <v>1</v>
      </c>
      <c r="C517">
        <v>3</v>
      </c>
      <c r="D517">
        <v>2</v>
      </c>
      <c r="E517" t="s">
        <v>593</v>
      </c>
      <c r="F517" t="s">
        <v>594</v>
      </c>
      <c r="G517">
        <v>161.31800000000001</v>
      </c>
      <c r="H517" t="b">
        <v>0</v>
      </c>
      <c r="I517" t="b">
        <v>0</v>
      </c>
      <c r="J517">
        <v>100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</row>
    <row r="518" spans="1:23" x14ac:dyDescent="0.3">
      <c r="A518">
        <v>48</v>
      </c>
      <c r="B518">
        <v>1</v>
      </c>
      <c r="C518">
        <v>1</v>
      </c>
      <c r="D518">
        <v>1</v>
      </c>
      <c r="E518" t="s">
        <v>594</v>
      </c>
      <c r="F518" t="s">
        <v>595</v>
      </c>
      <c r="G518">
        <v>242.14500000000001</v>
      </c>
      <c r="H518" t="b">
        <v>1</v>
      </c>
      <c r="I518" t="b">
        <v>1</v>
      </c>
      <c r="J518">
        <v>100</v>
      </c>
      <c r="K518">
        <v>4</v>
      </c>
      <c r="L518">
        <v>4</v>
      </c>
      <c r="M518">
        <v>0</v>
      </c>
      <c r="N518">
        <v>2</v>
      </c>
      <c r="O518">
        <v>2</v>
      </c>
      <c r="P518">
        <v>0</v>
      </c>
      <c r="Q518">
        <v>2</v>
      </c>
      <c r="R518">
        <v>2</v>
      </c>
      <c r="S518">
        <v>0</v>
      </c>
      <c r="T518">
        <v>4</v>
      </c>
      <c r="U518">
        <v>3</v>
      </c>
      <c r="V518">
        <v>0</v>
      </c>
      <c r="W518">
        <v>0</v>
      </c>
    </row>
    <row r="519" spans="1:23" x14ac:dyDescent="0.3">
      <c r="A519">
        <v>48</v>
      </c>
      <c r="B519">
        <v>1</v>
      </c>
      <c r="C519">
        <v>2</v>
      </c>
      <c r="D519">
        <v>1</v>
      </c>
      <c r="E519" t="s">
        <v>595</v>
      </c>
      <c r="F519" t="s">
        <v>596</v>
      </c>
      <c r="G519">
        <v>310.53399999999999</v>
      </c>
      <c r="H519" t="b">
        <v>0</v>
      </c>
      <c r="I519" t="b">
        <v>0</v>
      </c>
      <c r="J519">
        <v>100</v>
      </c>
      <c r="K519">
        <v>3</v>
      </c>
      <c r="L519">
        <v>3</v>
      </c>
      <c r="M519">
        <v>0</v>
      </c>
      <c r="N519">
        <v>2</v>
      </c>
      <c r="O519">
        <v>2</v>
      </c>
      <c r="P519">
        <v>0</v>
      </c>
      <c r="Q519">
        <v>1</v>
      </c>
      <c r="R519">
        <v>1</v>
      </c>
      <c r="S519">
        <v>0</v>
      </c>
      <c r="T519">
        <v>4</v>
      </c>
      <c r="U519">
        <v>2</v>
      </c>
      <c r="V519">
        <v>0</v>
      </c>
      <c r="W519">
        <v>0</v>
      </c>
    </row>
    <row r="520" spans="1:23" x14ac:dyDescent="0.3">
      <c r="A520">
        <v>48</v>
      </c>
      <c r="B520">
        <v>1</v>
      </c>
      <c r="C520">
        <v>2</v>
      </c>
      <c r="D520">
        <v>2</v>
      </c>
      <c r="E520" t="s">
        <v>596</v>
      </c>
      <c r="F520" t="s">
        <v>597</v>
      </c>
      <c r="G520">
        <v>249.684</v>
      </c>
      <c r="H520" t="b">
        <v>0</v>
      </c>
      <c r="I520" t="b">
        <v>1</v>
      </c>
      <c r="J520">
        <v>75</v>
      </c>
      <c r="K520">
        <v>5</v>
      </c>
      <c r="L520">
        <v>5</v>
      </c>
      <c r="M520">
        <v>0</v>
      </c>
      <c r="N520">
        <v>2</v>
      </c>
      <c r="O520">
        <v>2</v>
      </c>
      <c r="P520">
        <v>0</v>
      </c>
      <c r="Q520">
        <v>3</v>
      </c>
      <c r="R520">
        <v>3</v>
      </c>
      <c r="S520">
        <v>0</v>
      </c>
      <c r="T520">
        <v>4</v>
      </c>
      <c r="U520">
        <v>2</v>
      </c>
      <c r="V520">
        <v>1</v>
      </c>
      <c r="W520">
        <v>1</v>
      </c>
    </row>
    <row r="521" spans="1:23" x14ac:dyDescent="0.3">
      <c r="A521">
        <v>48</v>
      </c>
      <c r="B521">
        <v>1</v>
      </c>
      <c r="C521">
        <v>3</v>
      </c>
      <c r="D521">
        <v>1</v>
      </c>
      <c r="E521" t="s">
        <v>597</v>
      </c>
      <c r="F521" t="s">
        <v>598</v>
      </c>
      <c r="G521">
        <v>233.62100000000001</v>
      </c>
      <c r="H521" t="b">
        <v>0</v>
      </c>
      <c r="I521" t="b">
        <v>1</v>
      </c>
      <c r="J521">
        <v>75</v>
      </c>
      <c r="K521">
        <v>4</v>
      </c>
      <c r="L521">
        <v>3</v>
      </c>
      <c r="M521">
        <v>1</v>
      </c>
      <c r="N521">
        <v>2</v>
      </c>
      <c r="O521">
        <v>2</v>
      </c>
      <c r="P521">
        <v>0</v>
      </c>
      <c r="Q521">
        <v>2</v>
      </c>
      <c r="R521">
        <v>1</v>
      </c>
      <c r="S521">
        <v>1</v>
      </c>
      <c r="T521">
        <v>4</v>
      </c>
      <c r="U521">
        <v>3</v>
      </c>
      <c r="V521">
        <v>0</v>
      </c>
      <c r="W521">
        <v>0</v>
      </c>
    </row>
    <row r="522" spans="1:23" x14ac:dyDescent="0.3">
      <c r="A522">
        <v>48</v>
      </c>
      <c r="B522">
        <v>1</v>
      </c>
      <c r="C522">
        <v>3</v>
      </c>
      <c r="D522">
        <v>2</v>
      </c>
      <c r="E522" t="s">
        <v>598</v>
      </c>
      <c r="F522" t="s">
        <v>599</v>
      </c>
      <c r="G522">
        <v>47.03</v>
      </c>
      <c r="H522" t="b">
        <v>0</v>
      </c>
      <c r="I522" t="b">
        <v>0</v>
      </c>
      <c r="J522">
        <v>100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3">
      <c r="A523">
        <v>4</v>
      </c>
      <c r="B523">
        <v>3</v>
      </c>
      <c r="C523">
        <v>1</v>
      </c>
      <c r="D523">
        <v>1</v>
      </c>
      <c r="E523" t="s">
        <v>600</v>
      </c>
      <c r="F523" t="s">
        <v>601</v>
      </c>
      <c r="G523">
        <v>184.2</v>
      </c>
      <c r="H523" t="b">
        <v>0</v>
      </c>
      <c r="I523" t="b">
        <v>0</v>
      </c>
      <c r="J523">
        <v>100</v>
      </c>
      <c r="K523">
        <v>1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1</v>
      </c>
      <c r="S523">
        <v>0</v>
      </c>
      <c r="T523">
        <v>2</v>
      </c>
      <c r="U523">
        <v>1</v>
      </c>
      <c r="V523">
        <v>0</v>
      </c>
      <c r="W523">
        <v>0</v>
      </c>
    </row>
    <row r="524" spans="1:23" x14ac:dyDescent="0.3">
      <c r="A524">
        <v>4</v>
      </c>
      <c r="B524">
        <v>3</v>
      </c>
      <c r="C524">
        <v>1</v>
      </c>
      <c r="D524">
        <v>2</v>
      </c>
      <c r="E524" t="s">
        <v>601</v>
      </c>
      <c r="F524" t="s">
        <v>602</v>
      </c>
      <c r="G524">
        <v>164.065</v>
      </c>
      <c r="H524" t="b">
        <v>0</v>
      </c>
      <c r="I524" t="b">
        <v>0</v>
      </c>
      <c r="J524">
        <v>50</v>
      </c>
      <c r="K524">
        <v>2</v>
      </c>
      <c r="L524">
        <v>0</v>
      </c>
      <c r="M524">
        <v>2</v>
      </c>
      <c r="N524">
        <v>1</v>
      </c>
      <c r="O524">
        <v>0</v>
      </c>
      <c r="P524">
        <v>1</v>
      </c>
      <c r="Q524">
        <v>1</v>
      </c>
      <c r="R524">
        <v>0</v>
      </c>
      <c r="S524">
        <v>1</v>
      </c>
      <c r="T524">
        <v>2</v>
      </c>
      <c r="U524">
        <v>2</v>
      </c>
      <c r="V524">
        <v>0</v>
      </c>
      <c r="W524">
        <v>0</v>
      </c>
    </row>
    <row r="525" spans="1:23" x14ac:dyDescent="0.3">
      <c r="A525">
        <v>4</v>
      </c>
      <c r="B525">
        <v>3</v>
      </c>
      <c r="C525">
        <v>1</v>
      </c>
      <c r="D525">
        <v>3</v>
      </c>
      <c r="E525" t="s">
        <v>602</v>
      </c>
      <c r="F525" t="s">
        <v>603</v>
      </c>
      <c r="G525">
        <v>173.30699999999999</v>
      </c>
      <c r="H525" t="b">
        <v>0</v>
      </c>
      <c r="I525" t="b">
        <v>0</v>
      </c>
      <c r="J525">
        <v>75</v>
      </c>
      <c r="K525">
        <v>2</v>
      </c>
      <c r="L525">
        <v>1</v>
      </c>
      <c r="M525">
        <v>1</v>
      </c>
      <c r="N525">
        <v>1</v>
      </c>
      <c r="O525">
        <v>1</v>
      </c>
      <c r="P525">
        <v>0</v>
      </c>
      <c r="Q525">
        <v>1</v>
      </c>
      <c r="R525">
        <v>0</v>
      </c>
      <c r="S525">
        <v>1</v>
      </c>
      <c r="T525">
        <v>2</v>
      </c>
      <c r="U525">
        <v>2</v>
      </c>
      <c r="V525">
        <v>0</v>
      </c>
      <c r="W525">
        <v>0</v>
      </c>
    </row>
    <row r="526" spans="1:23" x14ac:dyDescent="0.3">
      <c r="A526">
        <v>4</v>
      </c>
      <c r="B526">
        <v>3</v>
      </c>
      <c r="C526">
        <v>1</v>
      </c>
      <c r="D526">
        <v>4</v>
      </c>
      <c r="E526" t="s">
        <v>603</v>
      </c>
      <c r="F526" t="s">
        <v>604</v>
      </c>
      <c r="G526">
        <v>205.83799999999999</v>
      </c>
      <c r="H526" t="b">
        <v>0</v>
      </c>
      <c r="I526" t="b">
        <v>0</v>
      </c>
      <c r="J526">
        <v>100</v>
      </c>
      <c r="K526">
        <v>1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1</v>
      </c>
      <c r="S526">
        <v>0</v>
      </c>
      <c r="T526">
        <v>3</v>
      </c>
      <c r="U526">
        <v>3</v>
      </c>
      <c r="V526">
        <v>0</v>
      </c>
      <c r="W526">
        <v>0</v>
      </c>
    </row>
    <row r="527" spans="1:23" x14ac:dyDescent="0.3">
      <c r="A527">
        <v>4</v>
      </c>
      <c r="B527">
        <v>3</v>
      </c>
      <c r="C527">
        <v>1</v>
      </c>
      <c r="D527">
        <v>5</v>
      </c>
      <c r="E527" t="s">
        <v>604</v>
      </c>
      <c r="F527" t="s">
        <v>605</v>
      </c>
      <c r="G527">
        <v>223.49700000000001</v>
      </c>
      <c r="H527" t="b">
        <v>0</v>
      </c>
      <c r="I527" t="b">
        <v>0</v>
      </c>
      <c r="J527">
        <v>100</v>
      </c>
      <c r="K527">
        <v>2</v>
      </c>
      <c r="L527">
        <v>2</v>
      </c>
      <c r="M527">
        <v>0</v>
      </c>
      <c r="N527">
        <v>1</v>
      </c>
      <c r="O527">
        <v>1</v>
      </c>
      <c r="P527">
        <v>0</v>
      </c>
      <c r="Q527">
        <v>1</v>
      </c>
      <c r="R527">
        <v>1</v>
      </c>
      <c r="S527">
        <v>0</v>
      </c>
      <c r="T527">
        <v>2</v>
      </c>
      <c r="U527">
        <v>1</v>
      </c>
      <c r="V527">
        <v>0</v>
      </c>
      <c r="W527">
        <v>0</v>
      </c>
    </row>
    <row r="528" spans="1:23" x14ac:dyDescent="0.3">
      <c r="A528">
        <v>4</v>
      </c>
      <c r="B528">
        <v>3</v>
      </c>
      <c r="C528">
        <v>1</v>
      </c>
      <c r="D528">
        <v>6</v>
      </c>
      <c r="E528" t="s">
        <v>605</v>
      </c>
      <c r="F528" t="s">
        <v>606</v>
      </c>
      <c r="G528">
        <v>217.56800000000001</v>
      </c>
      <c r="H528" t="b">
        <v>0</v>
      </c>
      <c r="I528" t="b">
        <v>1</v>
      </c>
      <c r="J528">
        <v>75</v>
      </c>
      <c r="K528">
        <v>4</v>
      </c>
      <c r="L528">
        <v>3</v>
      </c>
      <c r="M528">
        <v>1</v>
      </c>
      <c r="N528">
        <v>2</v>
      </c>
      <c r="O528">
        <v>2</v>
      </c>
      <c r="P528">
        <v>0</v>
      </c>
      <c r="Q528">
        <v>2</v>
      </c>
      <c r="R528">
        <v>1</v>
      </c>
      <c r="S528">
        <v>1</v>
      </c>
      <c r="T528">
        <v>4</v>
      </c>
      <c r="U528">
        <v>3</v>
      </c>
      <c r="V528">
        <v>0</v>
      </c>
      <c r="W528">
        <v>0</v>
      </c>
    </row>
    <row r="529" spans="1:23" x14ac:dyDescent="0.3">
      <c r="A529">
        <v>4</v>
      </c>
      <c r="B529">
        <v>3</v>
      </c>
      <c r="C529">
        <v>1</v>
      </c>
      <c r="D529">
        <v>7</v>
      </c>
      <c r="E529" t="s">
        <v>606</v>
      </c>
      <c r="F529" t="s">
        <v>607</v>
      </c>
      <c r="G529">
        <v>433.55</v>
      </c>
      <c r="H529" t="b">
        <v>0</v>
      </c>
      <c r="I529" t="b">
        <v>1</v>
      </c>
      <c r="J529">
        <v>75</v>
      </c>
      <c r="K529">
        <v>7</v>
      </c>
      <c r="L529">
        <v>4</v>
      </c>
      <c r="M529">
        <v>3</v>
      </c>
      <c r="N529">
        <v>2</v>
      </c>
      <c r="O529">
        <v>2</v>
      </c>
      <c r="P529">
        <v>0</v>
      </c>
      <c r="Q529">
        <v>5</v>
      </c>
      <c r="R529">
        <v>2</v>
      </c>
      <c r="S529">
        <v>3</v>
      </c>
      <c r="T529">
        <v>4</v>
      </c>
      <c r="U529">
        <v>4</v>
      </c>
      <c r="V529">
        <v>0</v>
      </c>
      <c r="W529">
        <v>0</v>
      </c>
    </row>
    <row r="530" spans="1:23" x14ac:dyDescent="0.3">
      <c r="A530">
        <v>4</v>
      </c>
      <c r="B530">
        <v>3</v>
      </c>
      <c r="C530">
        <v>1</v>
      </c>
      <c r="D530">
        <v>8</v>
      </c>
      <c r="E530" t="s">
        <v>607</v>
      </c>
      <c r="F530" t="s">
        <v>608</v>
      </c>
      <c r="G530">
        <v>299.64800000000002</v>
      </c>
      <c r="H530" t="b">
        <v>0</v>
      </c>
      <c r="I530" t="b">
        <v>0</v>
      </c>
      <c r="J530">
        <v>100</v>
      </c>
      <c r="K530">
        <v>4</v>
      </c>
      <c r="L530">
        <v>4</v>
      </c>
      <c r="M530">
        <v>0</v>
      </c>
      <c r="N530">
        <v>3</v>
      </c>
      <c r="O530">
        <v>3</v>
      </c>
      <c r="P530">
        <v>0</v>
      </c>
      <c r="Q530">
        <v>1</v>
      </c>
      <c r="R530">
        <v>1</v>
      </c>
      <c r="S530">
        <v>0</v>
      </c>
      <c r="T530">
        <v>4</v>
      </c>
      <c r="U530">
        <v>3</v>
      </c>
      <c r="V530">
        <v>0</v>
      </c>
      <c r="W530">
        <v>0</v>
      </c>
    </row>
    <row r="531" spans="1:23" x14ac:dyDescent="0.3">
      <c r="A531">
        <v>4</v>
      </c>
      <c r="B531">
        <v>3</v>
      </c>
      <c r="C531">
        <v>2</v>
      </c>
      <c r="D531">
        <v>1</v>
      </c>
      <c r="E531" t="s">
        <v>608</v>
      </c>
      <c r="F531" t="s">
        <v>609</v>
      </c>
      <c r="G531">
        <v>261.56900000000002</v>
      </c>
      <c r="H531" t="b">
        <v>0</v>
      </c>
      <c r="I531" t="b">
        <v>0</v>
      </c>
      <c r="J531">
        <v>75</v>
      </c>
      <c r="K531">
        <v>7</v>
      </c>
      <c r="L531">
        <v>6</v>
      </c>
      <c r="M531">
        <v>1</v>
      </c>
      <c r="N531">
        <v>6</v>
      </c>
      <c r="O531">
        <v>6</v>
      </c>
      <c r="P531">
        <v>0</v>
      </c>
      <c r="Q531">
        <v>1</v>
      </c>
      <c r="R531">
        <v>0</v>
      </c>
      <c r="S531">
        <v>1</v>
      </c>
      <c r="T531">
        <v>4</v>
      </c>
      <c r="U531">
        <v>3</v>
      </c>
      <c r="V531">
        <v>0</v>
      </c>
      <c r="W531">
        <v>0</v>
      </c>
    </row>
    <row r="532" spans="1:23" x14ac:dyDescent="0.3">
      <c r="A532">
        <v>4</v>
      </c>
      <c r="B532">
        <v>3</v>
      </c>
      <c r="C532">
        <v>3</v>
      </c>
      <c r="D532">
        <v>1</v>
      </c>
      <c r="E532" t="s">
        <v>609</v>
      </c>
      <c r="F532" t="s">
        <v>610</v>
      </c>
      <c r="G532">
        <v>191.73599999999999</v>
      </c>
      <c r="H532" t="b">
        <v>0</v>
      </c>
      <c r="I532" t="b">
        <v>0</v>
      </c>
      <c r="J532">
        <v>100</v>
      </c>
      <c r="K532">
        <v>4</v>
      </c>
      <c r="L532">
        <v>4</v>
      </c>
      <c r="M532">
        <v>0</v>
      </c>
      <c r="N532">
        <v>1</v>
      </c>
      <c r="O532">
        <v>1</v>
      </c>
      <c r="P532">
        <v>0</v>
      </c>
      <c r="Q532">
        <v>3</v>
      </c>
      <c r="R532">
        <v>3</v>
      </c>
      <c r="S532">
        <v>0</v>
      </c>
      <c r="T532">
        <v>3</v>
      </c>
      <c r="U532">
        <v>2</v>
      </c>
      <c r="V532">
        <v>0</v>
      </c>
      <c r="W532">
        <v>0</v>
      </c>
    </row>
    <row r="533" spans="1:23" x14ac:dyDescent="0.3">
      <c r="A533">
        <v>4</v>
      </c>
      <c r="B533">
        <v>3</v>
      </c>
      <c r="C533">
        <v>3</v>
      </c>
      <c r="D533">
        <v>2</v>
      </c>
      <c r="E533" t="s">
        <v>610</v>
      </c>
      <c r="F533" t="s">
        <v>611</v>
      </c>
      <c r="G533">
        <v>169.434</v>
      </c>
      <c r="H533" t="b">
        <v>0</v>
      </c>
      <c r="I533" t="b">
        <v>0</v>
      </c>
      <c r="J533">
        <v>75</v>
      </c>
      <c r="K533">
        <v>12</v>
      </c>
      <c r="L533">
        <v>10</v>
      </c>
      <c r="M533">
        <v>2</v>
      </c>
      <c r="N533">
        <v>1</v>
      </c>
      <c r="O533">
        <v>1</v>
      </c>
      <c r="P533">
        <v>0</v>
      </c>
      <c r="Q533">
        <v>11</v>
      </c>
      <c r="R533">
        <v>9</v>
      </c>
      <c r="S533">
        <v>2</v>
      </c>
      <c r="T533">
        <v>4</v>
      </c>
      <c r="U533">
        <v>3</v>
      </c>
      <c r="V533">
        <v>0</v>
      </c>
      <c r="W533">
        <v>0</v>
      </c>
    </row>
    <row r="534" spans="1:23" x14ac:dyDescent="0.3">
      <c r="A534">
        <v>4</v>
      </c>
      <c r="B534">
        <v>3</v>
      </c>
      <c r="C534">
        <v>3</v>
      </c>
      <c r="D534">
        <v>3</v>
      </c>
      <c r="E534" t="s">
        <v>611</v>
      </c>
      <c r="F534" t="s">
        <v>612</v>
      </c>
      <c r="G534">
        <v>128.286</v>
      </c>
      <c r="H534" t="b">
        <v>0</v>
      </c>
      <c r="I534" t="b">
        <v>0</v>
      </c>
      <c r="J534">
        <v>100</v>
      </c>
      <c r="K534">
        <v>1</v>
      </c>
      <c r="L534">
        <v>1</v>
      </c>
      <c r="M534">
        <v>0</v>
      </c>
      <c r="N534">
        <v>1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 spans="1:23" x14ac:dyDescent="0.3">
      <c r="A535">
        <v>4</v>
      </c>
      <c r="B535">
        <v>3</v>
      </c>
      <c r="C535">
        <v>3</v>
      </c>
      <c r="D535">
        <v>4</v>
      </c>
      <c r="E535" t="s">
        <v>612</v>
      </c>
      <c r="F535" t="s">
        <v>613</v>
      </c>
      <c r="G535">
        <v>279.63299999999998</v>
      </c>
      <c r="H535" t="b">
        <v>0</v>
      </c>
      <c r="I535" t="b">
        <v>0</v>
      </c>
      <c r="J535">
        <v>100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1</v>
      </c>
      <c r="S535">
        <v>0</v>
      </c>
      <c r="T535">
        <v>4</v>
      </c>
      <c r="U535">
        <v>3</v>
      </c>
      <c r="V535">
        <v>0</v>
      </c>
      <c r="W535">
        <v>0</v>
      </c>
    </row>
    <row r="536" spans="1:23" x14ac:dyDescent="0.3">
      <c r="A536">
        <v>4</v>
      </c>
      <c r="B536">
        <v>3</v>
      </c>
      <c r="C536">
        <v>3</v>
      </c>
      <c r="D536">
        <v>5</v>
      </c>
      <c r="E536" t="s">
        <v>613</v>
      </c>
      <c r="F536" t="s">
        <v>614</v>
      </c>
      <c r="G536">
        <v>628.59799999999996</v>
      </c>
      <c r="H536" t="b">
        <v>0</v>
      </c>
      <c r="I536" t="b">
        <v>0</v>
      </c>
      <c r="J536">
        <v>100</v>
      </c>
      <c r="K536">
        <v>2</v>
      </c>
      <c r="L536">
        <v>2</v>
      </c>
      <c r="M536">
        <v>0</v>
      </c>
      <c r="N536">
        <v>1</v>
      </c>
      <c r="O536">
        <v>1</v>
      </c>
      <c r="P536">
        <v>0</v>
      </c>
      <c r="Q536">
        <v>1</v>
      </c>
      <c r="R536">
        <v>1</v>
      </c>
      <c r="S536">
        <v>0</v>
      </c>
      <c r="T536">
        <v>4</v>
      </c>
      <c r="U536">
        <v>3</v>
      </c>
      <c r="V536">
        <v>0</v>
      </c>
      <c r="W536">
        <v>0</v>
      </c>
    </row>
    <row r="537" spans="1:23" x14ac:dyDescent="0.3">
      <c r="A537">
        <v>4</v>
      </c>
      <c r="B537">
        <v>3</v>
      </c>
      <c r="C537">
        <v>3</v>
      </c>
      <c r="D537">
        <v>6</v>
      </c>
      <c r="E537" t="s">
        <v>614</v>
      </c>
      <c r="F537" t="s">
        <v>615</v>
      </c>
      <c r="G537">
        <v>540.48599999999999</v>
      </c>
      <c r="H537" t="b">
        <v>1</v>
      </c>
      <c r="I537" t="b">
        <v>1</v>
      </c>
      <c r="J537">
        <v>100</v>
      </c>
      <c r="K537">
        <v>11</v>
      </c>
      <c r="L537">
        <v>11</v>
      </c>
      <c r="M537">
        <v>0</v>
      </c>
      <c r="N537">
        <v>2</v>
      </c>
      <c r="O537">
        <v>2</v>
      </c>
      <c r="P537">
        <v>0</v>
      </c>
      <c r="Q537">
        <v>9</v>
      </c>
      <c r="R537">
        <v>9</v>
      </c>
      <c r="S537">
        <v>0</v>
      </c>
      <c r="T537">
        <v>4</v>
      </c>
      <c r="U537">
        <v>3</v>
      </c>
      <c r="V537">
        <v>0</v>
      </c>
      <c r="W537">
        <v>0</v>
      </c>
    </row>
    <row r="538" spans="1:23" x14ac:dyDescent="0.3">
      <c r="A538">
        <v>50</v>
      </c>
      <c r="B538">
        <v>1</v>
      </c>
      <c r="C538">
        <v>1</v>
      </c>
      <c r="D538">
        <v>1</v>
      </c>
      <c r="E538" t="s">
        <v>616</v>
      </c>
      <c r="F538" t="s">
        <v>617</v>
      </c>
      <c r="G538">
        <v>196.22200000000001</v>
      </c>
      <c r="H538" t="b">
        <v>0</v>
      </c>
      <c r="I538" t="b">
        <v>0</v>
      </c>
      <c r="J538">
        <v>100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1</v>
      </c>
      <c r="V538">
        <v>0</v>
      </c>
      <c r="W538">
        <v>0</v>
      </c>
    </row>
    <row r="539" spans="1:23" x14ac:dyDescent="0.3">
      <c r="A539">
        <v>50</v>
      </c>
      <c r="B539">
        <v>1</v>
      </c>
      <c r="C539">
        <v>1</v>
      </c>
      <c r="D539">
        <v>2</v>
      </c>
      <c r="E539" t="s">
        <v>617</v>
      </c>
      <c r="F539" t="s">
        <v>618</v>
      </c>
      <c r="G539">
        <v>90.655000000000001</v>
      </c>
      <c r="H539" t="b">
        <v>0</v>
      </c>
      <c r="I539" t="b">
        <v>0</v>
      </c>
      <c r="J539">
        <v>100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</row>
    <row r="540" spans="1:23" x14ac:dyDescent="0.3">
      <c r="A540">
        <v>50</v>
      </c>
      <c r="B540">
        <v>1</v>
      </c>
      <c r="C540">
        <v>1</v>
      </c>
      <c r="D540">
        <v>3</v>
      </c>
      <c r="E540" t="s">
        <v>618</v>
      </c>
      <c r="F540" t="s">
        <v>619</v>
      </c>
      <c r="G540">
        <v>194.31200000000001</v>
      </c>
      <c r="H540" t="b">
        <v>0</v>
      </c>
      <c r="I540" t="b">
        <v>0</v>
      </c>
      <c r="J540">
        <v>75</v>
      </c>
      <c r="K540">
        <v>2</v>
      </c>
      <c r="L540">
        <v>1</v>
      </c>
      <c r="M540">
        <v>1</v>
      </c>
      <c r="N540">
        <v>1</v>
      </c>
      <c r="O540">
        <v>1</v>
      </c>
      <c r="P540">
        <v>0</v>
      </c>
      <c r="Q540">
        <v>1</v>
      </c>
      <c r="R540">
        <v>0</v>
      </c>
      <c r="S540">
        <v>1</v>
      </c>
      <c r="T540">
        <v>2</v>
      </c>
      <c r="U540">
        <v>2</v>
      </c>
      <c r="V540">
        <v>0</v>
      </c>
      <c r="W540">
        <v>0</v>
      </c>
    </row>
    <row r="541" spans="1:23" x14ac:dyDescent="0.3">
      <c r="A541">
        <v>50</v>
      </c>
      <c r="B541">
        <v>1</v>
      </c>
      <c r="C541">
        <v>1</v>
      </c>
      <c r="D541">
        <v>4</v>
      </c>
      <c r="E541" t="s">
        <v>619</v>
      </c>
      <c r="F541" t="s">
        <v>620</v>
      </c>
      <c r="G541">
        <v>216.535</v>
      </c>
      <c r="H541" t="b">
        <v>0</v>
      </c>
      <c r="I541" t="b">
        <v>0</v>
      </c>
      <c r="J541">
        <v>75</v>
      </c>
      <c r="K541">
        <v>5</v>
      </c>
      <c r="L541">
        <v>1</v>
      </c>
      <c r="M541">
        <v>4</v>
      </c>
      <c r="N541">
        <v>1</v>
      </c>
      <c r="O541">
        <v>1</v>
      </c>
      <c r="P541">
        <v>0</v>
      </c>
      <c r="Q541">
        <v>4</v>
      </c>
      <c r="R541">
        <v>0</v>
      </c>
      <c r="S541">
        <v>4</v>
      </c>
      <c r="T541">
        <v>3</v>
      </c>
      <c r="U541">
        <v>3</v>
      </c>
      <c r="V541">
        <v>0</v>
      </c>
      <c r="W541">
        <v>0</v>
      </c>
    </row>
    <row r="542" spans="1:23" x14ac:dyDescent="0.3">
      <c r="A542">
        <v>50</v>
      </c>
      <c r="B542">
        <v>1</v>
      </c>
      <c r="C542">
        <v>1</v>
      </c>
      <c r="D542">
        <v>5</v>
      </c>
      <c r="E542" t="s">
        <v>620</v>
      </c>
      <c r="F542" t="s">
        <v>621</v>
      </c>
      <c r="G542">
        <v>137.39500000000001</v>
      </c>
      <c r="H542" t="b">
        <v>0</v>
      </c>
      <c r="I542" t="b">
        <v>0</v>
      </c>
      <c r="J542">
        <v>75</v>
      </c>
      <c r="K542">
        <v>6</v>
      </c>
      <c r="L542">
        <v>1</v>
      </c>
      <c r="M542">
        <v>5</v>
      </c>
      <c r="N542">
        <v>1</v>
      </c>
      <c r="O542">
        <v>1</v>
      </c>
      <c r="P542">
        <v>0</v>
      </c>
      <c r="Q542">
        <v>5</v>
      </c>
      <c r="R542">
        <v>0</v>
      </c>
      <c r="S542">
        <v>5</v>
      </c>
      <c r="T542">
        <v>2</v>
      </c>
      <c r="U542">
        <v>1</v>
      </c>
      <c r="V542">
        <v>0</v>
      </c>
      <c r="W542">
        <v>0</v>
      </c>
    </row>
    <row r="543" spans="1:23" x14ac:dyDescent="0.3">
      <c r="A543">
        <v>50</v>
      </c>
      <c r="B543">
        <v>1</v>
      </c>
      <c r="C543">
        <v>1</v>
      </c>
      <c r="D543">
        <v>6</v>
      </c>
      <c r="E543" t="s">
        <v>621</v>
      </c>
      <c r="F543" t="s">
        <v>622</v>
      </c>
      <c r="G543">
        <v>136.68799999999999</v>
      </c>
      <c r="H543" t="b">
        <v>0</v>
      </c>
      <c r="I543" t="b">
        <v>0</v>
      </c>
      <c r="J543">
        <v>75</v>
      </c>
      <c r="K543">
        <v>6</v>
      </c>
      <c r="L543">
        <v>1</v>
      </c>
      <c r="M543">
        <v>5</v>
      </c>
      <c r="N543">
        <v>1</v>
      </c>
      <c r="O543">
        <v>1</v>
      </c>
      <c r="P543">
        <v>0</v>
      </c>
      <c r="Q543">
        <v>5</v>
      </c>
      <c r="R543">
        <v>0</v>
      </c>
      <c r="S543">
        <v>5</v>
      </c>
      <c r="T543">
        <v>2</v>
      </c>
      <c r="U543">
        <v>2</v>
      </c>
      <c r="V543">
        <v>0</v>
      </c>
      <c r="W543">
        <v>0</v>
      </c>
    </row>
    <row r="544" spans="1:23" x14ac:dyDescent="0.3">
      <c r="A544">
        <v>50</v>
      </c>
      <c r="B544">
        <v>1</v>
      </c>
      <c r="C544">
        <v>1</v>
      </c>
      <c r="D544">
        <v>7</v>
      </c>
      <c r="E544" t="s">
        <v>622</v>
      </c>
      <c r="F544" t="s">
        <v>623</v>
      </c>
      <c r="G544">
        <v>151.91900000000001</v>
      </c>
      <c r="H544" t="b">
        <v>0</v>
      </c>
      <c r="I544" t="b">
        <v>0</v>
      </c>
      <c r="J544">
        <v>100</v>
      </c>
      <c r="K544">
        <v>6</v>
      </c>
      <c r="L544">
        <v>6</v>
      </c>
      <c r="M544">
        <v>0</v>
      </c>
      <c r="N544">
        <v>1</v>
      </c>
      <c r="O544">
        <v>1</v>
      </c>
      <c r="P544">
        <v>0</v>
      </c>
      <c r="Q544">
        <v>5</v>
      </c>
      <c r="R544">
        <v>5</v>
      </c>
      <c r="S544">
        <v>0</v>
      </c>
      <c r="T544">
        <v>2</v>
      </c>
      <c r="U544">
        <v>2</v>
      </c>
      <c r="V544">
        <v>0</v>
      </c>
      <c r="W544">
        <v>0</v>
      </c>
    </row>
    <row r="545" spans="1:23" x14ac:dyDescent="0.3">
      <c r="A545">
        <v>50</v>
      </c>
      <c r="B545">
        <v>1</v>
      </c>
      <c r="C545">
        <v>1</v>
      </c>
      <c r="D545">
        <v>8</v>
      </c>
      <c r="E545" t="s">
        <v>623</v>
      </c>
      <c r="F545" t="s">
        <v>624</v>
      </c>
      <c r="G545">
        <v>199.72399999999999</v>
      </c>
      <c r="H545" t="b">
        <v>0</v>
      </c>
      <c r="I545" t="b">
        <v>0</v>
      </c>
      <c r="J545">
        <v>100</v>
      </c>
      <c r="K545">
        <v>6</v>
      </c>
      <c r="L545">
        <v>6</v>
      </c>
      <c r="M545">
        <v>0</v>
      </c>
      <c r="N545">
        <v>1</v>
      </c>
      <c r="O545">
        <v>1</v>
      </c>
      <c r="P545">
        <v>0</v>
      </c>
      <c r="Q545">
        <v>5</v>
      </c>
      <c r="R545">
        <v>5</v>
      </c>
      <c r="S545">
        <v>0</v>
      </c>
      <c r="T545">
        <v>2</v>
      </c>
      <c r="U545">
        <v>2</v>
      </c>
      <c r="V545">
        <v>0</v>
      </c>
      <c r="W545">
        <v>0</v>
      </c>
    </row>
    <row r="546" spans="1:23" x14ac:dyDescent="0.3">
      <c r="A546">
        <v>50</v>
      </c>
      <c r="B546">
        <v>1</v>
      </c>
      <c r="C546">
        <v>2</v>
      </c>
      <c r="D546">
        <v>1</v>
      </c>
      <c r="E546" t="s">
        <v>624</v>
      </c>
      <c r="F546" t="s">
        <v>625</v>
      </c>
      <c r="G546">
        <v>256.75599999999997</v>
      </c>
      <c r="H546" t="b">
        <v>1</v>
      </c>
      <c r="I546" t="b">
        <v>1</v>
      </c>
      <c r="J546">
        <v>100</v>
      </c>
      <c r="K546">
        <v>3</v>
      </c>
      <c r="L546">
        <v>3</v>
      </c>
      <c r="M546">
        <v>0</v>
      </c>
      <c r="N546">
        <v>2</v>
      </c>
      <c r="O546">
        <v>2</v>
      </c>
      <c r="P546">
        <v>0</v>
      </c>
      <c r="Q546">
        <v>1</v>
      </c>
      <c r="R546">
        <v>1</v>
      </c>
      <c r="S546">
        <v>0</v>
      </c>
      <c r="T546">
        <v>4</v>
      </c>
      <c r="U546">
        <v>4</v>
      </c>
      <c r="V546">
        <v>0</v>
      </c>
      <c r="W546">
        <v>0</v>
      </c>
    </row>
    <row r="547" spans="1:23" x14ac:dyDescent="0.3">
      <c r="A547">
        <v>50</v>
      </c>
      <c r="B547">
        <v>1</v>
      </c>
      <c r="C547">
        <v>1</v>
      </c>
      <c r="D547">
        <v>1</v>
      </c>
      <c r="E547" t="s">
        <v>625</v>
      </c>
      <c r="F547" t="s">
        <v>626</v>
      </c>
      <c r="G547">
        <v>53.308999999999997</v>
      </c>
      <c r="H547" t="b">
        <v>0</v>
      </c>
      <c r="I547" t="b">
        <v>0</v>
      </c>
      <c r="J547">
        <v>100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3">
      <c r="A548">
        <v>50</v>
      </c>
      <c r="B548">
        <v>1</v>
      </c>
      <c r="C548">
        <v>3</v>
      </c>
      <c r="D548">
        <v>1</v>
      </c>
      <c r="E548" t="s">
        <v>626</v>
      </c>
      <c r="F548" t="s">
        <v>627</v>
      </c>
      <c r="G548">
        <v>115.736</v>
      </c>
      <c r="H548" t="b">
        <v>0</v>
      </c>
      <c r="I548" t="b">
        <v>0</v>
      </c>
      <c r="J548">
        <v>100</v>
      </c>
      <c r="K548">
        <v>1</v>
      </c>
      <c r="L548">
        <v>1</v>
      </c>
      <c r="M548">
        <v>0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1</v>
      </c>
      <c r="V548">
        <v>0</v>
      </c>
      <c r="W548">
        <v>0</v>
      </c>
    </row>
    <row r="549" spans="1:23" x14ac:dyDescent="0.3">
      <c r="A549">
        <v>50</v>
      </c>
      <c r="B549">
        <v>1</v>
      </c>
      <c r="C549">
        <v>3</v>
      </c>
      <c r="D549">
        <v>2</v>
      </c>
      <c r="E549" t="s">
        <v>627</v>
      </c>
      <c r="F549" t="s">
        <v>628</v>
      </c>
      <c r="G549">
        <v>155.50800000000001</v>
      </c>
      <c r="H549" t="b">
        <v>0</v>
      </c>
      <c r="I549" t="b">
        <v>0</v>
      </c>
      <c r="J549">
        <v>100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3">
      <c r="A550">
        <v>51</v>
      </c>
      <c r="B550">
        <v>1</v>
      </c>
      <c r="C550">
        <v>1</v>
      </c>
      <c r="D550">
        <v>1</v>
      </c>
      <c r="E550" t="s">
        <v>629</v>
      </c>
      <c r="F550" t="s">
        <v>630</v>
      </c>
      <c r="G550">
        <v>440.97699999999998</v>
      </c>
      <c r="H550" t="b">
        <v>0</v>
      </c>
      <c r="I550" t="b">
        <v>1</v>
      </c>
      <c r="J550">
        <v>50</v>
      </c>
      <c r="K550">
        <v>5</v>
      </c>
      <c r="L550">
        <v>3</v>
      </c>
      <c r="M550">
        <v>2</v>
      </c>
      <c r="N550">
        <v>2</v>
      </c>
      <c r="O550">
        <v>1</v>
      </c>
      <c r="P550">
        <v>1</v>
      </c>
      <c r="Q550">
        <v>3</v>
      </c>
      <c r="R550">
        <v>2</v>
      </c>
      <c r="S550">
        <v>1</v>
      </c>
      <c r="T550">
        <v>4</v>
      </c>
      <c r="U550">
        <v>3</v>
      </c>
      <c r="V550">
        <v>0</v>
      </c>
      <c r="W550">
        <v>0</v>
      </c>
    </row>
    <row r="551" spans="1:23" x14ac:dyDescent="0.3">
      <c r="A551">
        <v>51</v>
      </c>
      <c r="B551">
        <v>1</v>
      </c>
      <c r="C551">
        <v>1</v>
      </c>
      <c r="D551">
        <v>2</v>
      </c>
      <c r="E551" t="s">
        <v>630</v>
      </c>
      <c r="F551" t="s">
        <v>631</v>
      </c>
      <c r="G551">
        <v>253.251</v>
      </c>
      <c r="H551" t="b">
        <v>1</v>
      </c>
      <c r="I551" t="b">
        <v>1</v>
      </c>
      <c r="J551">
        <v>100</v>
      </c>
      <c r="K551">
        <v>4</v>
      </c>
      <c r="L551">
        <v>4</v>
      </c>
      <c r="M551">
        <v>0</v>
      </c>
      <c r="N551">
        <v>2</v>
      </c>
      <c r="O551">
        <v>2</v>
      </c>
      <c r="P551">
        <v>0</v>
      </c>
      <c r="Q551">
        <v>2</v>
      </c>
      <c r="R551">
        <v>2</v>
      </c>
      <c r="S551">
        <v>0</v>
      </c>
      <c r="T551">
        <v>4</v>
      </c>
      <c r="U551">
        <v>3</v>
      </c>
      <c r="V551">
        <v>0</v>
      </c>
      <c r="W551">
        <v>0</v>
      </c>
    </row>
    <row r="552" spans="1:23" x14ac:dyDescent="0.3">
      <c r="A552">
        <v>51</v>
      </c>
      <c r="B552">
        <v>1</v>
      </c>
      <c r="C552">
        <v>2</v>
      </c>
      <c r="D552">
        <v>1</v>
      </c>
      <c r="E552" t="s">
        <v>631</v>
      </c>
      <c r="F552" t="s">
        <v>632</v>
      </c>
      <c r="G552">
        <v>265.72899999999998</v>
      </c>
      <c r="H552" t="b">
        <v>1</v>
      </c>
      <c r="I552" t="b">
        <v>1</v>
      </c>
      <c r="J552">
        <v>100</v>
      </c>
      <c r="K552">
        <v>5</v>
      </c>
      <c r="L552">
        <v>5</v>
      </c>
      <c r="M552">
        <v>0</v>
      </c>
      <c r="N552">
        <v>2</v>
      </c>
      <c r="O552">
        <v>2</v>
      </c>
      <c r="P552">
        <v>0</v>
      </c>
      <c r="Q552">
        <v>3</v>
      </c>
      <c r="R552">
        <v>3</v>
      </c>
      <c r="S552">
        <v>0</v>
      </c>
      <c r="T552">
        <v>4</v>
      </c>
      <c r="U552">
        <v>1</v>
      </c>
      <c r="V552">
        <v>0</v>
      </c>
      <c r="W552">
        <v>0</v>
      </c>
    </row>
    <row r="553" spans="1:23" x14ac:dyDescent="0.3">
      <c r="A553">
        <v>51</v>
      </c>
      <c r="B553">
        <v>1</v>
      </c>
      <c r="C553">
        <v>2</v>
      </c>
      <c r="D553">
        <v>2</v>
      </c>
      <c r="E553" t="s">
        <v>632</v>
      </c>
      <c r="F553" t="s">
        <v>633</v>
      </c>
      <c r="G553">
        <v>258.56299999999999</v>
      </c>
      <c r="H553" t="b">
        <v>1</v>
      </c>
      <c r="I553" t="b">
        <v>1</v>
      </c>
      <c r="J553">
        <v>100</v>
      </c>
      <c r="K553">
        <v>5</v>
      </c>
      <c r="L553">
        <v>5</v>
      </c>
      <c r="M553">
        <v>0</v>
      </c>
      <c r="N553">
        <v>2</v>
      </c>
      <c r="O553">
        <v>2</v>
      </c>
      <c r="P553">
        <v>0</v>
      </c>
      <c r="Q553">
        <v>3</v>
      </c>
      <c r="R553">
        <v>3</v>
      </c>
      <c r="S553">
        <v>0</v>
      </c>
      <c r="T553">
        <v>4</v>
      </c>
      <c r="U553">
        <v>2</v>
      </c>
      <c r="V553">
        <v>0</v>
      </c>
      <c r="W553">
        <v>0</v>
      </c>
    </row>
    <row r="554" spans="1:23" x14ac:dyDescent="0.3">
      <c r="A554">
        <v>51</v>
      </c>
      <c r="B554">
        <v>1</v>
      </c>
      <c r="C554">
        <v>3</v>
      </c>
      <c r="D554">
        <v>1</v>
      </c>
      <c r="E554" t="s">
        <v>633</v>
      </c>
      <c r="F554" t="s">
        <v>634</v>
      </c>
      <c r="G554">
        <v>153.41</v>
      </c>
      <c r="H554" t="b">
        <v>1</v>
      </c>
      <c r="I554" t="b">
        <v>1</v>
      </c>
      <c r="J554">
        <v>100</v>
      </c>
      <c r="K554">
        <v>5</v>
      </c>
      <c r="L554">
        <v>5</v>
      </c>
      <c r="M554">
        <v>0</v>
      </c>
      <c r="N554">
        <v>2</v>
      </c>
      <c r="O554">
        <v>2</v>
      </c>
      <c r="P554">
        <v>0</v>
      </c>
      <c r="Q554">
        <v>3</v>
      </c>
      <c r="R554">
        <v>3</v>
      </c>
      <c r="S554">
        <v>0</v>
      </c>
      <c r="T554">
        <v>4</v>
      </c>
      <c r="U554">
        <v>3</v>
      </c>
      <c r="V554">
        <v>0</v>
      </c>
      <c r="W554">
        <v>0</v>
      </c>
    </row>
    <row r="555" spans="1:23" x14ac:dyDescent="0.3">
      <c r="A555">
        <v>51</v>
      </c>
      <c r="B555">
        <v>3</v>
      </c>
      <c r="C555">
        <v>1</v>
      </c>
      <c r="D555">
        <v>1</v>
      </c>
      <c r="E555" t="s">
        <v>635</v>
      </c>
      <c r="F555" t="s">
        <v>636</v>
      </c>
      <c r="G555">
        <v>134.81299999999999</v>
      </c>
      <c r="H555" t="b">
        <v>0</v>
      </c>
      <c r="I555" t="b">
        <v>1</v>
      </c>
      <c r="J555">
        <v>75</v>
      </c>
      <c r="K555">
        <v>3</v>
      </c>
      <c r="L555">
        <v>2</v>
      </c>
      <c r="M555">
        <v>1</v>
      </c>
      <c r="N555">
        <v>1</v>
      </c>
      <c r="O555">
        <v>1</v>
      </c>
      <c r="P555">
        <v>0</v>
      </c>
      <c r="Q555">
        <v>2</v>
      </c>
      <c r="R555">
        <v>1</v>
      </c>
      <c r="S555">
        <v>1</v>
      </c>
      <c r="T555">
        <v>4</v>
      </c>
      <c r="U555">
        <v>3</v>
      </c>
      <c r="V555">
        <v>0</v>
      </c>
      <c r="W555">
        <v>0</v>
      </c>
    </row>
    <row r="556" spans="1:23" x14ac:dyDescent="0.3">
      <c r="A556">
        <v>51</v>
      </c>
      <c r="B556">
        <v>3</v>
      </c>
      <c r="C556">
        <v>1</v>
      </c>
      <c r="D556">
        <v>2</v>
      </c>
      <c r="E556" t="s">
        <v>636</v>
      </c>
      <c r="F556" t="s">
        <v>637</v>
      </c>
      <c r="G556">
        <v>183.78899999999999</v>
      </c>
      <c r="H556" t="b">
        <v>1</v>
      </c>
      <c r="I556" t="b">
        <v>1</v>
      </c>
      <c r="J556">
        <v>100</v>
      </c>
      <c r="K556">
        <v>2</v>
      </c>
      <c r="L556">
        <v>2</v>
      </c>
      <c r="M556">
        <v>0</v>
      </c>
      <c r="N556">
        <v>1</v>
      </c>
      <c r="O556">
        <v>1</v>
      </c>
      <c r="P556">
        <v>0</v>
      </c>
      <c r="Q556">
        <v>1</v>
      </c>
      <c r="R556">
        <v>1</v>
      </c>
      <c r="S556">
        <v>0</v>
      </c>
      <c r="T556">
        <v>4</v>
      </c>
      <c r="U556">
        <v>3</v>
      </c>
      <c r="V556">
        <v>0</v>
      </c>
      <c r="W556">
        <v>0</v>
      </c>
    </row>
    <row r="557" spans="1:23" x14ac:dyDescent="0.3">
      <c r="A557">
        <v>51</v>
      </c>
      <c r="B557">
        <v>3</v>
      </c>
      <c r="C557">
        <v>1</v>
      </c>
      <c r="D557">
        <v>3</v>
      </c>
      <c r="E557" t="s">
        <v>637</v>
      </c>
      <c r="F557" t="s">
        <v>638</v>
      </c>
      <c r="G557">
        <v>176.61199999999999</v>
      </c>
      <c r="H557" t="b">
        <v>1</v>
      </c>
      <c r="I557" t="b">
        <v>1</v>
      </c>
      <c r="J557">
        <v>100</v>
      </c>
      <c r="K557">
        <v>5</v>
      </c>
      <c r="L557">
        <v>5</v>
      </c>
      <c r="M557">
        <v>0</v>
      </c>
      <c r="N557">
        <v>2</v>
      </c>
      <c r="O557">
        <v>2</v>
      </c>
      <c r="P557">
        <v>0</v>
      </c>
      <c r="Q557">
        <v>3</v>
      </c>
      <c r="R557">
        <v>3</v>
      </c>
      <c r="S557">
        <v>0</v>
      </c>
      <c r="T557">
        <v>4</v>
      </c>
      <c r="U557">
        <v>3</v>
      </c>
      <c r="V557">
        <v>0</v>
      </c>
      <c r="W557">
        <v>0</v>
      </c>
    </row>
    <row r="558" spans="1:23" x14ac:dyDescent="0.3">
      <c r="A558">
        <v>51</v>
      </c>
      <c r="B558">
        <v>3</v>
      </c>
      <c r="C558">
        <v>2</v>
      </c>
      <c r="D558">
        <v>1</v>
      </c>
      <c r="E558" t="s">
        <v>638</v>
      </c>
      <c r="F558" t="s">
        <v>639</v>
      </c>
      <c r="G558">
        <v>253.32900000000001</v>
      </c>
      <c r="H558" t="b">
        <v>0</v>
      </c>
      <c r="I558" t="b">
        <v>1</v>
      </c>
      <c r="J558">
        <v>75</v>
      </c>
      <c r="K558">
        <v>5</v>
      </c>
      <c r="L558">
        <v>5</v>
      </c>
      <c r="M558">
        <v>0</v>
      </c>
      <c r="N558">
        <v>2</v>
      </c>
      <c r="O558">
        <v>2</v>
      </c>
      <c r="P558">
        <v>0</v>
      </c>
      <c r="Q558">
        <v>3</v>
      </c>
      <c r="R558">
        <v>3</v>
      </c>
      <c r="S558">
        <v>0</v>
      </c>
      <c r="T558">
        <v>4</v>
      </c>
      <c r="U558">
        <v>2</v>
      </c>
      <c r="V558">
        <v>1</v>
      </c>
      <c r="W558">
        <v>1</v>
      </c>
    </row>
    <row r="559" spans="1:23" x14ac:dyDescent="0.3">
      <c r="A559">
        <v>51</v>
      </c>
      <c r="B559">
        <v>3</v>
      </c>
      <c r="C559">
        <v>3</v>
      </c>
      <c r="D559">
        <v>1</v>
      </c>
      <c r="E559" t="s">
        <v>639</v>
      </c>
      <c r="F559" t="s">
        <v>640</v>
      </c>
      <c r="G559">
        <v>199.113</v>
      </c>
      <c r="H559" t="b">
        <v>0</v>
      </c>
      <c r="I559" t="b">
        <v>1</v>
      </c>
      <c r="J559">
        <v>75</v>
      </c>
      <c r="K559">
        <v>11</v>
      </c>
      <c r="L559">
        <v>9</v>
      </c>
      <c r="M559">
        <v>2</v>
      </c>
      <c r="N559">
        <v>2</v>
      </c>
      <c r="O559">
        <v>2</v>
      </c>
      <c r="P559">
        <v>0</v>
      </c>
      <c r="Q559">
        <v>9</v>
      </c>
      <c r="R559">
        <v>7</v>
      </c>
      <c r="S559">
        <v>2</v>
      </c>
      <c r="T559">
        <v>4</v>
      </c>
      <c r="U559">
        <v>3</v>
      </c>
      <c r="V559">
        <v>0</v>
      </c>
      <c r="W559">
        <v>0</v>
      </c>
    </row>
    <row r="560" spans="1:23" x14ac:dyDescent="0.3">
      <c r="A560">
        <v>51</v>
      </c>
      <c r="B560">
        <v>3</v>
      </c>
      <c r="C560">
        <v>3</v>
      </c>
      <c r="D560">
        <v>2</v>
      </c>
      <c r="E560" t="s">
        <v>640</v>
      </c>
      <c r="F560" t="s">
        <v>641</v>
      </c>
      <c r="G560">
        <v>92.402000000000001</v>
      </c>
      <c r="H560" t="b">
        <v>1</v>
      </c>
      <c r="I560" t="b">
        <v>1</v>
      </c>
      <c r="J560">
        <v>100</v>
      </c>
      <c r="K560">
        <v>6</v>
      </c>
      <c r="L560">
        <v>6</v>
      </c>
      <c r="M560">
        <v>0</v>
      </c>
      <c r="N560">
        <v>2</v>
      </c>
      <c r="O560">
        <v>2</v>
      </c>
      <c r="P560">
        <v>0</v>
      </c>
      <c r="Q560">
        <v>4</v>
      </c>
      <c r="R560">
        <v>4</v>
      </c>
      <c r="S560">
        <v>0</v>
      </c>
      <c r="T560">
        <v>4</v>
      </c>
      <c r="U560">
        <v>3</v>
      </c>
      <c r="V560">
        <v>0</v>
      </c>
      <c r="W560">
        <v>0</v>
      </c>
    </row>
    <row r="561" spans="1:23" x14ac:dyDescent="0.3">
      <c r="A561">
        <v>52</v>
      </c>
      <c r="B561">
        <v>1</v>
      </c>
      <c r="C561">
        <v>1</v>
      </c>
      <c r="D561">
        <v>1</v>
      </c>
      <c r="E561" t="s">
        <v>642</v>
      </c>
      <c r="F561" t="s">
        <v>643</v>
      </c>
      <c r="G561">
        <v>157.50899999999999</v>
      </c>
      <c r="H561" t="b">
        <v>0</v>
      </c>
      <c r="I561" t="b">
        <v>0</v>
      </c>
      <c r="J561">
        <v>100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0</v>
      </c>
      <c r="W561">
        <v>0</v>
      </c>
    </row>
    <row r="562" spans="1:23" x14ac:dyDescent="0.3">
      <c r="A562">
        <v>52</v>
      </c>
      <c r="B562">
        <v>1</v>
      </c>
      <c r="C562">
        <v>1</v>
      </c>
      <c r="D562">
        <v>2</v>
      </c>
      <c r="E562" t="s">
        <v>643</v>
      </c>
      <c r="F562" t="s">
        <v>644</v>
      </c>
      <c r="G562">
        <v>150.42400000000001</v>
      </c>
      <c r="H562" t="b">
        <v>0</v>
      </c>
      <c r="I562" t="b">
        <v>0</v>
      </c>
      <c r="J562">
        <v>100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0</v>
      </c>
      <c r="W562">
        <v>0</v>
      </c>
    </row>
    <row r="563" spans="1:23" x14ac:dyDescent="0.3">
      <c r="A563">
        <v>52</v>
      </c>
      <c r="B563">
        <v>1</v>
      </c>
      <c r="C563">
        <v>1</v>
      </c>
      <c r="D563">
        <v>3</v>
      </c>
      <c r="E563" t="s">
        <v>644</v>
      </c>
      <c r="F563" t="s">
        <v>645</v>
      </c>
      <c r="G563">
        <v>176.72300000000001</v>
      </c>
      <c r="H563" t="b">
        <v>0</v>
      </c>
      <c r="I563" t="b">
        <v>0</v>
      </c>
      <c r="J563">
        <v>100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1</v>
      </c>
      <c r="V563">
        <v>0</v>
      </c>
      <c r="W563">
        <v>0</v>
      </c>
    </row>
    <row r="564" spans="1:23" x14ac:dyDescent="0.3">
      <c r="A564">
        <v>52</v>
      </c>
      <c r="B564">
        <v>1</v>
      </c>
      <c r="C564">
        <v>1</v>
      </c>
      <c r="D564">
        <v>4</v>
      </c>
      <c r="E564" t="s">
        <v>645</v>
      </c>
      <c r="F564" t="s">
        <v>646</v>
      </c>
      <c r="G564">
        <v>151.452</v>
      </c>
      <c r="H564" t="b">
        <v>0</v>
      </c>
      <c r="I564" t="b">
        <v>0</v>
      </c>
      <c r="J564">
        <v>100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">
      <c r="A565">
        <v>52</v>
      </c>
      <c r="B565">
        <v>1</v>
      </c>
      <c r="C565">
        <v>1</v>
      </c>
      <c r="D565">
        <v>5</v>
      </c>
      <c r="E565" t="s">
        <v>646</v>
      </c>
      <c r="F565" t="s">
        <v>647</v>
      </c>
      <c r="G565">
        <v>344.61399999999998</v>
      </c>
      <c r="H565" t="b">
        <v>0</v>
      </c>
      <c r="I565" t="b">
        <v>0</v>
      </c>
      <c r="J565">
        <v>75</v>
      </c>
      <c r="K565">
        <v>2</v>
      </c>
      <c r="L565">
        <v>1</v>
      </c>
      <c r="M565">
        <v>1</v>
      </c>
      <c r="N565">
        <v>1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3</v>
      </c>
      <c r="U565">
        <v>3</v>
      </c>
      <c r="V565">
        <v>0</v>
      </c>
      <c r="W565">
        <v>0</v>
      </c>
    </row>
    <row r="566" spans="1:23" x14ac:dyDescent="0.3">
      <c r="A566">
        <v>52</v>
      </c>
      <c r="B566">
        <v>1</v>
      </c>
      <c r="C566">
        <v>1</v>
      </c>
      <c r="D566">
        <v>6</v>
      </c>
      <c r="E566" t="s">
        <v>647</v>
      </c>
      <c r="F566" t="s">
        <v>648</v>
      </c>
      <c r="G566">
        <v>192.92</v>
      </c>
      <c r="H566" t="b">
        <v>0</v>
      </c>
      <c r="I566" t="b">
        <v>0</v>
      </c>
      <c r="J566">
        <v>100</v>
      </c>
      <c r="K566">
        <v>2</v>
      </c>
      <c r="L566">
        <v>2</v>
      </c>
      <c r="M566">
        <v>0</v>
      </c>
      <c r="N566">
        <v>1</v>
      </c>
      <c r="O566">
        <v>1</v>
      </c>
      <c r="P566">
        <v>0</v>
      </c>
      <c r="Q566">
        <v>1</v>
      </c>
      <c r="R566">
        <v>1</v>
      </c>
      <c r="S566">
        <v>0</v>
      </c>
      <c r="T566">
        <v>3</v>
      </c>
      <c r="U566">
        <v>2</v>
      </c>
      <c r="V566">
        <v>0</v>
      </c>
      <c r="W566">
        <v>0</v>
      </c>
    </row>
    <row r="567" spans="1:23" x14ac:dyDescent="0.3">
      <c r="A567">
        <v>52</v>
      </c>
      <c r="B567">
        <v>1</v>
      </c>
      <c r="C567">
        <v>1</v>
      </c>
      <c r="D567">
        <v>7</v>
      </c>
      <c r="E567" t="s">
        <v>648</v>
      </c>
      <c r="F567" t="s">
        <v>649</v>
      </c>
      <c r="G567">
        <v>182.60300000000001</v>
      </c>
      <c r="H567" t="b">
        <v>0</v>
      </c>
      <c r="I567" t="b">
        <v>0</v>
      </c>
      <c r="J567">
        <v>75</v>
      </c>
      <c r="K567">
        <v>3</v>
      </c>
      <c r="L567">
        <v>2</v>
      </c>
      <c r="M567">
        <v>1</v>
      </c>
      <c r="N567">
        <v>1</v>
      </c>
      <c r="O567">
        <v>1</v>
      </c>
      <c r="P567">
        <v>0</v>
      </c>
      <c r="Q567">
        <v>2</v>
      </c>
      <c r="R567">
        <v>1</v>
      </c>
      <c r="S567">
        <v>1</v>
      </c>
      <c r="T567">
        <v>3</v>
      </c>
      <c r="U567">
        <v>3</v>
      </c>
      <c r="V567">
        <v>0</v>
      </c>
      <c r="W567">
        <v>0</v>
      </c>
    </row>
    <row r="568" spans="1:23" x14ac:dyDescent="0.3">
      <c r="A568">
        <v>52</v>
      </c>
      <c r="B568">
        <v>1</v>
      </c>
      <c r="C568">
        <v>1</v>
      </c>
      <c r="D568">
        <v>8</v>
      </c>
      <c r="E568" t="s">
        <v>649</v>
      </c>
      <c r="F568" t="s">
        <v>650</v>
      </c>
      <c r="G568">
        <v>219.91300000000001</v>
      </c>
      <c r="H568" t="b">
        <v>0</v>
      </c>
      <c r="I568" t="b">
        <v>0</v>
      </c>
      <c r="J568">
        <v>100</v>
      </c>
      <c r="K568">
        <v>4</v>
      </c>
      <c r="L568">
        <v>4</v>
      </c>
      <c r="M568">
        <v>0</v>
      </c>
      <c r="N568">
        <v>2</v>
      </c>
      <c r="O568">
        <v>2</v>
      </c>
      <c r="P568">
        <v>0</v>
      </c>
      <c r="Q568">
        <v>2</v>
      </c>
      <c r="R568">
        <v>2</v>
      </c>
      <c r="S568">
        <v>0</v>
      </c>
      <c r="T568">
        <v>3</v>
      </c>
      <c r="U568">
        <v>3</v>
      </c>
      <c r="V568">
        <v>0</v>
      </c>
      <c r="W568">
        <v>0</v>
      </c>
    </row>
    <row r="569" spans="1:23" x14ac:dyDescent="0.3">
      <c r="A569">
        <v>52</v>
      </c>
      <c r="B569">
        <v>1</v>
      </c>
      <c r="C569">
        <v>1</v>
      </c>
      <c r="D569">
        <v>9</v>
      </c>
      <c r="E569" t="s">
        <v>650</v>
      </c>
      <c r="F569" t="s">
        <v>651</v>
      </c>
      <c r="G569">
        <v>218.01400000000001</v>
      </c>
      <c r="H569" t="b">
        <v>0</v>
      </c>
      <c r="I569" t="b">
        <v>0</v>
      </c>
      <c r="J569">
        <v>100</v>
      </c>
      <c r="K569">
        <v>4</v>
      </c>
      <c r="L569">
        <v>4</v>
      </c>
      <c r="M569">
        <v>0</v>
      </c>
      <c r="N569">
        <v>2</v>
      </c>
      <c r="O569">
        <v>2</v>
      </c>
      <c r="P569">
        <v>0</v>
      </c>
      <c r="Q569">
        <v>2</v>
      </c>
      <c r="R569">
        <v>2</v>
      </c>
      <c r="S569">
        <v>0</v>
      </c>
      <c r="T569">
        <v>4</v>
      </c>
      <c r="U569">
        <v>4</v>
      </c>
      <c r="V569">
        <v>0</v>
      </c>
      <c r="W569">
        <v>0</v>
      </c>
    </row>
    <row r="570" spans="1:23" x14ac:dyDescent="0.3">
      <c r="A570">
        <v>52</v>
      </c>
      <c r="B570">
        <v>1</v>
      </c>
      <c r="C570">
        <v>1</v>
      </c>
      <c r="D570">
        <v>10</v>
      </c>
      <c r="E570" t="s">
        <v>651</v>
      </c>
      <c r="F570" t="s">
        <v>652</v>
      </c>
      <c r="G570">
        <v>151.27699999999999</v>
      </c>
      <c r="H570" t="b">
        <v>0</v>
      </c>
      <c r="I570" t="b">
        <v>0</v>
      </c>
      <c r="J570">
        <v>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x14ac:dyDescent="0.3">
      <c r="A571">
        <v>53</v>
      </c>
      <c r="B571">
        <v>3</v>
      </c>
      <c r="C571">
        <v>1</v>
      </c>
      <c r="D571">
        <v>1</v>
      </c>
      <c r="E571" t="s">
        <v>653</v>
      </c>
      <c r="F571" t="s">
        <v>654</v>
      </c>
      <c r="G571">
        <v>342.32499999999999</v>
      </c>
      <c r="H571" t="b">
        <v>0</v>
      </c>
      <c r="I571" t="b">
        <v>0</v>
      </c>
      <c r="J571">
        <v>75</v>
      </c>
      <c r="K571">
        <v>3</v>
      </c>
      <c r="L571">
        <v>2</v>
      </c>
      <c r="M571">
        <v>1</v>
      </c>
      <c r="N571">
        <v>2</v>
      </c>
      <c r="O571">
        <v>2</v>
      </c>
      <c r="P571">
        <v>0</v>
      </c>
      <c r="Q571">
        <v>1</v>
      </c>
      <c r="R571">
        <v>0</v>
      </c>
      <c r="S571">
        <v>1</v>
      </c>
      <c r="T571">
        <v>4</v>
      </c>
      <c r="U571">
        <v>4</v>
      </c>
      <c r="V571">
        <v>0</v>
      </c>
      <c r="W571">
        <v>0</v>
      </c>
    </row>
    <row r="572" spans="1:23" x14ac:dyDescent="0.3">
      <c r="A572">
        <v>53</v>
      </c>
      <c r="B572">
        <v>3</v>
      </c>
      <c r="C572">
        <v>1</v>
      </c>
      <c r="D572">
        <v>2</v>
      </c>
      <c r="E572" t="s">
        <v>654</v>
      </c>
      <c r="F572" t="s">
        <v>655</v>
      </c>
      <c r="G572">
        <v>664.38499999999999</v>
      </c>
      <c r="H572" t="b">
        <v>0</v>
      </c>
      <c r="I572" t="b">
        <v>0</v>
      </c>
      <c r="J572">
        <v>100</v>
      </c>
      <c r="K572">
        <v>3</v>
      </c>
      <c r="L572">
        <v>3</v>
      </c>
      <c r="M572">
        <v>0</v>
      </c>
      <c r="N572">
        <v>2</v>
      </c>
      <c r="O572">
        <v>2</v>
      </c>
      <c r="P572">
        <v>0</v>
      </c>
      <c r="Q572">
        <v>1</v>
      </c>
      <c r="R572">
        <v>1</v>
      </c>
      <c r="S572">
        <v>0</v>
      </c>
      <c r="T572">
        <v>4</v>
      </c>
      <c r="U572">
        <v>4</v>
      </c>
      <c r="V572">
        <v>0</v>
      </c>
      <c r="W572">
        <v>0</v>
      </c>
    </row>
    <row r="573" spans="1:23" x14ac:dyDescent="0.3">
      <c r="A573">
        <v>53</v>
      </c>
      <c r="B573">
        <v>3</v>
      </c>
      <c r="C573">
        <v>1</v>
      </c>
      <c r="D573">
        <v>3</v>
      </c>
      <c r="E573" t="s">
        <v>655</v>
      </c>
      <c r="F573" t="s">
        <v>656</v>
      </c>
      <c r="G573">
        <v>209.41399999999999</v>
      </c>
      <c r="H573" t="b">
        <v>0</v>
      </c>
      <c r="I573" t="b">
        <v>0</v>
      </c>
      <c r="J573">
        <v>100</v>
      </c>
      <c r="K573">
        <v>3</v>
      </c>
      <c r="L573">
        <v>3</v>
      </c>
      <c r="M573">
        <v>0</v>
      </c>
      <c r="N573">
        <v>2</v>
      </c>
      <c r="O573">
        <v>2</v>
      </c>
      <c r="P573">
        <v>0</v>
      </c>
      <c r="Q573">
        <v>1</v>
      </c>
      <c r="R573">
        <v>1</v>
      </c>
      <c r="S573">
        <v>0</v>
      </c>
      <c r="T573">
        <v>4</v>
      </c>
      <c r="U573">
        <v>4</v>
      </c>
      <c r="V573">
        <v>0</v>
      </c>
      <c r="W573">
        <v>0</v>
      </c>
    </row>
    <row r="574" spans="1:23" x14ac:dyDescent="0.3">
      <c r="A574">
        <v>53</v>
      </c>
      <c r="B574">
        <v>3</v>
      </c>
      <c r="C574">
        <v>1</v>
      </c>
      <c r="D574">
        <v>4</v>
      </c>
      <c r="E574" t="s">
        <v>656</v>
      </c>
      <c r="F574" t="s">
        <v>657</v>
      </c>
      <c r="G574">
        <v>240.16900000000001</v>
      </c>
      <c r="H574" t="b">
        <v>0</v>
      </c>
      <c r="I574" t="b">
        <v>0</v>
      </c>
      <c r="J574">
        <v>75</v>
      </c>
      <c r="K574">
        <v>3</v>
      </c>
      <c r="L574">
        <v>1</v>
      </c>
      <c r="M574">
        <v>2</v>
      </c>
      <c r="N574">
        <v>1</v>
      </c>
      <c r="O574">
        <v>1</v>
      </c>
      <c r="P574">
        <v>0</v>
      </c>
      <c r="Q574">
        <v>2</v>
      </c>
      <c r="R574">
        <v>0</v>
      </c>
      <c r="S574">
        <v>2</v>
      </c>
      <c r="T574">
        <v>4</v>
      </c>
      <c r="U574">
        <v>4</v>
      </c>
      <c r="V574">
        <v>0</v>
      </c>
      <c r="W574">
        <v>0</v>
      </c>
    </row>
    <row r="575" spans="1:23" x14ac:dyDescent="0.3">
      <c r="A575">
        <v>53</v>
      </c>
      <c r="B575">
        <v>3</v>
      </c>
      <c r="C575">
        <v>1</v>
      </c>
      <c r="D575">
        <v>5</v>
      </c>
      <c r="E575" t="s">
        <v>657</v>
      </c>
      <c r="F575" t="s">
        <v>658</v>
      </c>
      <c r="G575">
        <v>335.63400000000001</v>
      </c>
      <c r="H575" t="b">
        <v>1</v>
      </c>
      <c r="I575" t="b">
        <v>1</v>
      </c>
      <c r="J575">
        <v>100</v>
      </c>
      <c r="K575">
        <v>4</v>
      </c>
      <c r="L575">
        <v>4</v>
      </c>
      <c r="M575">
        <v>0</v>
      </c>
      <c r="N575">
        <v>2</v>
      </c>
      <c r="O575">
        <v>2</v>
      </c>
      <c r="P575">
        <v>0</v>
      </c>
      <c r="Q575">
        <v>2</v>
      </c>
      <c r="R575">
        <v>2</v>
      </c>
      <c r="S575">
        <v>0</v>
      </c>
      <c r="T575">
        <v>4</v>
      </c>
      <c r="U575">
        <v>4</v>
      </c>
      <c r="V575">
        <v>0</v>
      </c>
      <c r="W575">
        <v>0</v>
      </c>
    </row>
    <row r="576" spans="1:23" x14ac:dyDescent="0.3">
      <c r="A576">
        <v>53</v>
      </c>
      <c r="B576">
        <v>3</v>
      </c>
      <c r="C576">
        <v>2</v>
      </c>
      <c r="D576">
        <v>1</v>
      </c>
      <c r="E576" t="s">
        <v>658</v>
      </c>
      <c r="F576" t="s">
        <v>659</v>
      </c>
      <c r="G576">
        <v>299.14499999999998</v>
      </c>
      <c r="H576" t="b">
        <v>0</v>
      </c>
      <c r="I576" t="b">
        <v>0</v>
      </c>
      <c r="J576">
        <v>100</v>
      </c>
      <c r="K576">
        <v>4</v>
      </c>
      <c r="L576">
        <v>4</v>
      </c>
      <c r="M576">
        <v>0</v>
      </c>
      <c r="N576">
        <v>2</v>
      </c>
      <c r="O576">
        <v>2</v>
      </c>
      <c r="P576">
        <v>0</v>
      </c>
      <c r="Q576">
        <v>2</v>
      </c>
      <c r="R576">
        <v>2</v>
      </c>
      <c r="S576">
        <v>0</v>
      </c>
      <c r="T576">
        <v>4</v>
      </c>
      <c r="U576">
        <v>4</v>
      </c>
      <c r="V576">
        <v>0</v>
      </c>
      <c r="W576">
        <v>0</v>
      </c>
    </row>
    <row r="577" spans="1:23" x14ac:dyDescent="0.3">
      <c r="A577">
        <v>53</v>
      </c>
      <c r="B577">
        <v>3</v>
      </c>
      <c r="C577">
        <v>2</v>
      </c>
      <c r="D577">
        <v>2</v>
      </c>
      <c r="E577" t="s">
        <v>659</v>
      </c>
      <c r="F577" t="s">
        <v>660</v>
      </c>
      <c r="G577">
        <v>276.73700000000002</v>
      </c>
      <c r="H577" t="b">
        <v>1</v>
      </c>
      <c r="I577" t="b">
        <v>1</v>
      </c>
      <c r="J577">
        <v>100</v>
      </c>
      <c r="K577">
        <v>4</v>
      </c>
      <c r="L577">
        <v>4</v>
      </c>
      <c r="M577">
        <v>0</v>
      </c>
      <c r="N577">
        <v>2</v>
      </c>
      <c r="O577">
        <v>2</v>
      </c>
      <c r="P577">
        <v>0</v>
      </c>
      <c r="Q577">
        <v>2</v>
      </c>
      <c r="R577">
        <v>2</v>
      </c>
      <c r="S577">
        <v>0</v>
      </c>
      <c r="T577">
        <v>4</v>
      </c>
      <c r="U577">
        <v>4</v>
      </c>
      <c r="V577">
        <v>0</v>
      </c>
      <c r="W577">
        <v>0</v>
      </c>
    </row>
    <row r="578" spans="1:23" x14ac:dyDescent="0.3">
      <c r="A578">
        <v>53</v>
      </c>
      <c r="B578">
        <v>3</v>
      </c>
      <c r="C578">
        <v>3</v>
      </c>
      <c r="D578">
        <v>1</v>
      </c>
      <c r="E578" t="s">
        <v>660</v>
      </c>
      <c r="F578" t="s">
        <v>661</v>
      </c>
      <c r="G578">
        <v>390.33800000000002</v>
      </c>
      <c r="H578" t="b">
        <v>1</v>
      </c>
      <c r="I578" t="b">
        <v>1</v>
      </c>
      <c r="J578">
        <v>100</v>
      </c>
      <c r="K578">
        <v>4</v>
      </c>
      <c r="L578">
        <v>4</v>
      </c>
      <c r="M578">
        <v>0</v>
      </c>
      <c r="N578">
        <v>2</v>
      </c>
      <c r="O578">
        <v>2</v>
      </c>
      <c r="P578">
        <v>0</v>
      </c>
      <c r="Q578">
        <v>2</v>
      </c>
      <c r="R578">
        <v>2</v>
      </c>
      <c r="S578">
        <v>0</v>
      </c>
      <c r="T578">
        <v>4</v>
      </c>
      <c r="U578">
        <v>4</v>
      </c>
      <c r="V578">
        <v>0</v>
      </c>
      <c r="W578">
        <v>0</v>
      </c>
    </row>
    <row r="579" spans="1:23" x14ac:dyDescent="0.3">
      <c r="A579">
        <v>5</v>
      </c>
      <c r="B579">
        <v>1</v>
      </c>
      <c r="C579">
        <v>1</v>
      </c>
      <c r="D579">
        <v>1</v>
      </c>
      <c r="E579" t="s">
        <v>662</v>
      </c>
      <c r="F579" t="s">
        <v>663</v>
      </c>
      <c r="G579">
        <v>138.81899999999999</v>
      </c>
      <c r="H579" t="b">
        <v>0</v>
      </c>
      <c r="I579" t="b">
        <v>0</v>
      </c>
      <c r="J579">
        <v>100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1</v>
      </c>
      <c r="V579">
        <v>0</v>
      </c>
      <c r="W579">
        <v>0</v>
      </c>
    </row>
    <row r="580" spans="1:23" x14ac:dyDescent="0.3">
      <c r="A580">
        <v>5</v>
      </c>
      <c r="B580">
        <v>1</v>
      </c>
      <c r="C580">
        <v>1</v>
      </c>
      <c r="D580">
        <v>2</v>
      </c>
      <c r="E580" t="s">
        <v>663</v>
      </c>
      <c r="F580" t="s">
        <v>664</v>
      </c>
      <c r="G580">
        <v>41.167000000000002</v>
      </c>
      <c r="H580" t="b">
        <v>0</v>
      </c>
      <c r="I580" t="b">
        <v>0</v>
      </c>
      <c r="J580">
        <v>100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0</v>
      </c>
      <c r="W580">
        <v>0</v>
      </c>
    </row>
    <row r="581" spans="1:23" x14ac:dyDescent="0.3">
      <c r="A581">
        <v>5</v>
      </c>
      <c r="B581">
        <v>1</v>
      </c>
      <c r="C581">
        <v>1</v>
      </c>
      <c r="D581">
        <v>3</v>
      </c>
      <c r="E581" t="s">
        <v>664</v>
      </c>
      <c r="F581" t="s">
        <v>665</v>
      </c>
      <c r="G581">
        <v>258.22000000000003</v>
      </c>
      <c r="H581" t="b">
        <v>0</v>
      </c>
      <c r="I581" t="b">
        <v>1</v>
      </c>
      <c r="J581">
        <v>50</v>
      </c>
      <c r="K581">
        <v>4</v>
      </c>
      <c r="L581">
        <v>2</v>
      </c>
      <c r="M581">
        <v>2</v>
      </c>
      <c r="N581">
        <v>2</v>
      </c>
      <c r="O581">
        <v>2</v>
      </c>
      <c r="P581">
        <v>0</v>
      </c>
      <c r="Q581">
        <v>2</v>
      </c>
      <c r="R581">
        <v>0</v>
      </c>
      <c r="S581">
        <v>2</v>
      </c>
      <c r="T581">
        <v>4</v>
      </c>
      <c r="U581">
        <v>2</v>
      </c>
      <c r="V581">
        <v>1</v>
      </c>
      <c r="W581">
        <v>1</v>
      </c>
    </row>
    <row r="582" spans="1:23" x14ac:dyDescent="0.3">
      <c r="A582">
        <v>5</v>
      </c>
      <c r="B582">
        <v>1</v>
      </c>
      <c r="C582">
        <v>1</v>
      </c>
      <c r="D582">
        <v>4</v>
      </c>
      <c r="E582" t="s">
        <v>665</v>
      </c>
      <c r="F582" t="s">
        <v>666</v>
      </c>
      <c r="G582">
        <v>549.82500000000005</v>
      </c>
      <c r="H582" t="b">
        <v>0</v>
      </c>
      <c r="I582" t="b">
        <v>1</v>
      </c>
      <c r="J582">
        <v>75</v>
      </c>
      <c r="K582">
        <v>4</v>
      </c>
      <c r="L582">
        <v>2</v>
      </c>
      <c r="M582">
        <v>2</v>
      </c>
      <c r="N582">
        <v>2</v>
      </c>
      <c r="O582">
        <v>2</v>
      </c>
      <c r="P582">
        <v>0</v>
      </c>
      <c r="Q582">
        <v>2</v>
      </c>
      <c r="R582">
        <v>0</v>
      </c>
      <c r="S582">
        <v>2</v>
      </c>
      <c r="T582">
        <v>4</v>
      </c>
      <c r="U582">
        <v>4</v>
      </c>
      <c r="V582">
        <v>0</v>
      </c>
      <c r="W582">
        <v>0</v>
      </c>
    </row>
    <row r="583" spans="1:23" x14ac:dyDescent="0.3">
      <c r="A583">
        <v>5</v>
      </c>
      <c r="B583">
        <v>1</v>
      </c>
      <c r="C583">
        <v>1</v>
      </c>
      <c r="D583">
        <v>5</v>
      </c>
      <c r="E583" t="s">
        <v>666</v>
      </c>
      <c r="F583" t="s">
        <v>667</v>
      </c>
      <c r="G583">
        <v>346.73</v>
      </c>
      <c r="H583" t="b">
        <v>0</v>
      </c>
      <c r="I583" t="b">
        <v>1</v>
      </c>
      <c r="J583">
        <v>75</v>
      </c>
      <c r="K583">
        <v>2</v>
      </c>
      <c r="L583">
        <v>0</v>
      </c>
      <c r="M583">
        <v>2</v>
      </c>
      <c r="N583">
        <v>0</v>
      </c>
      <c r="O583">
        <v>0</v>
      </c>
      <c r="P583">
        <v>0</v>
      </c>
      <c r="Q583">
        <v>2</v>
      </c>
      <c r="R583">
        <v>0</v>
      </c>
      <c r="S583">
        <v>2</v>
      </c>
      <c r="T583">
        <v>4</v>
      </c>
      <c r="U583">
        <v>2</v>
      </c>
      <c r="V583">
        <v>0</v>
      </c>
      <c r="W583">
        <v>0</v>
      </c>
    </row>
    <row r="584" spans="1:23" x14ac:dyDescent="0.3">
      <c r="A584">
        <v>5</v>
      </c>
      <c r="B584">
        <v>1</v>
      </c>
      <c r="C584">
        <v>2</v>
      </c>
      <c r="D584">
        <v>1</v>
      </c>
      <c r="E584" t="s">
        <v>667</v>
      </c>
      <c r="F584" t="s">
        <v>668</v>
      </c>
      <c r="G584">
        <v>366.12799999999999</v>
      </c>
      <c r="H584" t="b">
        <v>0</v>
      </c>
      <c r="I584" t="b">
        <v>1</v>
      </c>
      <c r="J584">
        <v>75</v>
      </c>
      <c r="K584">
        <v>3</v>
      </c>
      <c r="L584">
        <v>2</v>
      </c>
      <c r="M584">
        <v>1</v>
      </c>
      <c r="N584">
        <v>2</v>
      </c>
      <c r="O584">
        <v>2</v>
      </c>
      <c r="P584">
        <v>0</v>
      </c>
      <c r="Q584">
        <v>1</v>
      </c>
      <c r="R584">
        <v>0</v>
      </c>
      <c r="S584">
        <v>1</v>
      </c>
      <c r="T584">
        <v>4</v>
      </c>
      <c r="U584">
        <v>2</v>
      </c>
      <c r="V584">
        <v>0</v>
      </c>
      <c r="W584">
        <v>0</v>
      </c>
    </row>
    <row r="585" spans="1:23" x14ac:dyDescent="0.3">
      <c r="A585">
        <v>5</v>
      </c>
      <c r="B585">
        <v>1</v>
      </c>
      <c r="C585">
        <v>2</v>
      </c>
      <c r="D585">
        <v>2</v>
      </c>
      <c r="E585" t="s">
        <v>668</v>
      </c>
      <c r="F585" t="s">
        <v>669</v>
      </c>
      <c r="G585">
        <v>3156.1190000000001</v>
      </c>
      <c r="H585" t="b">
        <v>0</v>
      </c>
      <c r="I585" t="b">
        <v>1</v>
      </c>
      <c r="J585">
        <v>75</v>
      </c>
      <c r="K585">
        <v>3</v>
      </c>
      <c r="L585">
        <v>3</v>
      </c>
      <c r="M585">
        <v>0</v>
      </c>
      <c r="N585">
        <v>2</v>
      </c>
      <c r="O585">
        <v>2</v>
      </c>
      <c r="P585">
        <v>0</v>
      </c>
      <c r="Q585">
        <v>1</v>
      </c>
      <c r="R585">
        <v>1</v>
      </c>
      <c r="S585">
        <v>0</v>
      </c>
      <c r="T585">
        <v>4</v>
      </c>
      <c r="U585">
        <v>2</v>
      </c>
      <c r="V585">
        <v>2</v>
      </c>
      <c r="W585">
        <v>2</v>
      </c>
    </row>
    <row r="586" spans="1:23" x14ac:dyDescent="0.3">
      <c r="A586">
        <v>65</v>
      </c>
      <c r="B586">
        <v>1</v>
      </c>
      <c r="C586">
        <v>1</v>
      </c>
      <c r="D586">
        <v>1</v>
      </c>
      <c r="E586" t="s">
        <v>670</v>
      </c>
      <c r="F586" t="s">
        <v>671</v>
      </c>
      <c r="G586">
        <v>136.62299999999999</v>
      </c>
      <c r="H586" t="b">
        <v>1</v>
      </c>
      <c r="I586" t="b">
        <v>1</v>
      </c>
      <c r="J586">
        <v>100</v>
      </c>
      <c r="K586">
        <v>1</v>
      </c>
      <c r="L586">
        <v>1</v>
      </c>
      <c r="M586">
        <v>0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3</v>
      </c>
      <c r="U586">
        <v>3</v>
      </c>
      <c r="V586">
        <v>0</v>
      </c>
      <c r="W586">
        <v>0</v>
      </c>
    </row>
    <row r="587" spans="1:23" x14ac:dyDescent="0.3">
      <c r="A587">
        <v>6</v>
      </c>
      <c r="B587">
        <v>1</v>
      </c>
      <c r="C587">
        <v>1</v>
      </c>
      <c r="D587">
        <v>1</v>
      </c>
      <c r="E587" t="s">
        <v>672</v>
      </c>
      <c r="F587" t="s">
        <v>673</v>
      </c>
      <c r="G587">
        <v>112.452</v>
      </c>
      <c r="H587" t="b">
        <v>0</v>
      </c>
      <c r="I587" t="b">
        <v>0</v>
      </c>
      <c r="J587">
        <v>100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</row>
    <row r="588" spans="1:23" x14ac:dyDescent="0.3">
      <c r="A588">
        <v>6</v>
      </c>
      <c r="B588">
        <v>1</v>
      </c>
      <c r="C588">
        <v>1</v>
      </c>
      <c r="D588">
        <v>2</v>
      </c>
      <c r="E588" t="s">
        <v>673</v>
      </c>
      <c r="F588" t="s">
        <v>674</v>
      </c>
      <c r="G588">
        <v>52.677999999999997</v>
      </c>
      <c r="H588" t="b">
        <v>0</v>
      </c>
      <c r="I588" t="b">
        <v>0</v>
      </c>
      <c r="J588">
        <v>100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3">
      <c r="A589">
        <v>6</v>
      </c>
      <c r="B589">
        <v>1</v>
      </c>
      <c r="C589">
        <v>1</v>
      </c>
      <c r="D589">
        <v>3</v>
      </c>
      <c r="E589" t="s">
        <v>674</v>
      </c>
      <c r="F589" t="s">
        <v>675</v>
      </c>
      <c r="G589">
        <v>75.667000000000002</v>
      </c>
      <c r="H589" t="b">
        <v>0</v>
      </c>
      <c r="I589" t="b">
        <v>0</v>
      </c>
      <c r="J589">
        <v>100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1</v>
      </c>
      <c r="V589">
        <v>0</v>
      </c>
      <c r="W589">
        <v>0</v>
      </c>
    </row>
    <row r="590" spans="1:23" x14ac:dyDescent="0.3">
      <c r="A590">
        <v>6</v>
      </c>
      <c r="B590">
        <v>1</v>
      </c>
      <c r="C590">
        <v>1</v>
      </c>
      <c r="D590">
        <v>4</v>
      </c>
      <c r="E590" t="s">
        <v>675</v>
      </c>
      <c r="F590" t="s">
        <v>676</v>
      </c>
      <c r="G590">
        <v>166.202</v>
      </c>
      <c r="H590" t="b">
        <v>0</v>
      </c>
      <c r="I590" t="b">
        <v>0</v>
      </c>
      <c r="J590">
        <v>100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</row>
    <row r="591" spans="1:23" x14ac:dyDescent="0.3">
      <c r="A591">
        <v>6</v>
      </c>
      <c r="B591">
        <v>1</v>
      </c>
      <c r="C591">
        <v>1</v>
      </c>
      <c r="D591">
        <v>5</v>
      </c>
      <c r="E591" t="s">
        <v>676</v>
      </c>
      <c r="F591" t="s">
        <v>677</v>
      </c>
      <c r="G591">
        <v>201.03899999999999</v>
      </c>
      <c r="H591" t="b">
        <v>0</v>
      </c>
      <c r="I591" t="b">
        <v>0</v>
      </c>
      <c r="J591">
        <v>100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1</v>
      </c>
      <c r="V591">
        <v>0</v>
      </c>
      <c r="W591">
        <v>0</v>
      </c>
    </row>
    <row r="592" spans="1:23" x14ac:dyDescent="0.3">
      <c r="A592">
        <v>6</v>
      </c>
      <c r="B592">
        <v>1</v>
      </c>
      <c r="C592">
        <v>1</v>
      </c>
      <c r="D592">
        <v>6</v>
      </c>
      <c r="E592" t="s">
        <v>677</v>
      </c>
      <c r="F592" t="s">
        <v>678</v>
      </c>
      <c r="G592">
        <v>33.003</v>
      </c>
      <c r="H592" t="b">
        <v>0</v>
      </c>
      <c r="I592" t="b">
        <v>0</v>
      </c>
      <c r="J592">
        <v>100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">
      <c r="A593">
        <v>6</v>
      </c>
      <c r="B593">
        <v>1</v>
      </c>
      <c r="C593">
        <v>1</v>
      </c>
      <c r="D593">
        <v>7</v>
      </c>
      <c r="E593" t="s">
        <v>678</v>
      </c>
      <c r="F593" t="s">
        <v>679</v>
      </c>
      <c r="G593">
        <v>230.80600000000001</v>
      </c>
      <c r="H593" t="b">
        <v>0</v>
      </c>
      <c r="I593" t="b">
        <v>1</v>
      </c>
      <c r="J593">
        <v>75</v>
      </c>
      <c r="K593">
        <v>3</v>
      </c>
      <c r="L593">
        <v>2</v>
      </c>
      <c r="M593">
        <v>1</v>
      </c>
      <c r="N593">
        <v>2</v>
      </c>
      <c r="O593">
        <v>2</v>
      </c>
      <c r="P593">
        <v>0</v>
      </c>
      <c r="Q593">
        <v>1</v>
      </c>
      <c r="R593">
        <v>0</v>
      </c>
      <c r="S593">
        <v>1</v>
      </c>
      <c r="T593">
        <v>4</v>
      </c>
      <c r="U593">
        <v>3</v>
      </c>
      <c r="V593">
        <v>0</v>
      </c>
      <c r="W593">
        <v>0</v>
      </c>
    </row>
    <row r="594" spans="1:23" x14ac:dyDescent="0.3">
      <c r="A594">
        <v>6</v>
      </c>
      <c r="B594">
        <v>1</v>
      </c>
      <c r="C594">
        <v>1</v>
      </c>
      <c r="D594">
        <v>8</v>
      </c>
      <c r="E594" t="s">
        <v>679</v>
      </c>
      <c r="F594" t="s">
        <v>680</v>
      </c>
      <c r="G594">
        <v>185.965</v>
      </c>
      <c r="H594" t="b">
        <v>0</v>
      </c>
      <c r="I594" t="b">
        <v>0</v>
      </c>
      <c r="J594">
        <v>75</v>
      </c>
      <c r="K594">
        <v>4</v>
      </c>
      <c r="L594">
        <v>3</v>
      </c>
      <c r="M594">
        <v>1</v>
      </c>
      <c r="N594">
        <v>1</v>
      </c>
      <c r="O594">
        <v>1</v>
      </c>
      <c r="P594">
        <v>0</v>
      </c>
      <c r="Q594">
        <v>3</v>
      </c>
      <c r="R594">
        <v>2</v>
      </c>
      <c r="S594">
        <v>1</v>
      </c>
      <c r="T594">
        <v>4</v>
      </c>
      <c r="U594">
        <v>3</v>
      </c>
      <c r="V594">
        <v>0</v>
      </c>
      <c r="W594">
        <v>0</v>
      </c>
    </row>
    <row r="595" spans="1:23" x14ac:dyDescent="0.3">
      <c r="A595">
        <v>6</v>
      </c>
      <c r="B595">
        <v>1</v>
      </c>
      <c r="C595">
        <v>1</v>
      </c>
      <c r="D595">
        <v>9</v>
      </c>
      <c r="E595" t="s">
        <v>680</v>
      </c>
      <c r="F595" t="s">
        <v>681</v>
      </c>
      <c r="G595">
        <v>120.85599999999999</v>
      </c>
      <c r="H595" t="b">
        <v>0</v>
      </c>
      <c r="I595" t="b">
        <v>0</v>
      </c>
      <c r="J595">
        <v>100</v>
      </c>
      <c r="K595">
        <v>1</v>
      </c>
      <c r="L595">
        <v>1</v>
      </c>
      <c r="M595">
        <v>0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3</v>
      </c>
      <c r="U595">
        <v>1</v>
      </c>
      <c r="V595">
        <v>0</v>
      </c>
      <c r="W595">
        <v>0</v>
      </c>
    </row>
    <row r="596" spans="1:23" x14ac:dyDescent="0.3">
      <c r="A596">
        <v>6</v>
      </c>
      <c r="B596">
        <v>1</v>
      </c>
      <c r="C596">
        <v>1</v>
      </c>
      <c r="D596">
        <v>10</v>
      </c>
      <c r="E596" t="s">
        <v>681</v>
      </c>
      <c r="F596" t="s">
        <v>682</v>
      </c>
      <c r="G596">
        <v>34.271000000000001</v>
      </c>
      <c r="H596" t="b">
        <v>0</v>
      </c>
      <c r="I596" t="b">
        <v>0</v>
      </c>
      <c r="J596">
        <v>100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">
      <c r="A597">
        <v>6</v>
      </c>
      <c r="B597">
        <v>1</v>
      </c>
      <c r="C597">
        <v>1</v>
      </c>
      <c r="D597">
        <v>11</v>
      </c>
      <c r="E597" t="s">
        <v>682</v>
      </c>
      <c r="F597" t="s">
        <v>683</v>
      </c>
      <c r="G597">
        <v>3.0000000000000001E-3</v>
      </c>
      <c r="H597" t="b">
        <v>0</v>
      </c>
      <c r="I597" t="b">
        <v>0</v>
      </c>
      <c r="J597">
        <v>100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3">
      <c r="A598">
        <v>6</v>
      </c>
      <c r="B598">
        <v>2</v>
      </c>
      <c r="C598">
        <v>1</v>
      </c>
      <c r="D598">
        <v>1</v>
      </c>
      <c r="E598" t="s">
        <v>684</v>
      </c>
      <c r="F598" t="s">
        <v>685</v>
      </c>
      <c r="G598">
        <v>193.80500000000001</v>
      </c>
      <c r="H598" t="b">
        <v>1</v>
      </c>
      <c r="I598" t="b">
        <v>1</v>
      </c>
      <c r="J598">
        <v>100</v>
      </c>
      <c r="K598">
        <v>4</v>
      </c>
      <c r="L598">
        <v>4</v>
      </c>
      <c r="M598">
        <v>0</v>
      </c>
      <c r="N598">
        <v>2</v>
      </c>
      <c r="O598">
        <v>2</v>
      </c>
      <c r="P598">
        <v>0</v>
      </c>
      <c r="Q598">
        <v>2</v>
      </c>
      <c r="R598">
        <v>2</v>
      </c>
      <c r="S598">
        <v>0</v>
      </c>
      <c r="T598">
        <v>4</v>
      </c>
      <c r="U598">
        <v>3</v>
      </c>
      <c r="V598">
        <v>0</v>
      </c>
      <c r="W598">
        <v>0</v>
      </c>
    </row>
    <row r="599" spans="1:23" x14ac:dyDescent="0.3">
      <c r="A599">
        <v>6</v>
      </c>
      <c r="B599">
        <v>2</v>
      </c>
      <c r="C599">
        <v>1</v>
      </c>
      <c r="D599">
        <v>2</v>
      </c>
      <c r="E599" t="s">
        <v>685</v>
      </c>
      <c r="F599" t="s">
        <v>686</v>
      </c>
      <c r="G599">
        <v>83.57</v>
      </c>
      <c r="H599" t="b">
        <v>0</v>
      </c>
      <c r="I599" t="b">
        <v>1</v>
      </c>
      <c r="J599">
        <v>75</v>
      </c>
      <c r="K599">
        <v>3</v>
      </c>
      <c r="L599">
        <v>2</v>
      </c>
      <c r="M599">
        <v>1</v>
      </c>
      <c r="N599">
        <v>2</v>
      </c>
      <c r="O599">
        <v>2</v>
      </c>
      <c r="P599">
        <v>0</v>
      </c>
      <c r="Q599">
        <v>1</v>
      </c>
      <c r="R599">
        <v>0</v>
      </c>
      <c r="S599">
        <v>1</v>
      </c>
      <c r="T599">
        <v>2</v>
      </c>
      <c r="U599">
        <v>1</v>
      </c>
      <c r="V599">
        <v>0</v>
      </c>
      <c r="W599">
        <v>0</v>
      </c>
    </row>
    <row r="600" spans="1:23" x14ac:dyDescent="0.3">
      <c r="A600">
        <v>6</v>
      </c>
      <c r="B600">
        <v>2</v>
      </c>
      <c r="C600">
        <v>1</v>
      </c>
      <c r="D600">
        <v>3</v>
      </c>
      <c r="E600" t="s">
        <v>686</v>
      </c>
      <c r="F600" t="s">
        <v>687</v>
      </c>
      <c r="G600">
        <v>161.99799999999999</v>
      </c>
      <c r="H600" t="b">
        <v>1</v>
      </c>
      <c r="I600" t="b">
        <v>1</v>
      </c>
      <c r="J600">
        <v>100</v>
      </c>
      <c r="K600">
        <v>4</v>
      </c>
      <c r="L600">
        <v>4</v>
      </c>
      <c r="M600">
        <v>0</v>
      </c>
      <c r="N600">
        <v>2</v>
      </c>
      <c r="O600">
        <v>2</v>
      </c>
      <c r="P600">
        <v>0</v>
      </c>
      <c r="Q600">
        <v>2</v>
      </c>
      <c r="R600">
        <v>2</v>
      </c>
      <c r="S600">
        <v>0</v>
      </c>
      <c r="T600">
        <v>4</v>
      </c>
      <c r="U600">
        <v>3</v>
      </c>
      <c r="V600">
        <v>0</v>
      </c>
      <c r="W600">
        <v>0</v>
      </c>
    </row>
    <row r="601" spans="1:23" x14ac:dyDescent="0.3">
      <c r="A601">
        <v>6</v>
      </c>
      <c r="B601">
        <v>2</v>
      </c>
      <c r="C601">
        <v>2</v>
      </c>
      <c r="D601">
        <v>1</v>
      </c>
      <c r="E601" t="s">
        <v>687</v>
      </c>
      <c r="F601" t="s">
        <v>688</v>
      </c>
      <c r="G601">
        <v>145.673</v>
      </c>
      <c r="H601" t="b">
        <v>0</v>
      </c>
      <c r="I601" t="b">
        <v>0</v>
      </c>
      <c r="J601">
        <v>75</v>
      </c>
      <c r="K601">
        <v>2</v>
      </c>
      <c r="L601">
        <v>2</v>
      </c>
      <c r="M601">
        <v>0</v>
      </c>
      <c r="N601">
        <v>2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2</v>
      </c>
      <c r="U601">
        <v>0</v>
      </c>
      <c r="V601">
        <v>1</v>
      </c>
      <c r="W601">
        <v>1</v>
      </c>
    </row>
    <row r="602" spans="1:23" x14ac:dyDescent="0.3">
      <c r="A602">
        <v>6</v>
      </c>
      <c r="B602">
        <v>3</v>
      </c>
      <c r="C602">
        <v>1</v>
      </c>
      <c r="D602">
        <v>1</v>
      </c>
      <c r="E602" t="s">
        <v>689</v>
      </c>
      <c r="F602" t="s">
        <v>690</v>
      </c>
      <c r="G602">
        <v>180.42699999999999</v>
      </c>
      <c r="H602" t="b">
        <v>0</v>
      </c>
      <c r="I602" t="b">
        <v>0</v>
      </c>
      <c r="J602">
        <v>100</v>
      </c>
      <c r="K602">
        <v>4</v>
      </c>
      <c r="L602">
        <v>4</v>
      </c>
      <c r="M602">
        <v>0</v>
      </c>
      <c r="N602">
        <v>2</v>
      </c>
      <c r="O602">
        <v>2</v>
      </c>
      <c r="P602">
        <v>0</v>
      </c>
      <c r="Q602">
        <v>2</v>
      </c>
      <c r="R602">
        <v>2</v>
      </c>
      <c r="S602">
        <v>0</v>
      </c>
      <c r="T602">
        <v>4</v>
      </c>
      <c r="U602">
        <v>4</v>
      </c>
      <c r="V602">
        <v>0</v>
      </c>
      <c r="W602">
        <v>0</v>
      </c>
    </row>
    <row r="603" spans="1:23" x14ac:dyDescent="0.3">
      <c r="A603">
        <v>6</v>
      </c>
      <c r="B603">
        <v>3</v>
      </c>
      <c r="C603">
        <v>1</v>
      </c>
      <c r="D603">
        <v>2</v>
      </c>
      <c r="E603" t="s">
        <v>690</v>
      </c>
      <c r="F603" t="s">
        <v>691</v>
      </c>
      <c r="G603">
        <v>83.603999999999999</v>
      </c>
      <c r="H603" t="b">
        <v>0</v>
      </c>
      <c r="I603" t="b">
        <v>1</v>
      </c>
      <c r="J603">
        <v>75</v>
      </c>
      <c r="K603">
        <v>3</v>
      </c>
      <c r="L603">
        <v>2</v>
      </c>
      <c r="M603">
        <v>1</v>
      </c>
      <c r="N603">
        <v>2</v>
      </c>
      <c r="O603">
        <v>2</v>
      </c>
      <c r="P603">
        <v>0</v>
      </c>
      <c r="Q603">
        <v>1</v>
      </c>
      <c r="R603">
        <v>0</v>
      </c>
      <c r="S603">
        <v>1</v>
      </c>
      <c r="T603">
        <v>3</v>
      </c>
      <c r="U603">
        <v>1</v>
      </c>
      <c r="V603">
        <v>0</v>
      </c>
      <c r="W603">
        <v>0</v>
      </c>
    </row>
    <row r="604" spans="1:23" x14ac:dyDescent="0.3">
      <c r="A604">
        <v>6</v>
      </c>
      <c r="B604">
        <v>3</v>
      </c>
      <c r="C604">
        <v>2</v>
      </c>
      <c r="D604">
        <v>1</v>
      </c>
      <c r="E604" t="s">
        <v>691</v>
      </c>
      <c r="F604" t="s">
        <v>692</v>
      </c>
      <c r="G604">
        <v>72.721000000000004</v>
      </c>
      <c r="H604" t="b">
        <v>1</v>
      </c>
      <c r="I604" t="b">
        <v>1</v>
      </c>
      <c r="J604">
        <v>100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</row>
    <row r="605" spans="1:23" x14ac:dyDescent="0.3">
      <c r="A605">
        <v>6</v>
      </c>
      <c r="B605">
        <v>3</v>
      </c>
      <c r="C605">
        <v>2</v>
      </c>
      <c r="D605">
        <v>2</v>
      </c>
      <c r="E605" t="s">
        <v>692</v>
      </c>
      <c r="F605" t="s">
        <v>693</v>
      </c>
      <c r="G605">
        <v>220.44</v>
      </c>
      <c r="H605" t="b">
        <v>1</v>
      </c>
      <c r="I605" t="b">
        <v>1</v>
      </c>
      <c r="J605">
        <v>100</v>
      </c>
      <c r="K605">
        <v>4</v>
      </c>
      <c r="L605">
        <v>4</v>
      </c>
      <c r="M605">
        <v>0</v>
      </c>
      <c r="N605">
        <v>2</v>
      </c>
      <c r="O605">
        <v>2</v>
      </c>
      <c r="P605">
        <v>0</v>
      </c>
      <c r="Q605">
        <v>2</v>
      </c>
      <c r="R605">
        <v>2</v>
      </c>
      <c r="S605">
        <v>0</v>
      </c>
      <c r="T605">
        <v>4</v>
      </c>
      <c r="U605">
        <v>2</v>
      </c>
      <c r="V605">
        <v>0</v>
      </c>
      <c r="W605">
        <v>0</v>
      </c>
    </row>
    <row r="606" spans="1:23" x14ac:dyDescent="0.3">
      <c r="A606">
        <v>6</v>
      </c>
      <c r="B606">
        <v>3</v>
      </c>
      <c r="C606">
        <v>3</v>
      </c>
      <c r="D606">
        <v>1</v>
      </c>
      <c r="E606" t="s">
        <v>693</v>
      </c>
      <c r="F606" t="s">
        <v>694</v>
      </c>
      <c r="G606">
        <v>166.51599999999999</v>
      </c>
      <c r="H606" t="b">
        <v>0</v>
      </c>
      <c r="I606" t="b">
        <v>0</v>
      </c>
      <c r="J606">
        <v>100</v>
      </c>
      <c r="K606">
        <v>4</v>
      </c>
      <c r="L606">
        <v>4</v>
      </c>
      <c r="M606">
        <v>0</v>
      </c>
      <c r="N606">
        <v>2</v>
      </c>
      <c r="O606">
        <v>2</v>
      </c>
      <c r="P606">
        <v>0</v>
      </c>
      <c r="Q606">
        <v>2</v>
      </c>
      <c r="R606">
        <v>2</v>
      </c>
      <c r="S606">
        <v>0</v>
      </c>
      <c r="T606">
        <v>4</v>
      </c>
      <c r="U606">
        <v>3</v>
      </c>
      <c r="V606">
        <v>0</v>
      </c>
      <c r="W606">
        <v>0</v>
      </c>
    </row>
    <row r="607" spans="1:23" x14ac:dyDescent="0.3">
      <c r="A607">
        <v>6</v>
      </c>
      <c r="B607">
        <v>3</v>
      </c>
      <c r="C607">
        <v>1</v>
      </c>
      <c r="D607">
        <v>1</v>
      </c>
      <c r="E607" t="s">
        <v>694</v>
      </c>
      <c r="F607" t="s">
        <v>695</v>
      </c>
      <c r="G607">
        <v>178.62299999999999</v>
      </c>
      <c r="H607" t="b">
        <v>0</v>
      </c>
      <c r="I607" t="b">
        <v>0</v>
      </c>
      <c r="J607">
        <v>100</v>
      </c>
      <c r="K607">
        <v>4</v>
      </c>
      <c r="L607">
        <v>4</v>
      </c>
      <c r="M607">
        <v>0</v>
      </c>
      <c r="N607">
        <v>2</v>
      </c>
      <c r="O607">
        <v>2</v>
      </c>
      <c r="P607">
        <v>0</v>
      </c>
      <c r="Q607">
        <v>2</v>
      </c>
      <c r="R607">
        <v>2</v>
      </c>
      <c r="S607">
        <v>0</v>
      </c>
      <c r="T607">
        <v>4</v>
      </c>
      <c r="U607">
        <v>3</v>
      </c>
      <c r="V607">
        <v>0</v>
      </c>
      <c r="W607">
        <v>0</v>
      </c>
    </row>
    <row r="608" spans="1:23" x14ac:dyDescent="0.3">
      <c r="A608">
        <v>6</v>
      </c>
      <c r="B608">
        <v>3</v>
      </c>
      <c r="C608">
        <v>3</v>
      </c>
      <c r="D608">
        <v>1</v>
      </c>
      <c r="E608" t="s">
        <v>695</v>
      </c>
      <c r="F608" t="s">
        <v>696</v>
      </c>
      <c r="G608">
        <v>37.584000000000003</v>
      </c>
      <c r="H608" t="b">
        <v>0</v>
      </c>
      <c r="I608" t="b">
        <v>0</v>
      </c>
      <c r="J608">
        <v>100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3">
      <c r="A609">
        <v>6</v>
      </c>
      <c r="B609">
        <v>3</v>
      </c>
      <c r="C609">
        <v>3</v>
      </c>
      <c r="D609">
        <v>2</v>
      </c>
      <c r="E609" t="s">
        <v>696</v>
      </c>
      <c r="F609" t="s">
        <v>697</v>
      </c>
      <c r="G609">
        <v>149.809</v>
      </c>
      <c r="H609" t="b">
        <v>0</v>
      </c>
      <c r="I609" t="b">
        <v>0</v>
      </c>
      <c r="J609">
        <v>100</v>
      </c>
      <c r="K609">
        <v>4</v>
      </c>
      <c r="L609">
        <v>4</v>
      </c>
      <c r="M609">
        <v>0</v>
      </c>
      <c r="N609">
        <v>2</v>
      </c>
      <c r="O609">
        <v>2</v>
      </c>
      <c r="P609">
        <v>0</v>
      </c>
      <c r="Q609">
        <v>2</v>
      </c>
      <c r="R609">
        <v>2</v>
      </c>
      <c r="S609">
        <v>0</v>
      </c>
      <c r="T609">
        <v>4</v>
      </c>
      <c r="U609">
        <v>3</v>
      </c>
      <c r="V609">
        <v>0</v>
      </c>
      <c r="W609">
        <v>0</v>
      </c>
    </row>
    <row r="610" spans="1:23" x14ac:dyDescent="0.3">
      <c r="A610">
        <v>6</v>
      </c>
      <c r="B610">
        <v>3</v>
      </c>
      <c r="C610">
        <v>3</v>
      </c>
      <c r="D610">
        <v>3</v>
      </c>
      <c r="E610" t="s">
        <v>697</v>
      </c>
      <c r="F610" t="s">
        <v>698</v>
      </c>
      <c r="G610">
        <v>113.59399999999999</v>
      </c>
      <c r="H610" t="b">
        <v>1</v>
      </c>
      <c r="I610" t="b">
        <v>1</v>
      </c>
      <c r="J610">
        <v>100</v>
      </c>
      <c r="K610">
        <v>4</v>
      </c>
      <c r="L610">
        <v>4</v>
      </c>
      <c r="M610">
        <v>0</v>
      </c>
      <c r="N610">
        <v>2</v>
      </c>
      <c r="O610">
        <v>2</v>
      </c>
      <c r="P610">
        <v>0</v>
      </c>
      <c r="Q610">
        <v>2</v>
      </c>
      <c r="R610">
        <v>2</v>
      </c>
      <c r="S610">
        <v>0</v>
      </c>
      <c r="T610">
        <v>4</v>
      </c>
      <c r="U610">
        <v>3</v>
      </c>
      <c r="V610">
        <v>0</v>
      </c>
      <c r="W610">
        <v>0</v>
      </c>
    </row>
    <row r="611" spans="1:23" x14ac:dyDescent="0.3">
      <c r="A611">
        <v>7</v>
      </c>
      <c r="B611">
        <v>1</v>
      </c>
      <c r="C611">
        <v>1</v>
      </c>
      <c r="D611">
        <v>1</v>
      </c>
      <c r="E611" t="s">
        <v>699</v>
      </c>
      <c r="F611" t="s">
        <v>700</v>
      </c>
      <c r="G611">
        <v>236.88399999999999</v>
      </c>
      <c r="H611" t="b">
        <v>0</v>
      </c>
      <c r="I611" t="b">
        <v>0</v>
      </c>
      <c r="J611">
        <v>100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</row>
    <row r="612" spans="1:23" x14ac:dyDescent="0.3">
      <c r="A612">
        <v>7</v>
      </c>
      <c r="B612">
        <v>1</v>
      </c>
      <c r="C612">
        <v>1</v>
      </c>
      <c r="D612">
        <v>2</v>
      </c>
      <c r="E612" t="s">
        <v>700</v>
      </c>
      <c r="F612" t="s">
        <v>701</v>
      </c>
      <c r="G612">
        <v>126.95</v>
      </c>
      <c r="H612" t="b">
        <v>0</v>
      </c>
      <c r="I612" t="b">
        <v>0</v>
      </c>
      <c r="J612">
        <v>100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1</v>
      </c>
      <c r="V612">
        <v>0</v>
      </c>
      <c r="W612">
        <v>0</v>
      </c>
    </row>
    <row r="613" spans="1:23" x14ac:dyDescent="0.3">
      <c r="A613">
        <v>7</v>
      </c>
      <c r="B613">
        <v>1</v>
      </c>
      <c r="C613">
        <v>2</v>
      </c>
      <c r="D613">
        <v>1</v>
      </c>
      <c r="E613" t="s">
        <v>701</v>
      </c>
      <c r="F613" t="s">
        <v>702</v>
      </c>
      <c r="G613">
        <v>248.37899999999999</v>
      </c>
      <c r="H613" t="b">
        <v>0</v>
      </c>
      <c r="I613" t="b">
        <v>0</v>
      </c>
      <c r="J613">
        <v>100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</v>
      </c>
      <c r="U613">
        <v>2</v>
      </c>
      <c r="V613">
        <v>0</v>
      </c>
      <c r="W613">
        <v>0</v>
      </c>
    </row>
    <row r="614" spans="1:23" x14ac:dyDescent="0.3">
      <c r="A614">
        <v>7</v>
      </c>
      <c r="B614">
        <v>1</v>
      </c>
      <c r="C614">
        <v>2</v>
      </c>
      <c r="D614">
        <v>2</v>
      </c>
      <c r="E614" t="s">
        <v>702</v>
      </c>
      <c r="F614" t="s">
        <v>703</v>
      </c>
      <c r="G614">
        <v>58.514000000000003</v>
      </c>
      <c r="H614" t="b">
        <v>0</v>
      </c>
      <c r="I614" t="b">
        <v>0</v>
      </c>
      <c r="J614">
        <v>100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1</v>
      </c>
      <c r="V614">
        <v>0</v>
      </c>
      <c r="W614">
        <v>0</v>
      </c>
    </row>
    <row r="615" spans="1:23" x14ac:dyDescent="0.3">
      <c r="A615">
        <v>7</v>
      </c>
      <c r="B615">
        <v>1</v>
      </c>
      <c r="C615">
        <v>1</v>
      </c>
      <c r="D615">
        <v>1</v>
      </c>
      <c r="E615" t="s">
        <v>703</v>
      </c>
      <c r="F615" t="s">
        <v>704</v>
      </c>
      <c r="G615">
        <v>43.689</v>
      </c>
      <c r="H615" t="b">
        <v>0</v>
      </c>
      <c r="I615" t="b">
        <v>0</v>
      </c>
      <c r="J615">
        <v>100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 x14ac:dyDescent="0.3">
      <c r="A616">
        <v>7</v>
      </c>
      <c r="B616">
        <v>1</v>
      </c>
      <c r="C616">
        <v>3</v>
      </c>
      <c r="D616">
        <v>1</v>
      </c>
      <c r="E616" t="s">
        <v>704</v>
      </c>
      <c r="F616" t="s">
        <v>705</v>
      </c>
      <c r="G616">
        <v>204.875</v>
      </c>
      <c r="H616" t="b">
        <v>0</v>
      </c>
      <c r="I616" t="b">
        <v>0</v>
      </c>
      <c r="J616">
        <v>75</v>
      </c>
      <c r="K616">
        <v>3</v>
      </c>
      <c r="L616">
        <v>2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1</v>
      </c>
      <c r="S616">
        <v>0</v>
      </c>
      <c r="T616">
        <v>4</v>
      </c>
      <c r="U616">
        <v>3</v>
      </c>
      <c r="V616">
        <v>0</v>
      </c>
      <c r="W616">
        <v>1</v>
      </c>
    </row>
    <row r="617" spans="1:23" x14ac:dyDescent="0.3">
      <c r="A617">
        <v>7</v>
      </c>
      <c r="B617">
        <v>1</v>
      </c>
      <c r="C617">
        <v>3</v>
      </c>
      <c r="D617">
        <v>2</v>
      </c>
      <c r="E617" t="s">
        <v>705</v>
      </c>
      <c r="F617" t="s">
        <v>706</v>
      </c>
      <c r="G617">
        <v>3.0000000000000001E-3</v>
      </c>
      <c r="H617" t="b">
        <v>0</v>
      </c>
      <c r="I617" t="b">
        <v>0</v>
      </c>
      <c r="J617">
        <v>100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x14ac:dyDescent="0.3">
      <c r="A618">
        <v>7</v>
      </c>
      <c r="B618">
        <v>2</v>
      </c>
      <c r="C618">
        <v>1</v>
      </c>
      <c r="D618">
        <v>1</v>
      </c>
      <c r="E618" t="s">
        <v>707</v>
      </c>
      <c r="F618" t="s">
        <v>708</v>
      </c>
      <c r="G618">
        <v>33.176000000000002</v>
      </c>
      <c r="H618" t="b">
        <v>0</v>
      </c>
      <c r="I618" t="b">
        <v>0</v>
      </c>
      <c r="J618">
        <v>100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 x14ac:dyDescent="0.3">
      <c r="A619">
        <v>7</v>
      </c>
      <c r="B619">
        <v>3</v>
      </c>
      <c r="C619">
        <v>1</v>
      </c>
      <c r="D619">
        <v>1</v>
      </c>
      <c r="E619" t="s">
        <v>709</v>
      </c>
      <c r="F619" t="s">
        <v>710</v>
      </c>
      <c r="G619">
        <v>207.34800000000001</v>
      </c>
      <c r="H619" t="b">
        <v>0</v>
      </c>
      <c r="I619" t="b">
        <v>0</v>
      </c>
      <c r="J619">
        <v>100</v>
      </c>
      <c r="K619">
        <v>3</v>
      </c>
      <c r="L619">
        <v>3</v>
      </c>
      <c r="M619">
        <v>0</v>
      </c>
      <c r="N619">
        <v>2</v>
      </c>
      <c r="O619">
        <v>2</v>
      </c>
      <c r="P619">
        <v>0</v>
      </c>
      <c r="Q619">
        <v>1</v>
      </c>
      <c r="R619">
        <v>1</v>
      </c>
      <c r="S619">
        <v>0</v>
      </c>
      <c r="T619">
        <v>1</v>
      </c>
      <c r="U619">
        <v>1</v>
      </c>
      <c r="V619">
        <v>0</v>
      </c>
      <c r="W619">
        <v>0</v>
      </c>
    </row>
    <row r="620" spans="1:23" x14ac:dyDescent="0.3">
      <c r="A620">
        <v>7</v>
      </c>
      <c r="B620">
        <v>3</v>
      </c>
      <c r="C620">
        <v>1</v>
      </c>
      <c r="D620">
        <v>2</v>
      </c>
      <c r="E620" t="s">
        <v>710</v>
      </c>
      <c r="F620" t="s">
        <v>711</v>
      </c>
      <c r="G620">
        <v>223.65199999999999</v>
      </c>
      <c r="H620" t="b">
        <v>0</v>
      </c>
      <c r="I620" t="b">
        <v>0</v>
      </c>
      <c r="J620">
        <v>100</v>
      </c>
      <c r="K620">
        <v>3</v>
      </c>
      <c r="L620">
        <v>3</v>
      </c>
      <c r="M620">
        <v>0</v>
      </c>
      <c r="N620">
        <v>2</v>
      </c>
      <c r="O620">
        <v>2</v>
      </c>
      <c r="P620">
        <v>0</v>
      </c>
      <c r="Q620">
        <v>1</v>
      </c>
      <c r="R620">
        <v>1</v>
      </c>
      <c r="S620">
        <v>0</v>
      </c>
      <c r="T620">
        <v>2</v>
      </c>
      <c r="U620">
        <v>2</v>
      </c>
      <c r="V620">
        <v>0</v>
      </c>
      <c r="W620">
        <v>0</v>
      </c>
    </row>
    <row r="621" spans="1:23" x14ac:dyDescent="0.3">
      <c r="A621">
        <v>7</v>
      </c>
      <c r="B621">
        <v>3</v>
      </c>
      <c r="C621">
        <v>1</v>
      </c>
      <c r="D621">
        <v>3</v>
      </c>
      <c r="E621" t="s">
        <v>711</v>
      </c>
      <c r="F621" t="s">
        <v>712</v>
      </c>
      <c r="G621">
        <v>204.464</v>
      </c>
      <c r="H621" t="b">
        <v>0</v>
      </c>
      <c r="I621" t="b">
        <v>0</v>
      </c>
      <c r="J621">
        <v>75</v>
      </c>
      <c r="K621">
        <v>3</v>
      </c>
      <c r="L621">
        <v>2</v>
      </c>
      <c r="M621">
        <v>1</v>
      </c>
      <c r="N621">
        <v>2</v>
      </c>
      <c r="O621">
        <v>2</v>
      </c>
      <c r="P621">
        <v>0</v>
      </c>
      <c r="Q621">
        <v>1</v>
      </c>
      <c r="R621">
        <v>0</v>
      </c>
      <c r="S621">
        <v>1</v>
      </c>
      <c r="T621">
        <v>2</v>
      </c>
      <c r="U621">
        <v>2</v>
      </c>
      <c r="V621">
        <v>0</v>
      </c>
      <c r="W621">
        <v>0</v>
      </c>
    </row>
    <row r="622" spans="1:23" x14ac:dyDescent="0.3">
      <c r="A622">
        <v>7</v>
      </c>
      <c r="B622">
        <v>3</v>
      </c>
      <c r="C622">
        <v>1</v>
      </c>
      <c r="D622">
        <v>4</v>
      </c>
      <c r="E622" t="s">
        <v>712</v>
      </c>
      <c r="F622" t="s">
        <v>713</v>
      </c>
      <c r="G622">
        <v>194.381</v>
      </c>
      <c r="H622" t="b">
        <v>0</v>
      </c>
      <c r="I622" t="b">
        <v>0</v>
      </c>
      <c r="J622">
        <v>50</v>
      </c>
      <c r="K622">
        <v>3</v>
      </c>
      <c r="L622">
        <v>1</v>
      </c>
      <c r="M622">
        <v>2</v>
      </c>
      <c r="N622">
        <v>2</v>
      </c>
      <c r="O622">
        <v>1</v>
      </c>
      <c r="P622">
        <v>1</v>
      </c>
      <c r="Q622">
        <v>1</v>
      </c>
      <c r="R622">
        <v>0</v>
      </c>
      <c r="S622">
        <v>1</v>
      </c>
      <c r="T622">
        <v>2</v>
      </c>
      <c r="U622">
        <v>2</v>
      </c>
      <c r="V622">
        <v>0</v>
      </c>
      <c r="W622">
        <v>0</v>
      </c>
    </row>
    <row r="623" spans="1:23" x14ac:dyDescent="0.3">
      <c r="A623">
        <v>7</v>
      </c>
      <c r="B623">
        <v>3</v>
      </c>
      <c r="C623">
        <v>1</v>
      </c>
      <c r="D623">
        <v>5</v>
      </c>
      <c r="E623" t="s">
        <v>713</v>
      </c>
      <c r="F623" t="s">
        <v>714</v>
      </c>
      <c r="G623">
        <v>155.52000000000001</v>
      </c>
      <c r="H623" t="b">
        <v>0</v>
      </c>
      <c r="I623" t="b">
        <v>0</v>
      </c>
      <c r="J623">
        <v>100</v>
      </c>
      <c r="K623">
        <v>3</v>
      </c>
      <c r="L623">
        <v>3</v>
      </c>
      <c r="M623">
        <v>0</v>
      </c>
      <c r="N623">
        <v>2</v>
      </c>
      <c r="O623">
        <v>2</v>
      </c>
      <c r="P623">
        <v>0</v>
      </c>
      <c r="Q623">
        <v>1</v>
      </c>
      <c r="R623">
        <v>1</v>
      </c>
      <c r="S623">
        <v>0</v>
      </c>
      <c r="T623">
        <v>2</v>
      </c>
      <c r="U623">
        <v>2</v>
      </c>
      <c r="V623">
        <v>0</v>
      </c>
      <c r="W623">
        <v>0</v>
      </c>
    </row>
    <row r="624" spans="1:23" x14ac:dyDescent="0.3">
      <c r="A624">
        <v>7</v>
      </c>
      <c r="B624">
        <v>3</v>
      </c>
      <c r="C624">
        <v>1</v>
      </c>
      <c r="D624">
        <v>6</v>
      </c>
      <c r="E624" t="s">
        <v>714</v>
      </c>
      <c r="F624" t="s">
        <v>715</v>
      </c>
      <c r="G624">
        <v>253.04300000000001</v>
      </c>
      <c r="H624" t="b">
        <v>0</v>
      </c>
      <c r="I624" t="b">
        <v>0</v>
      </c>
      <c r="J624">
        <v>100</v>
      </c>
      <c r="K624">
        <v>4</v>
      </c>
      <c r="L624">
        <v>4</v>
      </c>
      <c r="M624">
        <v>0</v>
      </c>
      <c r="N624">
        <v>2</v>
      </c>
      <c r="O624">
        <v>2</v>
      </c>
      <c r="P624">
        <v>0</v>
      </c>
      <c r="Q624">
        <v>2</v>
      </c>
      <c r="R624">
        <v>2</v>
      </c>
      <c r="S624">
        <v>0</v>
      </c>
      <c r="T624">
        <v>2</v>
      </c>
      <c r="U624">
        <v>2</v>
      </c>
      <c r="V624">
        <v>0</v>
      </c>
      <c r="W624">
        <v>0</v>
      </c>
    </row>
    <row r="625" spans="1:23" x14ac:dyDescent="0.3">
      <c r="A625">
        <v>7</v>
      </c>
      <c r="B625">
        <v>3</v>
      </c>
      <c r="C625">
        <v>1</v>
      </c>
      <c r="D625">
        <v>7</v>
      </c>
      <c r="E625" t="s">
        <v>715</v>
      </c>
      <c r="F625" t="s">
        <v>716</v>
      </c>
      <c r="G625">
        <v>175.869</v>
      </c>
      <c r="H625" t="b">
        <v>0</v>
      </c>
      <c r="I625" t="b">
        <v>0</v>
      </c>
      <c r="J625">
        <v>75</v>
      </c>
      <c r="K625">
        <v>10</v>
      </c>
      <c r="L625">
        <v>6</v>
      </c>
      <c r="M625">
        <v>4</v>
      </c>
      <c r="N625">
        <v>2</v>
      </c>
      <c r="O625">
        <v>2</v>
      </c>
      <c r="P625">
        <v>0</v>
      </c>
      <c r="Q625">
        <v>8</v>
      </c>
      <c r="R625">
        <v>4</v>
      </c>
      <c r="S625">
        <v>4</v>
      </c>
      <c r="T625">
        <v>2</v>
      </c>
      <c r="U625">
        <v>2</v>
      </c>
      <c r="V625">
        <v>0</v>
      </c>
      <c r="W625">
        <v>0</v>
      </c>
    </row>
    <row r="626" spans="1:23" x14ac:dyDescent="0.3">
      <c r="A626">
        <v>7</v>
      </c>
      <c r="B626">
        <v>3</v>
      </c>
      <c r="C626">
        <v>3</v>
      </c>
      <c r="D626">
        <v>1</v>
      </c>
      <c r="E626" t="s">
        <v>716</v>
      </c>
      <c r="F626" t="s">
        <v>717</v>
      </c>
      <c r="G626">
        <v>236.52099999999999</v>
      </c>
      <c r="H626" t="b">
        <v>0</v>
      </c>
      <c r="I626" t="b">
        <v>0</v>
      </c>
      <c r="J626">
        <v>100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4</v>
      </c>
      <c r="U626">
        <v>4</v>
      </c>
      <c r="V626">
        <v>0</v>
      </c>
      <c r="W626">
        <v>0</v>
      </c>
    </row>
    <row r="627" spans="1:23" x14ac:dyDescent="0.3">
      <c r="A627">
        <v>7</v>
      </c>
      <c r="B627">
        <v>3</v>
      </c>
      <c r="C627">
        <v>2</v>
      </c>
      <c r="D627">
        <v>1</v>
      </c>
      <c r="E627" t="s">
        <v>717</v>
      </c>
      <c r="F627" t="s">
        <v>718</v>
      </c>
      <c r="G627">
        <v>3.0000000000000001E-3</v>
      </c>
      <c r="H627" t="b">
        <v>0</v>
      </c>
      <c r="I627" t="b">
        <v>0</v>
      </c>
      <c r="J627">
        <v>100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x14ac:dyDescent="0.3">
      <c r="A628">
        <v>8</v>
      </c>
      <c r="B628">
        <v>1</v>
      </c>
      <c r="C628">
        <v>1</v>
      </c>
      <c r="D628">
        <v>1</v>
      </c>
      <c r="E628" t="s">
        <v>719</v>
      </c>
      <c r="F628" t="s">
        <v>720</v>
      </c>
      <c r="G628">
        <v>173.21299999999999</v>
      </c>
      <c r="H628" t="b">
        <v>0</v>
      </c>
      <c r="I628" t="b">
        <v>0</v>
      </c>
      <c r="J628">
        <v>100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</row>
    <row r="629" spans="1:23" x14ac:dyDescent="0.3">
      <c r="A629">
        <v>8</v>
      </c>
      <c r="B629">
        <v>1</v>
      </c>
      <c r="C629">
        <v>1</v>
      </c>
      <c r="D629">
        <v>2</v>
      </c>
      <c r="E629" t="s">
        <v>720</v>
      </c>
      <c r="F629" t="s">
        <v>721</v>
      </c>
      <c r="G629">
        <v>203.52699999999999</v>
      </c>
      <c r="H629" t="b">
        <v>0</v>
      </c>
      <c r="I629" t="b">
        <v>0</v>
      </c>
      <c r="J629">
        <v>100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</row>
    <row r="630" spans="1:23" x14ac:dyDescent="0.3">
      <c r="A630">
        <v>8</v>
      </c>
      <c r="B630">
        <v>1</v>
      </c>
      <c r="C630">
        <v>1</v>
      </c>
      <c r="D630">
        <v>3</v>
      </c>
      <c r="E630" t="s">
        <v>721</v>
      </c>
      <c r="F630" t="s">
        <v>722</v>
      </c>
      <c r="G630">
        <v>144.43199999999999</v>
      </c>
      <c r="H630" t="b">
        <v>0</v>
      </c>
      <c r="I630" t="b">
        <v>0</v>
      </c>
      <c r="J630">
        <v>100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1</v>
      </c>
      <c r="V630">
        <v>0</v>
      </c>
      <c r="W630">
        <v>0</v>
      </c>
    </row>
    <row r="631" spans="1:23" x14ac:dyDescent="0.3">
      <c r="A631">
        <v>8</v>
      </c>
      <c r="B631">
        <v>1</v>
      </c>
      <c r="C631">
        <v>2</v>
      </c>
      <c r="D631">
        <v>1</v>
      </c>
      <c r="E631" t="s">
        <v>722</v>
      </c>
      <c r="F631" t="s">
        <v>723</v>
      </c>
      <c r="G631">
        <v>225.589</v>
      </c>
      <c r="H631" t="b">
        <v>0</v>
      </c>
      <c r="I631" t="b">
        <v>0</v>
      </c>
      <c r="J631">
        <v>100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</v>
      </c>
      <c r="U631">
        <v>0</v>
      </c>
      <c r="V631">
        <v>0</v>
      </c>
      <c r="W631">
        <v>0</v>
      </c>
    </row>
    <row r="632" spans="1:23" x14ac:dyDescent="0.3">
      <c r="A632">
        <v>8</v>
      </c>
      <c r="B632">
        <v>1</v>
      </c>
      <c r="C632">
        <v>2</v>
      </c>
      <c r="D632">
        <v>2</v>
      </c>
      <c r="E632" t="s">
        <v>723</v>
      </c>
      <c r="F632" t="s">
        <v>724</v>
      </c>
      <c r="G632">
        <v>232.92</v>
      </c>
      <c r="H632" t="b">
        <v>0</v>
      </c>
      <c r="I632" t="b">
        <v>0</v>
      </c>
      <c r="J632">
        <v>100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2</v>
      </c>
      <c r="U632">
        <v>1</v>
      </c>
      <c r="V632">
        <v>0</v>
      </c>
      <c r="W632">
        <v>0</v>
      </c>
    </row>
    <row r="633" spans="1:23" x14ac:dyDescent="0.3">
      <c r="A633">
        <v>8</v>
      </c>
      <c r="B633">
        <v>2</v>
      </c>
      <c r="C633">
        <v>1</v>
      </c>
      <c r="D633">
        <v>1</v>
      </c>
      <c r="E633" t="s">
        <v>725</v>
      </c>
      <c r="F633" t="s">
        <v>726</v>
      </c>
      <c r="G633">
        <v>131.267</v>
      </c>
      <c r="H633" t="b">
        <v>0</v>
      </c>
      <c r="I633" t="b">
        <v>0</v>
      </c>
      <c r="J633">
        <v>100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</row>
    <row r="634" spans="1:23" x14ac:dyDescent="0.3">
      <c r="A634">
        <v>8</v>
      </c>
      <c r="B634">
        <v>2</v>
      </c>
      <c r="C634">
        <v>1</v>
      </c>
      <c r="D634">
        <v>2</v>
      </c>
      <c r="E634" t="s">
        <v>726</v>
      </c>
      <c r="F634" t="s">
        <v>727</v>
      </c>
      <c r="G634">
        <v>142.40199999999999</v>
      </c>
      <c r="H634" t="b">
        <v>0</v>
      </c>
      <c r="I634" t="b">
        <v>0</v>
      </c>
      <c r="J634">
        <v>100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</v>
      </c>
      <c r="V634">
        <v>0</v>
      </c>
      <c r="W634">
        <v>0</v>
      </c>
    </row>
    <row r="635" spans="1:23" x14ac:dyDescent="0.3">
      <c r="A635">
        <v>8</v>
      </c>
      <c r="B635">
        <v>2</v>
      </c>
      <c r="C635">
        <v>1</v>
      </c>
      <c r="D635">
        <v>3</v>
      </c>
      <c r="E635" t="s">
        <v>727</v>
      </c>
      <c r="F635" t="s">
        <v>728</v>
      </c>
      <c r="G635">
        <v>209.995</v>
      </c>
      <c r="H635" t="b">
        <v>0</v>
      </c>
      <c r="I635" t="b">
        <v>0</v>
      </c>
      <c r="J635">
        <v>75</v>
      </c>
      <c r="K635">
        <v>2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1</v>
      </c>
      <c r="R635">
        <v>0</v>
      </c>
      <c r="S635">
        <v>1</v>
      </c>
      <c r="T635">
        <v>4</v>
      </c>
      <c r="U635">
        <v>4</v>
      </c>
      <c r="V635">
        <v>0</v>
      </c>
      <c r="W635">
        <v>0</v>
      </c>
    </row>
    <row r="636" spans="1:23" x14ac:dyDescent="0.3">
      <c r="A636">
        <v>8</v>
      </c>
      <c r="B636">
        <v>2</v>
      </c>
      <c r="C636">
        <v>1</v>
      </c>
      <c r="D636">
        <v>4</v>
      </c>
      <c r="E636" t="s">
        <v>728</v>
      </c>
      <c r="F636" t="s">
        <v>729</v>
      </c>
      <c r="G636">
        <v>27.917000000000002</v>
      </c>
      <c r="H636" t="b">
        <v>0</v>
      </c>
      <c r="I636" t="b">
        <v>0</v>
      </c>
      <c r="J636">
        <v>75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 x14ac:dyDescent="0.3">
      <c r="A637">
        <v>8</v>
      </c>
      <c r="B637">
        <v>2</v>
      </c>
      <c r="C637">
        <v>1</v>
      </c>
      <c r="D637">
        <v>5</v>
      </c>
      <c r="E637" t="s">
        <v>729</v>
      </c>
      <c r="F637" t="s">
        <v>730</v>
      </c>
      <c r="G637">
        <v>63.302</v>
      </c>
      <c r="H637" t="b">
        <v>0</v>
      </c>
      <c r="I637" t="b">
        <v>0</v>
      </c>
      <c r="J637">
        <v>100</v>
      </c>
      <c r="K637">
        <v>1</v>
      </c>
      <c r="L637">
        <v>1</v>
      </c>
      <c r="M637">
        <v>0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x14ac:dyDescent="0.3">
      <c r="A638">
        <v>8</v>
      </c>
      <c r="B638">
        <v>2</v>
      </c>
      <c r="C638">
        <v>1</v>
      </c>
      <c r="D638">
        <v>6</v>
      </c>
      <c r="E638" t="s">
        <v>730</v>
      </c>
      <c r="F638" t="s">
        <v>731</v>
      </c>
      <c r="G638">
        <v>137.66499999999999</v>
      </c>
      <c r="H638" t="b">
        <v>0</v>
      </c>
      <c r="I638" t="b">
        <v>0</v>
      </c>
      <c r="J638">
        <v>100</v>
      </c>
      <c r="K638">
        <v>2</v>
      </c>
      <c r="L638">
        <v>2</v>
      </c>
      <c r="M638">
        <v>0</v>
      </c>
      <c r="N638">
        <v>1</v>
      </c>
      <c r="O638">
        <v>1</v>
      </c>
      <c r="P638">
        <v>0</v>
      </c>
      <c r="Q638">
        <v>1</v>
      </c>
      <c r="R638">
        <v>1</v>
      </c>
      <c r="S638">
        <v>0</v>
      </c>
      <c r="T638">
        <v>4</v>
      </c>
      <c r="U638">
        <v>3</v>
      </c>
      <c r="V638">
        <v>0</v>
      </c>
      <c r="W638">
        <v>0</v>
      </c>
    </row>
    <row r="639" spans="1:23" x14ac:dyDescent="0.3">
      <c r="A639">
        <v>8</v>
      </c>
      <c r="B639">
        <v>2</v>
      </c>
      <c r="C639">
        <v>1</v>
      </c>
      <c r="D639">
        <v>7</v>
      </c>
      <c r="E639" t="s">
        <v>731</v>
      </c>
      <c r="F639" t="s">
        <v>732</v>
      </c>
      <c r="G639">
        <v>399.47399999999999</v>
      </c>
      <c r="H639" t="b">
        <v>0</v>
      </c>
      <c r="I639" t="b">
        <v>0</v>
      </c>
      <c r="J639">
        <v>100</v>
      </c>
      <c r="K639">
        <v>1</v>
      </c>
      <c r="L639">
        <v>1</v>
      </c>
      <c r="M639">
        <v>0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2</v>
      </c>
      <c r="U639">
        <v>1</v>
      </c>
      <c r="V639">
        <v>0</v>
      </c>
      <c r="W639">
        <v>0</v>
      </c>
    </row>
    <row r="640" spans="1:23" x14ac:dyDescent="0.3">
      <c r="A640">
        <v>8</v>
      </c>
      <c r="B640">
        <v>2</v>
      </c>
      <c r="C640">
        <v>1</v>
      </c>
      <c r="D640">
        <v>8</v>
      </c>
      <c r="E640" t="s">
        <v>732</v>
      </c>
      <c r="F640" t="s">
        <v>733</v>
      </c>
      <c r="G640">
        <v>34.823999999999998</v>
      </c>
      <c r="H640" t="b">
        <v>0</v>
      </c>
      <c r="I640" t="b">
        <v>0</v>
      </c>
      <c r="J640">
        <v>100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3">
      <c r="A641">
        <v>8</v>
      </c>
      <c r="B641">
        <v>3</v>
      </c>
      <c r="C641">
        <v>1</v>
      </c>
      <c r="D641">
        <v>1</v>
      </c>
      <c r="E641" t="s">
        <v>734</v>
      </c>
      <c r="F641" t="s">
        <v>735</v>
      </c>
      <c r="G641">
        <v>183.16</v>
      </c>
      <c r="H641" t="b">
        <v>0</v>
      </c>
      <c r="I641" t="b">
        <v>0</v>
      </c>
      <c r="J641">
        <v>100</v>
      </c>
      <c r="K641">
        <v>2</v>
      </c>
      <c r="L641">
        <v>2</v>
      </c>
      <c r="M641">
        <v>0</v>
      </c>
      <c r="N641">
        <v>1</v>
      </c>
      <c r="O641">
        <v>1</v>
      </c>
      <c r="P641">
        <v>0</v>
      </c>
      <c r="Q641">
        <v>1</v>
      </c>
      <c r="R641">
        <v>1</v>
      </c>
      <c r="S641">
        <v>0</v>
      </c>
      <c r="T641">
        <v>4</v>
      </c>
      <c r="U641">
        <v>3</v>
      </c>
      <c r="V641">
        <v>0</v>
      </c>
      <c r="W641">
        <v>0</v>
      </c>
    </row>
    <row r="642" spans="1:23" x14ac:dyDescent="0.3">
      <c r="A642">
        <v>8</v>
      </c>
      <c r="B642">
        <v>3</v>
      </c>
      <c r="C642">
        <v>1</v>
      </c>
      <c r="D642">
        <v>2</v>
      </c>
      <c r="E642" t="s">
        <v>735</v>
      </c>
      <c r="F642" t="s">
        <v>736</v>
      </c>
      <c r="G642">
        <v>179.14500000000001</v>
      </c>
      <c r="H642" t="b">
        <v>0</v>
      </c>
      <c r="I642" t="b">
        <v>0</v>
      </c>
      <c r="J642">
        <v>75</v>
      </c>
      <c r="K642">
        <v>3</v>
      </c>
      <c r="L642">
        <v>2</v>
      </c>
      <c r="M642">
        <v>1</v>
      </c>
      <c r="N642">
        <v>2</v>
      </c>
      <c r="O642">
        <v>2</v>
      </c>
      <c r="P642">
        <v>0</v>
      </c>
      <c r="Q642">
        <v>1</v>
      </c>
      <c r="R642">
        <v>0</v>
      </c>
      <c r="S642">
        <v>1</v>
      </c>
      <c r="T642">
        <v>4</v>
      </c>
      <c r="U642">
        <v>3</v>
      </c>
      <c r="V642">
        <v>0</v>
      </c>
      <c r="W642">
        <v>0</v>
      </c>
    </row>
    <row r="643" spans="1:23" x14ac:dyDescent="0.3">
      <c r="A643">
        <v>8</v>
      </c>
      <c r="B643">
        <v>3</v>
      </c>
      <c r="C643">
        <v>1</v>
      </c>
      <c r="D643">
        <v>3</v>
      </c>
      <c r="E643" t="s">
        <v>736</v>
      </c>
      <c r="F643" t="s">
        <v>737</v>
      </c>
      <c r="G643">
        <v>163.01499999999999</v>
      </c>
      <c r="H643" t="b">
        <v>0</v>
      </c>
      <c r="I643" t="b">
        <v>0</v>
      </c>
      <c r="J643">
        <v>100</v>
      </c>
      <c r="K643">
        <v>2</v>
      </c>
      <c r="L643">
        <v>2</v>
      </c>
      <c r="M643">
        <v>0</v>
      </c>
      <c r="N643">
        <v>1</v>
      </c>
      <c r="O643">
        <v>1</v>
      </c>
      <c r="P643">
        <v>0</v>
      </c>
      <c r="Q643">
        <v>1</v>
      </c>
      <c r="R643">
        <v>1</v>
      </c>
      <c r="S643">
        <v>0</v>
      </c>
      <c r="T643">
        <v>4</v>
      </c>
      <c r="U643">
        <v>3</v>
      </c>
      <c r="V643">
        <v>0</v>
      </c>
      <c r="W643">
        <v>0</v>
      </c>
    </row>
    <row r="644" spans="1:23" x14ac:dyDescent="0.3">
      <c r="A644">
        <v>8</v>
      </c>
      <c r="B644">
        <v>3</v>
      </c>
      <c r="C644">
        <v>1</v>
      </c>
      <c r="D644">
        <v>4</v>
      </c>
      <c r="E644" t="s">
        <v>737</v>
      </c>
      <c r="F644" t="s">
        <v>738</v>
      </c>
      <c r="G644">
        <v>160.197</v>
      </c>
      <c r="H644" t="b">
        <v>0</v>
      </c>
      <c r="I644" t="b">
        <v>0</v>
      </c>
      <c r="J644">
        <v>100</v>
      </c>
      <c r="K644">
        <v>3</v>
      </c>
      <c r="L644">
        <v>3</v>
      </c>
      <c r="M644">
        <v>0</v>
      </c>
      <c r="N644">
        <v>2</v>
      </c>
      <c r="O644">
        <v>2</v>
      </c>
      <c r="P644">
        <v>0</v>
      </c>
      <c r="Q644">
        <v>1</v>
      </c>
      <c r="R644">
        <v>1</v>
      </c>
      <c r="S644">
        <v>0</v>
      </c>
      <c r="T644">
        <v>4</v>
      </c>
      <c r="U644">
        <v>3</v>
      </c>
      <c r="V644">
        <v>0</v>
      </c>
      <c r="W644">
        <v>0</v>
      </c>
    </row>
    <row r="645" spans="1:23" x14ac:dyDescent="0.3">
      <c r="A645">
        <v>8</v>
      </c>
      <c r="B645">
        <v>3</v>
      </c>
      <c r="C645">
        <v>1</v>
      </c>
      <c r="D645">
        <v>5</v>
      </c>
      <c r="E645" t="s">
        <v>738</v>
      </c>
      <c r="F645" t="s">
        <v>739</v>
      </c>
      <c r="G645">
        <v>374.30500000000001</v>
      </c>
      <c r="H645" t="b">
        <v>0</v>
      </c>
      <c r="I645" t="b">
        <v>0</v>
      </c>
      <c r="J645">
        <v>75</v>
      </c>
      <c r="K645">
        <v>4</v>
      </c>
      <c r="L645">
        <v>3</v>
      </c>
      <c r="M645">
        <v>1</v>
      </c>
      <c r="N645">
        <v>2</v>
      </c>
      <c r="O645">
        <v>2</v>
      </c>
      <c r="P645">
        <v>0</v>
      </c>
      <c r="Q645">
        <v>2</v>
      </c>
      <c r="R645">
        <v>1</v>
      </c>
      <c r="S645">
        <v>1</v>
      </c>
      <c r="T645">
        <v>4</v>
      </c>
      <c r="U645">
        <v>3</v>
      </c>
      <c r="V645">
        <v>0</v>
      </c>
      <c r="W645">
        <v>0</v>
      </c>
    </row>
    <row r="646" spans="1:23" x14ac:dyDescent="0.3">
      <c r="A646">
        <v>8</v>
      </c>
      <c r="B646">
        <v>3</v>
      </c>
      <c r="C646">
        <v>1</v>
      </c>
      <c r="D646">
        <v>6</v>
      </c>
      <c r="E646" t="s">
        <v>739</v>
      </c>
      <c r="F646" t="s">
        <v>740</v>
      </c>
      <c r="G646">
        <v>173.97499999999999</v>
      </c>
      <c r="H646" t="b">
        <v>0</v>
      </c>
      <c r="I646" t="b">
        <v>0</v>
      </c>
      <c r="J646">
        <v>100</v>
      </c>
      <c r="K646">
        <v>3</v>
      </c>
      <c r="L646">
        <v>3</v>
      </c>
      <c r="M646">
        <v>0</v>
      </c>
      <c r="N646">
        <v>1</v>
      </c>
      <c r="O646">
        <v>1</v>
      </c>
      <c r="P646">
        <v>0</v>
      </c>
      <c r="Q646">
        <v>2</v>
      </c>
      <c r="R646">
        <v>2</v>
      </c>
      <c r="S646">
        <v>0</v>
      </c>
      <c r="T646">
        <v>4</v>
      </c>
      <c r="U646">
        <v>3</v>
      </c>
      <c r="V646">
        <v>0</v>
      </c>
      <c r="W646">
        <v>0</v>
      </c>
    </row>
    <row r="647" spans="1:23" x14ac:dyDescent="0.3">
      <c r="A647">
        <v>8</v>
      </c>
      <c r="B647">
        <v>3</v>
      </c>
      <c r="C647">
        <v>1</v>
      </c>
      <c r="D647">
        <v>7</v>
      </c>
      <c r="E647" t="s">
        <v>740</v>
      </c>
      <c r="F647" t="s">
        <v>741</v>
      </c>
      <c r="G647">
        <v>144.56100000000001</v>
      </c>
      <c r="H647" t="b">
        <v>0</v>
      </c>
      <c r="I647" t="b">
        <v>0</v>
      </c>
      <c r="J647">
        <v>75</v>
      </c>
      <c r="K647">
        <v>1</v>
      </c>
      <c r="L647">
        <v>0</v>
      </c>
      <c r="M647">
        <v>1</v>
      </c>
      <c r="N647">
        <v>1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">
      <c r="A648">
        <v>8</v>
      </c>
      <c r="B648">
        <v>3</v>
      </c>
      <c r="C648">
        <v>1</v>
      </c>
      <c r="D648">
        <v>8</v>
      </c>
      <c r="E648" t="s">
        <v>741</v>
      </c>
      <c r="F648" t="s">
        <v>742</v>
      </c>
      <c r="G648">
        <v>170.93199999999999</v>
      </c>
      <c r="H648" t="b">
        <v>0</v>
      </c>
      <c r="I648" t="b">
        <v>0</v>
      </c>
      <c r="J648">
        <v>75</v>
      </c>
      <c r="K648">
        <v>2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4</v>
      </c>
      <c r="U648">
        <v>3</v>
      </c>
      <c r="V648">
        <v>0</v>
      </c>
      <c r="W648">
        <v>0</v>
      </c>
    </row>
    <row r="649" spans="1:23" x14ac:dyDescent="0.3">
      <c r="A649">
        <v>8</v>
      </c>
      <c r="B649">
        <v>3</v>
      </c>
      <c r="C649">
        <v>1</v>
      </c>
      <c r="D649">
        <v>9</v>
      </c>
      <c r="E649" t="s">
        <v>742</v>
      </c>
      <c r="F649" t="s">
        <v>743</v>
      </c>
      <c r="G649">
        <v>91.001999999999995</v>
      </c>
      <c r="H649" t="b">
        <v>0</v>
      </c>
      <c r="I649" t="b">
        <v>0</v>
      </c>
      <c r="J649">
        <v>75</v>
      </c>
      <c r="K649">
        <v>2</v>
      </c>
      <c r="L649">
        <v>1</v>
      </c>
      <c r="M649">
        <v>1</v>
      </c>
      <c r="N649">
        <v>1</v>
      </c>
      <c r="O649">
        <v>1</v>
      </c>
      <c r="P649">
        <v>0</v>
      </c>
      <c r="Q649">
        <v>1</v>
      </c>
      <c r="R649">
        <v>0</v>
      </c>
      <c r="S649">
        <v>1</v>
      </c>
      <c r="T649">
        <v>3</v>
      </c>
      <c r="U649">
        <v>2</v>
      </c>
      <c r="V649">
        <v>0</v>
      </c>
      <c r="W649">
        <v>0</v>
      </c>
    </row>
    <row r="650" spans="1:23" x14ac:dyDescent="0.3">
      <c r="A650">
        <v>8</v>
      </c>
      <c r="B650">
        <v>3</v>
      </c>
      <c r="C650">
        <v>1</v>
      </c>
      <c r="D650">
        <v>10</v>
      </c>
      <c r="E650" t="s">
        <v>743</v>
      </c>
      <c r="F650" t="s">
        <v>744</v>
      </c>
      <c r="G650">
        <v>207.44399999999999</v>
      </c>
      <c r="H650" t="b">
        <v>0</v>
      </c>
      <c r="I650" t="b">
        <v>0</v>
      </c>
      <c r="J650">
        <v>50</v>
      </c>
      <c r="K650">
        <v>3</v>
      </c>
      <c r="L650">
        <v>2</v>
      </c>
      <c r="M650">
        <v>1</v>
      </c>
      <c r="N650">
        <v>1</v>
      </c>
      <c r="O650">
        <v>1</v>
      </c>
      <c r="P650">
        <v>0</v>
      </c>
      <c r="Q650">
        <v>2</v>
      </c>
      <c r="R650">
        <v>1</v>
      </c>
      <c r="S650">
        <v>1</v>
      </c>
      <c r="T650">
        <v>4</v>
      </c>
      <c r="U650">
        <v>2</v>
      </c>
      <c r="V650">
        <v>2</v>
      </c>
      <c r="W650">
        <v>2</v>
      </c>
    </row>
    <row r="651" spans="1:23" x14ac:dyDescent="0.3">
      <c r="A651">
        <v>8</v>
      </c>
      <c r="B651">
        <v>3</v>
      </c>
      <c r="C651">
        <v>1</v>
      </c>
      <c r="D651">
        <v>11</v>
      </c>
      <c r="E651" t="s">
        <v>744</v>
      </c>
      <c r="F651" t="s">
        <v>745</v>
      </c>
      <c r="G651">
        <v>305.27999999999997</v>
      </c>
      <c r="H651" t="b">
        <v>0</v>
      </c>
      <c r="I651" t="b">
        <v>0</v>
      </c>
      <c r="J651">
        <v>100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</row>
    <row r="652" spans="1:23" x14ac:dyDescent="0.3">
      <c r="A652">
        <v>8</v>
      </c>
      <c r="B652">
        <v>3</v>
      </c>
      <c r="C652">
        <v>1</v>
      </c>
      <c r="D652">
        <v>12</v>
      </c>
      <c r="E652" t="s">
        <v>745</v>
      </c>
      <c r="F652" t="s">
        <v>746</v>
      </c>
      <c r="G652">
        <v>116.205</v>
      </c>
      <c r="H652" t="b">
        <v>0</v>
      </c>
      <c r="I652" t="b">
        <v>0</v>
      </c>
      <c r="J652">
        <v>100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 x14ac:dyDescent="0.3">
      <c r="A653">
        <v>8</v>
      </c>
      <c r="B653">
        <v>3</v>
      </c>
      <c r="C653">
        <v>1</v>
      </c>
      <c r="D653">
        <v>13</v>
      </c>
      <c r="E653" t="s">
        <v>746</v>
      </c>
      <c r="F653" t="s">
        <v>747</v>
      </c>
      <c r="G653">
        <v>408.67399999999998</v>
      </c>
      <c r="H653" t="b">
        <v>0</v>
      </c>
      <c r="I653" t="b">
        <v>0</v>
      </c>
      <c r="J653">
        <v>100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 x14ac:dyDescent="0.3">
      <c r="A654">
        <v>9</v>
      </c>
      <c r="B654">
        <v>1</v>
      </c>
      <c r="C654">
        <v>1</v>
      </c>
      <c r="D654">
        <v>1</v>
      </c>
      <c r="E654" t="s">
        <v>748</v>
      </c>
      <c r="F654" t="s">
        <v>749</v>
      </c>
      <c r="G654">
        <v>194.41800000000001</v>
      </c>
      <c r="H654" t="b">
        <v>0</v>
      </c>
      <c r="I654" t="b">
        <v>0</v>
      </c>
      <c r="J654">
        <v>100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</row>
    <row r="655" spans="1:23" x14ac:dyDescent="0.3">
      <c r="A655">
        <v>9</v>
      </c>
      <c r="B655">
        <v>1</v>
      </c>
      <c r="C655">
        <v>1</v>
      </c>
      <c r="D655">
        <v>2</v>
      </c>
      <c r="E655" t="s">
        <v>749</v>
      </c>
      <c r="F655" t="s">
        <v>750</v>
      </c>
      <c r="G655">
        <v>155.26499999999999</v>
      </c>
      <c r="H655" t="b">
        <v>0</v>
      </c>
      <c r="I655" t="b">
        <v>0</v>
      </c>
      <c r="J655">
        <v>100</v>
      </c>
      <c r="K655">
        <v>2</v>
      </c>
      <c r="L655">
        <v>2</v>
      </c>
      <c r="M655">
        <v>0</v>
      </c>
      <c r="N655">
        <v>1</v>
      </c>
      <c r="O655">
        <v>1</v>
      </c>
      <c r="P655">
        <v>0</v>
      </c>
      <c r="Q655">
        <v>1</v>
      </c>
      <c r="R655">
        <v>1</v>
      </c>
      <c r="S655">
        <v>0</v>
      </c>
      <c r="T655">
        <v>2</v>
      </c>
      <c r="U655">
        <v>1</v>
      </c>
      <c r="V655">
        <v>0</v>
      </c>
      <c r="W655">
        <v>0</v>
      </c>
    </row>
    <row r="656" spans="1:23" x14ac:dyDescent="0.3">
      <c r="A656">
        <v>9</v>
      </c>
      <c r="B656">
        <v>1</v>
      </c>
      <c r="C656">
        <v>1</v>
      </c>
      <c r="D656">
        <v>3</v>
      </c>
      <c r="E656" t="s">
        <v>750</v>
      </c>
      <c r="F656" t="s">
        <v>751</v>
      </c>
      <c r="G656">
        <v>175.10900000000001</v>
      </c>
      <c r="H656" t="b">
        <v>0</v>
      </c>
      <c r="I656" t="b">
        <v>0</v>
      </c>
      <c r="J656">
        <v>100</v>
      </c>
      <c r="K656">
        <v>2</v>
      </c>
      <c r="L656">
        <v>2</v>
      </c>
      <c r="M656">
        <v>0</v>
      </c>
      <c r="N656">
        <v>1</v>
      </c>
      <c r="O656">
        <v>1</v>
      </c>
      <c r="P656">
        <v>0</v>
      </c>
      <c r="Q656">
        <v>1</v>
      </c>
      <c r="R656">
        <v>1</v>
      </c>
      <c r="S656">
        <v>0</v>
      </c>
      <c r="T656">
        <v>4</v>
      </c>
      <c r="U656">
        <v>3</v>
      </c>
      <c r="V656">
        <v>0</v>
      </c>
      <c r="W656">
        <v>0</v>
      </c>
    </row>
    <row r="657" spans="1:23" x14ac:dyDescent="0.3">
      <c r="A657">
        <v>9</v>
      </c>
      <c r="B657">
        <v>1</v>
      </c>
      <c r="C657">
        <v>1</v>
      </c>
      <c r="D657">
        <v>4</v>
      </c>
      <c r="E657" t="s">
        <v>751</v>
      </c>
      <c r="F657" t="s">
        <v>752</v>
      </c>
      <c r="G657">
        <v>196.95400000000001</v>
      </c>
      <c r="H657" t="b">
        <v>0</v>
      </c>
      <c r="I657" t="b">
        <v>0</v>
      </c>
      <c r="J657">
        <v>75</v>
      </c>
      <c r="K657">
        <v>2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1</v>
      </c>
      <c r="R657">
        <v>0</v>
      </c>
      <c r="S657">
        <v>1</v>
      </c>
      <c r="T657">
        <v>4</v>
      </c>
      <c r="U657">
        <v>3</v>
      </c>
      <c r="V657">
        <v>0</v>
      </c>
      <c r="W657">
        <v>0</v>
      </c>
    </row>
    <row r="658" spans="1:23" x14ac:dyDescent="0.3">
      <c r="A658">
        <v>9</v>
      </c>
      <c r="B658">
        <v>1</v>
      </c>
      <c r="C658">
        <v>1</v>
      </c>
      <c r="D658">
        <v>5</v>
      </c>
      <c r="E658" t="s">
        <v>752</v>
      </c>
      <c r="F658" t="s">
        <v>753</v>
      </c>
      <c r="G658">
        <v>235.71600000000001</v>
      </c>
      <c r="H658" t="b">
        <v>0</v>
      </c>
      <c r="I658" t="b">
        <v>0</v>
      </c>
      <c r="J658">
        <v>100</v>
      </c>
      <c r="K658">
        <v>2</v>
      </c>
      <c r="L658">
        <v>2</v>
      </c>
      <c r="M658">
        <v>0</v>
      </c>
      <c r="N658">
        <v>1</v>
      </c>
      <c r="O658">
        <v>1</v>
      </c>
      <c r="P658">
        <v>0</v>
      </c>
      <c r="Q658">
        <v>1</v>
      </c>
      <c r="R658">
        <v>1</v>
      </c>
      <c r="S658">
        <v>0</v>
      </c>
      <c r="T658">
        <v>4</v>
      </c>
      <c r="U658">
        <v>3</v>
      </c>
      <c r="V658">
        <v>0</v>
      </c>
      <c r="W658">
        <v>0</v>
      </c>
    </row>
    <row r="659" spans="1:23" x14ac:dyDescent="0.3">
      <c r="A659">
        <v>9</v>
      </c>
      <c r="B659">
        <v>1</v>
      </c>
      <c r="C659">
        <v>1</v>
      </c>
      <c r="D659">
        <v>6</v>
      </c>
      <c r="E659" t="s">
        <v>753</v>
      </c>
      <c r="F659" t="s">
        <v>754</v>
      </c>
      <c r="G659">
        <v>245.59899999999999</v>
      </c>
      <c r="H659" t="b">
        <v>0</v>
      </c>
      <c r="I659" t="b">
        <v>0</v>
      </c>
      <c r="J659">
        <v>100</v>
      </c>
      <c r="K659">
        <v>4</v>
      </c>
      <c r="L659">
        <v>4</v>
      </c>
      <c r="M659">
        <v>0</v>
      </c>
      <c r="N659">
        <v>2</v>
      </c>
      <c r="O659">
        <v>2</v>
      </c>
      <c r="P659">
        <v>0</v>
      </c>
      <c r="Q659">
        <v>2</v>
      </c>
      <c r="R659">
        <v>2</v>
      </c>
      <c r="S659">
        <v>0</v>
      </c>
      <c r="T659">
        <v>2</v>
      </c>
      <c r="U659">
        <v>1</v>
      </c>
      <c r="V659">
        <v>0</v>
      </c>
      <c r="W659">
        <v>0</v>
      </c>
    </row>
    <row r="660" spans="1:23" x14ac:dyDescent="0.3">
      <c r="A660">
        <v>9</v>
      </c>
      <c r="B660">
        <v>1</v>
      </c>
      <c r="C660">
        <v>1</v>
      </c>
      <c r="D660">
        <v>7</v>
      </c>
      <c r="E660" t="s">
        <v>754</v>
      </c>
      <c r="F660" t="s">
        <v>755</v>
      </c>
      <c r="G660">
        <v>218.83500000000001</v>
      </c>
      <c r="H660" t="b">
        <v>1</v>
      </c>
      <c r="I660" t="b">
        <v>1</v>
      </c>
      <c r="J660">
        <v>100</v>
      </c>
      <c r="K660">
        <v>4</v>
      </c>
      <c r="L660">
        <v>4</v>
      </c>
      <c r="M660">
        <v>0</v>
      </c>
      <c r="N660">
        <v>2</v>
      </c>
      <c r="O660">
        <v>2</v>
      </c>
      <c r="P660">
        <v>0</v>
      </c>
      <c r="Q660">
        <v>2</v>
      </c>
      <c r="R660">
        <v>2</v>
      </c>
      <c r="S660">
        <v>0</v>
      </c>
      <c r="T660">
        <v>4</v>
      </c>
      <c r="U660">
        <v>3</v>
      </c>
      <c r="V660">
        <v>0</v>
      </c>
      <c r="W660">
        <v>0</v>
      </c>
    </row>
    <row r="661" spans="1:23" x14ac:dyDescent="0.3">
      <c r="A661">
        <v>9</v>
      </c>
      <c r="B661">
        <v>1</v>
      </c>
      <c r="C661">
        <v>2</v>
      </c>
      <c r="D661">
        <v>1</v>
      </c>
      <c r="E661" t="s">
        <v>755</v>
      </c>
      <c r="F661" t="s">
        <v>756</v>
      </c>
      <c r="G661">
        <v>120.428</v>
      </c>
      <c r="H661" t="b">
        <v>0</v>
      </c>
      <c r="I661" t="b">
        <v>0</v>
      </c>
      <c r="J661">
        <v>100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3">
      <c r="A662">
        <v>9</v>
      </c>
      <c r="B662">
        <v>1</v>
      </c>
      <c r="C662">
        <v>2</v>
      </c>
      <c r="D662">
        <v>2</v>
      </c>
      <c r="E662" t="s">
        <v>756</v>
      </c>
      <c r="F662" t="s">
        <v>757</v>
      </c>
      <c r="G662">
        <v>259.56599999999997</v>
      </c>
      <c r="H662" t="b">
        <v>1</v>
      </c>
      <c r="I662" t="b">
        <v>1</v>
      </c>
      <c r="J662">
        <v>100</v>
      </c>
      <c r="K662">
        <v>4</v>
      </c>
      <c r="L662">
        <v>4</v>
      </c>
      <c r="M662">
        <v>0</v>
      </c>
      <c r="N662">
        <v>2</v>
      </c>
      <c r="O662">
        <v>2</v>
      </c>
      <c r="P662">
        <v>0</v>
      </c>
      <c r="Q662">
        <v>2</v>
      </c>
      <c r="R662">
        <v>2</v>
      </c>
      <c r="S662">
        <v>0</v>
      </c>
      <c r="T662">
        <v>4</v>
      </c>
      <c r="U662">
        <v>2</v>
      </c>
      <c r="V662">
        <v>0</v>
      </c>
      <c r="W662">
        <v>0</v>
      </c>
    </row>
    <row r="663" spans="1:23" x14ac:dyDescent="0.3">
      <c r="A663">
        <v>9</v>
      </c>
      <c r="B663">
        <v>1</v>
      </c>
      <c r="C663">
        <v>3</v>
      </c>
      <c r="D663">
        <v>1</v>
      </c>
      <c r="E663" t="s">
        <v>757</v>
      </c>
      <c r="F663" t="s">
        <v>758</v>
      </c>
      <c r="G663">
        <v>77.744</v>
      </c>
      <c r="H663" t="b">
        <v>1</v>
      </c>
      <c r="I663" t="b">
        <v>1</v>
      </c>
      <c r="J663">
        <v>100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</row>
    <row r="664" spans="1:23" x14ac:dyDescent="0.3">
      <c r="A664">
        <v>9</v>
      </c>
      <c r="B664">
        <v>1</v>
      </c>
      <c r="C664">
        <v>3</v>
      </c>
      <c r="D664">
        <v>2</v>
      </c>
      <c r="E664" t="s">
        <v>758</v>
      </c>
      <c r="F664" t="s">
        <v>759</v>
      </c>
      <c r="G664">
        <v>100.598</v>
      </c>
      <c r="H664" t="b">
        <v>0</v>
      </c>
      <c r="I664" t="b">
        <v>1</v>
      </c>
      <c r="J664">
        <v>75</v>
      </c>
      <c r="K664">
        <v>3</v>
      </c>
      <c r="L664">
        <v>2</v>
      </c>
      <c r="M664">
        <v>1</v>
      </c>
      <c r="N664">
        <v>2</v>
      </c>
      <c r="O664">
        <v>2</v>
      </c>
      <c r="P664">
        <v>0</v>
      </c>
      <c r="Q664">
        <v>1</v>
      </c>
      <c r="R664">
        <v>0</v>
      </c>
      <c r="S664">
        <v>1</v>
      </c>
      <c r="T664">
        <v>4</v>
      </c>
      <c r="U664">
        <v>3</v>
      </c>
      <c r="V664">
        <v>0</v>
      </c>
      <c r="W664">
        <v>0</v>
      </c>
    </row>
    <row r="665" spans="1:23" x14ac:dyDescent="0.3">
      <c r="A665">
        <v>9</v>
      </c>
      <c r="B665">
        <v>1</v>
      </c>
      <c r="C665">
        <v>3</v>
      </c>
      <c r="D665">
        <v>3</v>
      </c>
      <c r="E665" t="s">
        <v>759</v>
      </c>
      <c r="F665" t="s">
        <v>760</v>
      </c>
      <c r="G665">
        <v>106.333</v>
      </c>
      <c r="H665" t="b">
        <v>1</v>
      </c>
      <c r="I665" t="b">
        <v>1</v>
      </c>
      <c r="J665">
        <v>100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4</v>
      </c>
      <c r="U665">
        <v>3</v>
      </c>
      <c r="V665">
        <v>0</v>
      </c>
      <c r="W665">
        <v>0</v>
      </c>
    </row>
    <row r="666" spans="1:23" x14ac:dyDescent="0.3">
      <c r="A666">
        <v>9</v>
      </c>
      <c r="B666">
        <v>1</v>
      </c>
      <c r="C666">
        <v>3</v>
      </c>
      <c r="D666">
        <v>4</v>
      </c>
      <c r="E666" t="s">
        <v>760</v>
      </c>
      <c r="F666" t="s">
        <v>761</v>
      </c>
      <c r="G666">
        <v>4.0000000000000001E-3</v>
      </c>
      <c r="H666" t="b">
        <v>0</v>
      </c>
      <c r="I666" t="b">
        <v>0</v>
      </c>
      <c r="J666">
        <v>100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x14ac:dyDescent="0.3">
      <c r="A667">
        <v>9</v>
      </c>
      <c r="B667">
        <v>3</v>
      </c>
      <c r="C667">
        <v>1</v>
      </c>
      <c r="D667">
        <v>1</v>
      </c>
      <c r="E667" t="s">
        <v>762</v>
      </c>
      <c r="F667" t="s">
        <v>763</v>
      </c>
      <c r="G667">
        <v>115.212</v>
      </c>
      <c r="H667" t="b">
        <v>0</v>
      </c>
      <c r="I667" t="b">
        <v>1</v>
      </c>
      <c r="J667">
        <v>75</v>
      </c>
      <c r="K667">
        <v>2</v>
      </c>
      <c r="L667">
        <v>1</v>
      </c>
      <c r="M667">
        <v>1</v>
      </c>
      <c r="N667">
        <v>1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4</v>
      </c>
      <c r="U667">
        <v>3</v>
      </c>
      <c r="V667">
        <v>0</v>
      </c>
      <c r="W667">
        <v>0</v>
      </c>
    </row>
    <row r="668" spans="1:23" x14ac:dyDescent="0.3">
      <c r="A668">
        <v>9</v>
      </c>
      <c r="B668">
        <v>3</v>
      </c>
      <c r="C668">
        <v>1</v>
      </c>
      <c r="D668">
        <v>2</v>
      </c>
      <c r="E668" t="s">
        <v>763</v>
      </c>
      <c r="F668" t="s">
        <v>764</v>
      </c>
      <c r="G668">
        <v>153.80099999999999</v>
      </c>
      <c r="H668" t="b">
        <v>0</v>
      </c>
      <c r="I668" t="b">
        <v>1</v>
      </c>
      <c r="J668">
        <v>75</v>
      </c>
      <c r="K668">
        <v>4</v>
      </c>
      <c r="L668">
        <v>2</v>
      </c>
      <c r="M668">
        <v>2</v>
      </c>
      <c r="N668">
        <v>2</v>
      </c>
      <c r="O668">
        <v>2</v>
      </c>
      <c r="P668">
        <v>0</v>
      </c>
      <c r="Q668">
        <v>2</v>
      </c>
      <c r="R668">
        <v>0</v>
      </c>
      <c r="S668">
        <v>2</v>
      </c>
      <c r="T668">
        <v>4</v>
      </c>
      <c r="U668">
        <v>3</v>
      </c>
      <c r="V668">
        <v>0</v>
      </c>
      <c r="W668">
        <v>0</v>
      </c>
    </row>
    <row r="669" spans="1:23" x14ac:dyDescent="0.3">
      <c r="A669">
        <v>9</v>
      </c>
      <c r="B669">
        <v>3</v>
      </c>
      <c r="C669">
        <v>1</v>
      </c>
      <c r="D669">
        <v>3</v>
      </c>
      <c r="E669" t="s">
        <v>764</v>
      </c>
      <c r="F669" t="s">
        <v>765</v>
      </c>
      <c r="G669">
        <v>151.05799999999999</v>
      </c>
      <c r="H669" t="b">
        <v>0</v>
      </c>
      <c r="I669" t="b">
        <v>1</v>
      </c>
      <c r="J669">
        <v>75</v>
      </c>
      <c r="K669">
        <v>4</v>
      </c>
      <c r="L669">
        <v>3</v>
      </c>
      <c r="M669">
        <v>1</v>
      </c>
      <c r="N669">
        <v>2</v>
      </c>
      <c r="O669">
        <v>2</v>
      </c>
      <c r="P669">
        <v>0</v>
      </c>
      <c r="Q669">
        <v>2</v>
      </c>
      <c r="R669">
        <v>1</v>
      </c>
      <c r="S669">
        <v>1</v>
      </c>
      <c r="T669">
        <v>4</v>
      </c>
      <c r="U669">
        <v>3</v>
      </c>
      <c r="V669">
        <v>0</v>
      </c>
      <c r="W669">
        <v>0</v>
      </c>
    </row>
    <row r="670" spans="1:23" x14ac:dyDescent="0.3">
      <c r="A670">
        <v>9</v>
      </c>
      <c r="B670">
        <v>3</v>
      </c>
      <c r="C670">
        <v>1</v>
      </c>
      <c r="D670">
        <v>4</v>
      </c>
      <c r="E670" t="s">
        <v>765</v>
      </c>
      <c r="F670" t="s">
        <v>766</v>
      </c>
      <c r="G670">
        <v>49.734999999999999</v>
      </c>
      <c r="H670" t="b">
        <v>1</v>
      </c>
      <c r="I670" t="b">
        <v>1</v>
      </c>
      <c r="J670">
        <v>100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">
      <c r="A671">
        <v>9</v>
      </c>
      <c r="B671">
        <v>3</v>
      </c>
      <c r="C671">
        <v>1</v>
      </c>
      <c r="D671">
        <v>5</v>
      </c>
      <c r="E671" t="s">
        <v>766</v>
      </c>
      <c r="F671" t="s">
        <v>767</v>
      </c>
      <c r="G671">
        <v>209.88399999999999</v>
      </c>
      <c r="H671" t="b">
        <v>0</v>
      </c>
      <c r="I671" t="b">
        <v>1</v>
      </c>
      <c r="J671">
        <v>75</v>
      </c>
      <c r="K671">
        <v>4</v>
      </c>
      <c r="L671">
        <v>3</v>
      </c>
      <c r="M671">
        <v>1</v>
      </c>
      <c r="N671">
        <v>2</v>
      </c>
      <c r="O671">
        <v>2</v>
      </c>
      <c r="P671">
        <v>0</v>
      </c>
      <c r="Q671">
        <v>2</v>
      </c>
      <c r="R671">
        <v>1</v>
      </c>
      <c r="S671">
        <v>1</v>
      </c>
      <c r="T671">
        <v>4</v>
      </c>
      <c r="U671">
        <v>3</v>
      </c>
      <c r="V671">
        <v>0</v>
      </c>
      <c r="W671">
        <v>0</v>
      </c>
    </row>
    <row r="672" spans="1:23" x14ac:dyDescent="0.3">
      <c r="A672">
        <v>9</v>
      </c>
      <c r="B672">
        <v>3</v>
      </c>
      <c r="C672">
        <v>2</v>
      </c>
      <c r="D672">
        <v>1</v>
      </c>
      <c r="E672" t="s">
        <v>767</v>
      </c>
      <c r="F672" t="s">
        <v>768</v>
      </c>
      <c r="G672">
        <v>235.70599999999999</v>
      </c>
      <c r="H672" t="b">
        <v>1</v>
      </c>
      <c r="I672" t="b">
        <v>1</v>
      </c>
      <c r="J672">
        <v>100</v>
      </c>
      <c r="K672">
        <v>4</v>
      </c>
      <c r="L672">
        <v>4</v>
      </c>
      <c r="M672">
        <v>0</v>
      </c>
      <c r="N672">
        <v>2</v>
      </c>
      <c r="O672">
        <v>2</v>
      </c>
      <c r="P672">
        <v>0</v>
      </c>
      <c r="Q672">
        <v>2</v>
      </c>
      <c r="R672">
        <v>2</v>
      </c>
      <c r="S672">
        <v>0</v>
      </c>
      <c r="T672">
        <v>4</v>
      </c>
      <c r="U672">
        <v>2</v>
      </c>
      <c r="V672">
        <v>0</v>
      </c>
      <c r="W672">
        <v>0</v>
      </c>
    </row>
    <row r="673" spans="1:23" x14ac:dyDescent="0.3">
      <c r="A673">
        <v>9</v>
      </c>
      <c r="B673">
        <v>3</v>
      </c>
      <c r="C673">
        <v>3</v>
      </c>
      <c r="D673">
        <v>1</v>
      </c>
      <c r="E673" t="s">
        <v>768</v>
      </c>
      <c r="F673" t="s">
        <v>769</v>
      </c>
      <c r="G673">
        <v>187.929</v>
      </c>
      <c r="H673" t="b">
        <v>1</v>
      </c>
      <c r="I673" t="b">
        <v>1</v>
      </c>
      <c r="J673">
        <v>100</v>
      </c>
      <c r="K673">
        <v>4</v>
      </c>
      <c r="L673">
        <v>4</v>
      </c>
      <c r="M673">
        <v>0</v>
      </c>
      <c r="N673">
        <v>2</v>
      </c>
      <c r="O673">
        <v>2</v>
      </c>
      <c r="P673">
        <v>0</v>
      </c>
      <c r="Q673">
        <v>2</v>
      </c>
      <c r="R673">
        <v>2</v>
      </c>
      <c r="S673">
        <v>0</v>
      </c>
      <c r="T673">
        <v>4</v>
      </c>
      <c r="U673">
        <v>3</v>
      </c>
      <c r="V673">
        <v>0</v>
      </c>
      <c r="W673">
        <v>0</v>
      </c>
    </row>
    <row r="674" spans="1:23" x14ac:dyDescent="0.3">
      <c r="A674">
        <v>9</v>
      </c>
      <c r="B674">
        <v>3</v>
      </c>
      <c r="C674">
        <v>3</v>
      </c>
      <c r="D674">
        <v>2</v>
      </c>
      <c r="E674" t="s">
        <v>769</v>
      </c>
      <c r="F674" t="s">
        <v>770</v>
      </c>
      <c r="G674">
        <v>272.22199999999998</v>
      </c>
      <c r="H674" t="b">
        <v>0</v>
      </c>
      <c r="I674" t="b">
        <v>1</v>
      </c>
      <c r="J674">
        <v>75</v>
      </c>
      <c r="K674">
        <v>4</v>
      </c>
      <c r="L674">
        <v>3</v>
      </c>
      <c r="M674">
        <v>1</v>
      </c>
      <c r="N674">
        <v>2</v>
      </c>
      <c r="O674">
        <v>2</v>
      </c>
      <c r="P674">
        <v>0</v>
      </c>
      <c r="Q674">
        <v>2</v>
      </c>
      <c r="R674">
        <v>1</v>
      </c>
      <c r="S674">
        <v>1</v>
      </c>
      <c r="T674">
        <v>4</v>
      </c>
      <c r="U674">
        <v>3</v>
      </c>
      <c r="V674">
        <v>0</v>
      </c>
      <c r="W674">
        <v>0</v>
      </c>
    </row>
    <row r="675" spans="1:23" x14ac:dyDescent="0.3">
      <c r="A675">
        <v>9</v>
      </c>
      <c r="B675">
        <v>3</v>
      </c>
      <c r="C675">
        <v>3</v>
      </c>
      <c r="D675">
        <v>3</v>
      </c>
      <c r="E675" t="s">
        <v>770</v>
      </c>
      <c r="F675" t="s">
        <v>771</v>
      </c>
      <c r="G675">
        <v>241.32300000000001</v>
      </c>
      <c r="H675" t="b">
        <v>0</v>
      </c>
      <c r="I675" t="b">
        <v>1</v>
      </c>
      <c r="J675">
        <v>75</v>
      </c>
      <c r="K675">
        <v>5</v>
      </c>
      <c r="L675">
        <v>4</v>
      </c>
      <c r="M675">
        <v>1</v>
      </c>
      <c r="N675">
        <v>2</v>
      </c>
      <c r="O675">
        <v>2</v>
      </c>
      <c r="P675">
        <v>0</v>
      </c>
      <c r="Q675">
        <v>3</v>
      </c>
      <c r="R675">
        <v>2</v>
      </c>
      <c r="S675">
        <v>1</v>
      </c>
      <c r="T675">
        <v>4</v>
      </c>
      <c r="U675">
        <v>3</v>
      </c>
      <c r="V675">
        <v>0</v>
      </c>
      <c r="W675">
        <v>0</v>
      </c>
    </row>
    <row r="676" spans="1:23" x14ac:dyDescent="0.3">
      <c r="A676">
        <v>9</v>
      </c>
      <c r="B676">
        <v>3</v>
      </c>
      <c r="C676">
        <v>3</v>
      </c>
      <c r="D676">
        <v>4</v>
      </c>
      <c r="E676" t="s">
        <v>771</v>
      </c>
      <c r="F676" t="s">
        <v>772</v>
      </c>
      <c r="G676">
        <v>123.673</v>
      </c>
      <c r="H676" t="b">
        <v>0</v>
      </c>
      <c r="I676" t="b">
        <v>1</v>
      </c>
      <c r="J676">
        <v>75</v>
      </c>
      <c r="K676">
        <v>4</v>
      </c>
      <c r="L676">
        <v>3</v>
      </c>
      <c r="M676">
        <v>1</v>
      </c>
      <c r="N676">
        <v>2</v>
      </c>
      <c r="O676">
        <v>2</v>
      </c>
      <c r="P676">
        <v>0</v>
      </c>
      <c r="Q676">
        <v>2</v>
      </c>
      <c r="R676">
        <v>1</v>
      </c>
      <c r="S676">
        <v>1</v>
      </c>
      <c r="T676">
        <v>4</v>
      </c>
      <c r="U676">
        <v>3</v>
      </c>
      <c r="V676">
        <v>0</v>
      </c>
      <c r="W676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D0F5-61B0-4925-8114-C436A5986C16}">
  <dimension ref="A1:AI50"/>
  <sheetViews>
    <sheetView tabSelected="1" workbookViewId="0">
      <selection activeCell="F4" sqref="F4"/>
    </sheetView>
  </sheetViews>
  <sheetFormatPr baseColWidth="10" defaultRowHeight="14.4" x14ac:dyDescent="0.3"/>
  <sheetData>
    <row r="1" spans="1:35" x14ac:dyDescent="0.3">
      <c r="A1" t="s">
        <v>2</v>
      </c>
      <c r="B1" t="s">
        <v>774</v>
      </c>
      <c r="C1" t="s">
        <v>808</v>
      </c>
      <c r="D1" t="s">
        <v>804</v>
      </c>
      <c r="E1" t="s">
        <v>807</v>
      </c>
    </row>
    <row r="2" spans="1:35" x14ac:dyDescent="0.3">
      <c r="A2">
        <v>1</v>
      </c>
      <c r="B2">
        <f>COUNTIF(dataIntentos[Nivel],A2)</f>
        <v>336</v>
      </c>
      <c r="C2">
        <f>COUNTIFS(dataIntentos[Nivel],A2,dataIntentos[%Reglas respetadas ejecucion],100)</f>
        <v>245</v>
      </c>
      <c r="D2">
        <f>COUNTIFS(dataIntentos[Nivel],A2,dataIntentos[Reglas planificacion cumplidas],"VERDADERO")</f>
        <v>59</v>
      </c>
      <c r="E2">
        <f>COUNTIFS(dataIntentos[Nivel],A2,dataIntentos[Completado],"VERDADERO")</f>
        <v>28</v>
      </c>
    </row>
    <row r="3" spans="1:35" x14ac:dyDescent="0.3">
      <c r="A3">
        <v>2</v>
      </c>
      <c r="B3">
        <f>COUNTIF(dataIntentos[Nivel],A3)</f>
        <v>204</v>
      </c>
      <c r="C3">
        <f>COUNTIFS(dataIntentos[Nivel],A3,dataIntentos[%Reglas respetadas ejecucion],100)</f>
        <v>127</v>
      </c>
      <c r="D3">
        <f>COUNTIFS(dataIntentos[Nivel],A3,dataIntentos[Reglas planificacion cumplidas],"VERDADERO")</f>
        <v>49</v>
      </c>
      <c r="E3">
        <f>COUNTIFS(dataIntentos[Nivel],A3,dataIntentos[Completado],"VERDADERO")</f>
        <v>25</v>
      </c>
    </row>
    <row r="4" spans="1:35" x14ac:dyDescent="0.3">
      <c r="A4">
        <v>3</v>
      </c>
      <c r="B4">
        <f>COUNTIF(dataIntentos[Nivel],A4)</f>
        <v>135</v>
      </c>
      <c r="C4">
        <f>COUNTIFS(dataIntentos[Nivel],A4,dataIntentos[%Reglas respetadas ejecucion],100)</f>
        <v>86</v>
      </c>
      <c r="D4">
        <f>COUNTIFS(dataIntentos[Nivel],A4,dataIntentos[Reglas planificacion cumplidas],"VERDADERO")</f>
        <v>62</v>
      </c>
      <c r="E4">
        <f>COUNTIFS(dataIntentos[Nivel],A4,dataIntentos[Completado],"VERDADERO")</f>
        <v>31</v>
      </c>
    </row>
    <row r="5" spans="1:35" x14ac:dyDescent="0.3">
      <c r="A5" t="s">
        <v>2</v>
      </c>
      <c r="B5" t="s">
        <v>3</v>
      </c>
      <c r="C5" t="s">
        <v>773</v>
      </c>
      <c r="D5" t="s">
        <v>775</v>
      </c>
      <c r="E5" t="s">
        <v>776</v>
      </c>
      <c r="F5" t="s">
        <v>777</v>
      </c>
      <c r="G5" t="s">
        <v>778</v>
      </c>
      <c r="H5" t="s">
        <v>779</v>
      </c>
      <c r="I5" t="s">
        <v>780</v>
      </c>
      <c r="J5" t="s">
        <v>781</v>
      </c>
      <c r="K5" t="s">
        <v>782</v>
      </c>
      <c r="L5" t="s">
        <v>783</v>
      </c>
      <c r="M5" t="s">
        <v>784</v>
      </c>
      <c r="N5" t="s">
        <v>785</v>
      </c>
      <c r="O5" t="s">
        <v>786</v>
      </c>
      <c r="P5" t="s">
        <v>787</v>
      </c>
      <c r="Q5" t="s">
        <v>788</v>
      </c>
      <c r="R5" t="s">
        <v>789</v>
      </c>
      <c r="S5" t="s">
        <v>790</v>
      </c>
      <c r="T5" t="s">
        <v>791</v>
      </c>
      <c r="U5" t="s">
        <v>792</v>
      </c>
      <c r="V5" t="s">
        <v>793</v>
      </c>
      <c r="W5" t="s">
        <v>794</v>
      </c>
      <c r="X5" t="s">
        <v>795</v>
      </c>
      <c r="Y5" t="s">
        <v>796</v>
      </c>
      <c r="Z5" t="s">
        <v>797</v>
      </c>
      <c r="AA5" t="s">
        <v>798</v>
      </c>
      <c r="AB5" t="s">
        <v>799</v>
      </c>
      <c r="AC5" t="s">
        <v>800</v>
      </c>
      <c r="AD5" t="s">
        <v>801</v>
      </c>
      <c r="AE5" t="s">
        <v>802</v>
      </c>
      <c r="AF5" t="s">
        <v>805</v>
      </c>
      <c r="AG5" t="s">
        <v>806</v>
      </c>
      <c r="AH5" t="s">
        <v>804</v>
      </c>
      <c r="AI5" t="s">
        <v>803</v>
      </c>
    </row>
    <row r="6" spans="1:35" x14ac:dyDescent="0.3">
      <c r="A6">
        <v>1</v>
      </c>
      <c r="B6">
        <v>1</v>
      </c>
      <c r="C6">
        <f>COUNTIFS(dataIntentos[Nivel],A6,dataIntentos[Intento],B6)</f>
        <v>94</v>
      </c>
      <c r="D6">
        <f>AVERAGEIFS(dataIntentos[Pasos planificados],dataIntentos[Nivel],A6,dataIntentos[Intento],B6)</f>
        <v>1.3723404255319149</v>
      </c>
      <c r="E6" cm="1">
        <f t="array" ref="E6">_xlfn.STDEV.P(IF((dataIntentos[Nivel]=A6)*(dataIntentos[Intento]=B6),dataIntentos[Pasos planificados]))</f>
        <v>1.9017575440762375</v>
      </c>
      <c r="F6">
        <f>AVERAGEIFS(dataIntentos[Pasos ejecutados],dataIntentos[Nivel],A6,dataIntentos[Intento],B6)</f>
        <v>1.1276595744680851</v>
      </c>
      <c r="G6" cm="1">
        <f t="array" ref="G6">_xlfn.STDEV.P(IF((dataIntentos[Nivel]=A6)*(dataIntentos[Intento]=B6),dataIntentos[Pasos ejecutados]))</f>
        <v>1.5793483880762242</v>
      </c>
      <c r="H6">
        <f>AVERAGEIFS(dataIntentos[Errores ejecucion],dataIntentos[Nivel],A6,dataIntentos[Intento],B6)</f>
        <v>0.24468085106382978</v>
      </c>
      <c r="I6" cm="1">
        <f t="array" ref="I6">_xlfn.STDEV.P(IF((dataIntentos[Nivel]=A6)*(dataIntentos[Intento]=B6),dataIntentos[Errores ejecucion]))</f>
        <v>0.7392660277911357</v>
      </c>
      <c r="J6">
        <f>AVERAGEIFS(dataIntentos[Num dormir planificado],dataIntentos[Nivel],A6,dataIntentos[Intento],B6)</f>
        <v>0.74468085106382975</v>
      </c>
      <c r="K6" cm="1">
        <f t="array" ref="K6">_xlfn.STDEV.P(IF((dataIntentos[Nivel]=A6)*(dataIntentos[Intento]=B6),dataIntentos[Num dormir planificado]))</f>
        <v>1.1479507200184009</v>
      </c>
      <c r="L6">
        <f>AVERAGEIFS(dataIntentos[Correctos dormir],dataIntentos[Nivel],A6,dataIntentos[Intento],B6)</f>
        <v>0.67021276595744683</v>
      </c>
      <c r="M6" cm="1">
        <f t="array" ref="M6">_xlfn.STDEV.P(IF((dataIntentos[Nivel]=A6)*(dataIntentos[Intento]=B6),dataIntentos[Correctos dormir]))</f>
        <v>0.89190565611588002</v>
      </c>
      <c r="N6">
        <f>AVERAGEIFS(dataIntentos[Errores dormir],dataIntentos[Nivel],A6,dataIntentos[Intento],B6)</f>
        <v>7.4468085106382975E-2</v>
      </c>
      <c r="O6" cm="1">
        <f t="array" ref="O6">_xlfn.STDEV.P(IF((dataIntentos[Nivel]=A6)*(dataIntentos[Intento]=B6),dataIntentos[Errores dormir]))</f>
        <v>0.53074339077729449</v>
      </c>
      <c r="P6">
        <f>AVERAGEIFS(dataIntentos[Num ubicacion planificado],dataIntentos[Nivel],A6,dataIntentos[Intento],B6)</f>
        <v>0.62765957446808507</v>
      </c>
      <c r="Q6" cm="1">
        <f t="array" ref="Q6">_xlfn.STDEV.P(IF((dataIntentos[Nivel]=A6)*(dataIntentos[Intento]=B6),dataIntentos[Num ubicacion planificado]))</f>
        <v>0.97831860268819193</v>
      </c>
      <c r="R6">
        <f>AVERAGEIFS(dataIntentos[Correctos ubicacion],dataIntentos[Nivel],A6,dataIntentos[Intento],B6)</f>
        <v>0.45744680851063829</v>
      </c>
      <c r="S6" cm="1">
        <f t="array" ref="S6">_xlfn.STDEV.P(IF((dataIntentos[Nivel]=A6)*(dataIntentos[Intento]=B6),dataIntentos[Correctos ubicacion]))</f>
        <v>0.90700458157632957</v>
      </c>
      <c r="T6">
        <f>AVERAGEIFS(dataIntentos[Errores ubicacion],dataIntentos[Nivel],A6,dataIntentos[Intento],B6)</f>
        <v>0.1702127659574468</v>
      </c>
      <c r="U6" cm="1">
        <f t="array" ref="U6">_xlfn.STDEV.P(IF((dataIntentos[Nivel]=A6)*(dataIntentos[Intento]=B6),dataIntentos[Errores ubicacion]))</f>
        <v>0.40313394301056205</v>
      </c>
      <c r="V6">
        <f>AVERAGEIFS(dataIntentos[Paradas posibles],dataIntentos[Nivel],A6,dataIntentos[Intento],B6)</f>
        <v>1.7553191489361701</v>
      </c>
      <c r="W6" cm="1">
        <f t="array" ref="W6">_xlfn.STDEV.P(IF((dataIntentos[Nivel]=A6)*(dataIntentos[Intento]=B6),dataIntentos[Paradas posibles]))</f>
        <v>1.3890619076377912</v>
      </c>
      <c r="X6">
        <f>AVERAGEIFS(dataIntentos[Paradas realizadas],dataIntentos[Nivel],A6,dataIntentos[Intento],B6)</f>
        <v>1.2659574468085106</v>
      </c>
      <c r="Y6" cm="1">
        <f t="array" ref="Y6">_xlfn.STDEV.P(IF((dataIntentos[Nivel]=A6)*(dataIntentos[Intento]=B6),dataIntentos[Paradas realizadas]))</f>
        <v>1.2647052630729996</v>
      </c>
      <c r="Z6">
        <f>AVERAGEIFS(dataIntentos[Errores parada por tiempo excedido],dataIntentos[Nivel],A6,dataIntentos[Intento],B6)</f>
        <v>5.3191489361702128E-2</v>
      </c>
      <c r="AA6" cm="1">
        <f t="array" ref="AA6">_xlfn.STDEV.P(IF((dataIntentos[Nivel]=A6)*(dataIntentos[Intento]=B6),dataIntentos[Errores parada por tiempo excedido]))</f>
        <v>0.26765416224274735</v>
      </c>
      <c r="AB6">
        <f>AVERAGEIFS(dataIntentos[Num errores por tiempo excedido],dataIntentos[Nivel],A6,dataIntentos[Intento],B6)</f>
        <v>5.3191489361702128E-2</v>
      </c>
      <c r="AC6" cm="1">
        <f t="array" ref="AC6">_xlfn.STDEV.P(IF((dataIntentos[Nivel]=A6)*(dataIntentos[Intento]=B6),dataIntentos[Num errores por tiempo excedido]))</f>
        <v>0.26765416224274735</v>
      </c>
      <c r="AD6">
        <f>AVERAGEIFS(dataIntentos[Tiempo duracion],dataIntentos[Nivel],A6,dataIntentos[Intento],B6)</f>
        <v>178.21645744680853</v>
      </c>
      <c r="AE6" cm="1">
        <f t="array" ref="AE6">_xlfn.STDEV.P(IF((dataIntentos[Nivel]=A6)*(dataIntentos[Intento]=B6),dataIntentos[Tiempo duracion]))</f>
        <v>103.53722501528235</v>
      </c>
      <c r="AF6">
        <f>AVERAGEIFS(dataIntentos[%Reglas respetadas ejecucion],dataIntentos[Nivel],A6,dataIntentos[Intento],B6)</f>
        <v>94.148936170212764</v>
      </c>
      <c r="AG6" cm="1">
        <f t="array" ref="AG6">_xlfn.STDEV.P(IF((dataIntentos[Nivel]=A6)*(dataIntentos[Intento]=B6),dataIntentos[%Reglas respetadas ejecucion]))</f>
        <v>12.854304227228269</v>
      </c>
      <c r="AH6">
        <f>COUNTIFS(dataIntentos[Nivel],A6,dataIntentos[Intento],B6,dataIntentos[Reglas planificacion cumplidas],"VERDADERO")</f>
        <v>13</v>
      </c>
      <c r="AI6">
        <f>COUNTIFS(dataIntentos[Nivel],A6,dataIntentos[Intento],B6,dataIntentos[Completado],"VERDADERO")</f>
        <v>5</v>
      </c>
    </row>
    <row r="7" spans="1:35" x14ac:dyDescent="0.3">
      <c r="A7">
        <v>1</v>
      </c>
      <c r="B7">
        <v>2</v>
      </c>
      <c r="C7">
        <f>COUNTIFS(dataIntentos[Nivel],A7,dataIntentos[Intento],B7)</f>
        <v>68</v>
      </c>
      <c r="D7">
        <f>AVERAGEIFS(dataIntentos[Pasos planificados],dataIntentos[Nivel],A7,dataIntentos[Intento],B7)</f>
        <v>1.9705882352941178</v>
      </c>
      <c r="E7" cm="1">
        <f t="array" ref="E7">_xlfn.STDEV.P(IF((dataIntentos[Nivel]=A7)*(dataIntentos[Intento]=B7),dataIntentos[Pasos planificados]))</f>
        <v>2.5837193222817723</v>
      </c>
      <c r="F7">
        <f>AVERAGEIFS(dataIntentos[Pasos ejecutados],dataIntentos[Nivel],A7,dataIntentos[Intento],B7)</f>
        <v>1.5588235294117647</v>
      </c>
      <c r="G7" cm="1">
        <f t="array" ref="G7">_xlfn.STDEV.P(IF((dataIntentos[Nivel]=A7)*(dataIntentos[Intento]=B7),dataIntentos[Pasos ejecutados]))</f>
        <v>1.8738318160231149</v>
      </c>
      <c r="H7">
        <f>AVERAGEIFS(dataIntentos[Errores ejecucion],dataIntentos[Nivel],A7,dataIntentos[Intento],B7)</f>
        <v>0.41176470588235292</v>
      </c>
      <c r="I7" cm="1">
        <f t="array" ref="I7">_xlfn.STDEV.P(IF((dataIntentos[Nivel]=A7)*(dataIntentos[Intento]=B7),dataIntentos[Errores ejecucion]))</f>
        <v>1.1276640889812244</v>
      </c>
      <c r="J7">
        <f>AVERAGEIFS(dataIntentos[Num dormir planificado],dataIntentos[Nivel],A7,dataIntentos[Intento],B7)</f>
        <v>0.91176470588235292</v>
      </c>
      <c r="K7" cm="1">
        <f t="array" ref="K7">_xlfn.STDEV.P(IF((dataIntentos[Nivel]=A7)*(dataIntentos[Intento]=B7),dataIntentos[Num dormir planificado]))</f>
        <v>1.0107553104376226</v>
      </c>
      <c r="L7">
        <f>AVERAGEIFS(dataIntentos[Correctos dormir],dataIntentos[Nivel],A7,dataIntentos[Intento],B7)</f>
        <v>0.83823529411764708</v>
      </c>
      <c r="M7" cm="1">
        <f t="array" ref="M7">_xlfn.STDEV.P(IF((dataIntentos[Nivel]=A7)*(dataIntentos[Intento]=B7),dataIntentos[Correctos dormir]))</f>
        <v>0.91732177492651146</v>
      </c>
      <c r="N7">
        <f>AVERAGEIFS(dataIntentos[Errores dormir],dataIntentos[Nivel],A7,dataIntentos[Intento],B7)</f>
        <v>7.3529411764705885E-2</v>
      </c>
      <c r="O7" cm="1">
        <f t="array" ref="O7">_xlfn.STDEV.P(IF((dataIntentos[Nivel]=A7)*(dataIntentos[Intento]=B7),dataIntentos[Errores dormir]))</f>
        <v>0.31230530267051915</v>
      </c>
      <c r="P7">
        <f>AVERAGEIFS(dataIntentos[Num ubicacion planificado],dataIntentos[Nivel],A7,dataIntentos[Intento],B7)</f>
        <v>1.0588235294117647</v>
      </c>
      <c r="Q7" cm="1">
        <f t="array" ref="Q7">_xlfn.STDEV.P(IF((dataIntentos[Nivel]=A7)*(dataIntentos[Intento]=B7),dataIntentos[Num ubicacion planificado]))</f>
        <v>1.7977302105807207</v>
      </c>
      <c r="R7">
        <f>AVERAGEIFS(dataIntentos[Correctos ubicacion],dataIntentos[Nivel],A7,dataIntentos[Intento],B7)</f>
        <v>0.72058823529411764</v>
      </c>
      <c r="S7" cm="1">
        <f t="array" ref="S7">_xlfn.STDEV.P(IF((dataIntentos[Nivel]=A7)*(dataIntentos[Intento]=B7),dataIntentos[Correctos ubicacion]))</f>
        <v>1.1612061203676283</v>
      </c>
      <c r="T7">
        <f>AVERAGEIFS(dataIntentos[Errores ubicacion],dataIntentos[Nivel],A7,dataIntentos[Intento],B7)</f>
        <v>0.33823529411764708</v>
      </c>
      <c r="U7" cm="1">
        <f t="array" ref="U7">_xlfn.STDEV.P(IF((dataIntentos[Nivel]=A7)*(dataIntentos[Intento]=B7),dataIntentos[Errores ubicacion]))</f>
        <v>0.93321541107088868</v>
      </c>
      <c r="V7">
        <f>AVERAGEIFS(dataIntentos[Paradas posibles],dataIntentos[Nivel],A7,dataIntentos[Intento],B7)</f>
        <v>2.1029411764705883</v>
      </c>
      <c r="W7" cm="1">
        <f t="array" ref="W7">_xlfn.STDEV.P(IF((dataIntentos[Nivel]=A7)*(dataIntentos[Intento]=B7),dataIntentos[Paradas posibles]))</f>
        <v>1.3841508958282494</v>
      </c>
      <c r="X7">
        <f>AVERAGEIFS(dataIntentos[Paradas realizadas],dataIntentos[Nivel],A7,dataIntentos[Intento],B7)</f>
        <v>1.5735294117647058</v>
      </c>
      <c r="Y7" cm="1">
        <f t="array" ref="Y7">_xlfn.STDEV.P(IF((dataIntentos[Nivel]=A7)*(dataIntentos[Intento]=B7),dataIntentos[Paradas realizadas]))</f>
        <v>1.275518077795061</v>
      </c>
      <c r="Z7">
        <f>AVERAGEIFS(dataIntentos[Errores parada por tiempo excedido],dataIntentos[Nivel],A7,dataIntentos[Intento],B7)</f>
        <v>1.4705882352941176E-2</v>
      </c>
      <c r="AA7" cm="1">
        <f t="array" ref="AA7">_xlfn.STDEV.P(IF((dataIntentos[Nivel]=A7)*(dataIntentos[Intento]=B7),dataIntentos[Errores parada por tiempo excedido]))</f>
        <v>0.1203728348804772</v>
      </c>
      <c r="AB7">
        <f>AVERAGEIFS(dataIntentos[Num errores por tiempo excedido],dataIntentos[Nivel],A7,dataIntentos[Intento],B7)</f>
        <v>1.4705882352941176E-2</v>
      </c>
      <c r="AC7" cm="1">
        <f t="array" ref="AC7">_xlfn.STDEV.P(IF((dataIntentos[Nivel]=A7)*(dataIntentos[Intento]=B7),dataIntentos[Num errores por tiempo excedido]))</f>
        <v>0.1203728348804772</v>
      </c>
      <c r="AD7">
        <f>AVERAGEIFS(dataIntentos[Tiempo duracion],dataIntentos[Nivel],A7,dataIntentos[Intento],B7)</f>
        <v>173.58280882352946</v>
      </c>
      <c r="AE7" cm="1">
        <f t="array" ref="AE7">_xlfn.STDEV.P(IF((dataIntentos[Nivel]=A7)*(dataIntentos[Intento]=B7),dataIntentos[Tiempo duracion]))</f>
        <v>92.356738332826239</v>
      </c>
      <c r="AF7">
        <f>AVERAGEIFS(dataIntentos[%Reglas respetadas ejecucion],dataIntentos[Nivel],A7,dataIntentos[Intento],B7)</f>
        <v>93.382352941176464</v>
      </c>
      <c r="AG7" cm="1">
        <f t="array" ref="AG7">_xlfn.STDEV.P(IF((dataIntentos[Nivel]=A7)*(dataIntentos[Intento]=B7),dataIntentos[%Reglas respetadas ejecucion]))</f>
        <v>13.296427441194945</v>
      </c>
      <c r="AH7">
        <f>COUNTIFS(dataIntentos[Nivel],A7,dataIntentos[Intento],B7,dataIntentos[Reglas planificacion cumplidas],"VERDADERO")</f>
        <v>15</v>
      </c>
      <c r="AI7">
        <f>COUNTIFS(dataIntentos[Nivel],A7,dataIntentos[Intento],B7,dataIntentos[Completado],"VERDADERO")</f>
        <v>8</v>
      </c>
    </row>
    <row r="8" spans="1:35" x14ac:dyDescent="0.3">
      <c r="A8">
        <v>1</v>
      </c>
      <c r="B8">
        <v>3</v>
      </c>
      <c r="C8">
        <f>COUNTIFS(dataIntentos[Nivel],A8,dataIntentos[Intento],B8)</f>
        <v>49</v>
      </c>
      <c r="D8">
        <f>AVERAGEIFS(dataIntentos[Pasos planificados],dataIntentos[Nivel],A8,dataIntentos[Intento],B8)</f>
        <v>2.0408163265306123</v>
      </c>
      <c r="E8" cm="1">
        <f t="array" ref="E8">_xlfn.STDEV.P(IF((dataIntentos[Nivel]=A8)*(dataIntentos[Intento]=B8),dataIntentos[Pasos planificados]))</f>
        <v>1.5773807231787427</v>
      </c>
      <c r="F8">
        <f>AVERAGEIFS(dataIntentos[Pasos ejecutados],dataIntentos[Nivel],A8,dataIntentos[Intento],B8)</f>
        <v>1.6938775510204083</v>
      </c>
      <c r="G8" cm="1">
        <f t="array" ref="G8">_xlfn.STDEV.P(IF((dataIntentos[Nivel]=A8)*(dataIntentos[Intento]=B8),dataIntentos[Pasos ejecutados]))</f>
        <v>1.5280250242722355</v>
      </c>
      <c r="H8">
        <f>AVERAGEIFS(dataIntentos[Errores ejecucion],dataIntentos[Nivel],A8,dataIntentos[Intento],B8)</f>
        <v>0.34693877551020408</v>
      </c>
      <c r="I8" cm="1">
        <f t="array" ref="I8">_xlfn.STDEV.P(IF((dataIntentos[Nivel]=A8)*(dataIntentos[Intento]=B8),dataIntentos[Errores ejecucion]))</f>
        <v>0.62436973635830018</v>
      </c>
      <c r="J8">
        <f>AVERAGEIFS(dataIntentos[Num dormir planificado],dataIntentos[Nivel],A8,dataIntentos[Intento],B8)</f>
        <v>1</v>
      </c>
      <c r="K8" cm="1">
        <f t="array" ref="K8">_xlfn.STDEV.P(IF((dataIntentos[Nivel]=A8)*(dataIntentos[Intento]=B8),dataIntentos[Num dormir planificado]))</f>
        <v>0.7559289460184544</v>
      </c>
      <c r="L8">
        <f>AVERAGEIFS(dataIntentos[Correctos dormir],dataIntentos[Nivel],A8,dataIntentos[Intento],B8)</f>
        <v>0.95918367346938771</v>
      </c>
      <c r="M8" cm="1">
        <f t="array" ref="M8">_xlfn.STDEV.P(IF((dataIntentos[Nivel]=A8)*(dataIntentos[Intento]=B8),dataIntentos[Correctos dormir]))</f>
        <v>0.75482620444518078</v>
      </c>
      <c r="N8">
        <f>AVERAGEIFS(dataIntentos[Errores dormir],dataIntentos[Nivel],A8,dataIntentos[Intento],B8)</f>
        <v>4.0816326530612242E-2</v>
      </c>
      <c r="O8" cm="1">
        <f t="array" ref="O8">_xlfn.STDEV.P(IF((dataIntentos[Nivel]=A8)*(dataIntentos[Intento]=B8),dataIntentos[Errores dormir]))</f>
        <v>0.1978644839761767</v>
      </c>
      <c r="P8">
        <f>AVERAGEIFS(dataIntentos[Num ubicacion planificado],dataIntentos[Nivel],A8,dataIntentos[Intento],B8)</f>
        <v>1.0408163265306123</v>
      </c>
      <c r="Q8" cm="1">
        <f t="array" ref="Q8">_xlfn.STDEV.P(IF((dataIntentos[Nivel]=A8)*(dataIntentos[Intento]=B8),dataIntentos[Num ubicacion planificado]))</f>
        <v>1.0489875327262366</v>
      </c>
      <c r="R8">
        <f>AVERAGEIFS(dataIntentos[Correctos ubicacion],dataIntentos[Nivel],A8,dataIntentos[Intento],B8)</f>
        <v>0.73469387755102045</v>
      </c>
      <c r="S8" cm="1">
        <f t="array" ref="S8">_xlfn.STDEV.P(IF((dataIntentos[Nivel]=A8)*(dataIntentos[Intento]=B8),dataIntentos[Correctos ubicacion]))</f>
        <v>1.0454080387645468</v>
      </c>
      <c r="T8">
        <f>AVERAGEIFS(dataIntentos[Errores ubicacion],dataIntentos[Nivel],A8,dataIntentos[Intento],B8)</f>
        <v>0.30612244897959184</v>
      </c>
      <c r="U8" cm="1">
        <f t="array" ref="U8">_xlfn.STDEV.P(IF((dataIntentos[Nivel]=A8)*(dataIntentos[Intento]=B8),dataIntentos[Errores ubicacion]))</f>
        <v>0.61292479255841659</v>
      </c>
      <c r="V8">
        <f>AVERAGEIFS(dataIntentos[Paradas posibles],dataIntentos[Nivel],A8,dataIntentos[Intento],B8)</f>
        <v>2.306122448979592</v>
      </c>
      <c r="W8" cm="1">
        <f t="array" ref="W8">_xlfn.STDEV.P(IF((dataIntentos[Nivel]=A8)*(dataIntentos[Intento]=B8),dataIntentos[Paradas posibles]))</f>
        <v>1.2487394727166004</v>
      </c>
      <c r="X8">
        <f>AVERAGEIFS(dataIntentos[Paradas realizadas],dataIntentos[Nivel],A8,dataIntentos[Intento],B8)</f>
        <v>1.7551020408163265</v>
      </c>
      <c r="Y8" cm="1">
        <f t="array" ref="Y8">_xlfn.STDEV.P(IF((dataIntentos[Nivel]=A8)*(dataIntentos[Intento]=B8),dataIntentos[Paradas realizadas]))</f>
        <v>1.3175520319648142</v>
      </c>
      <c r="Z8">
        <f>AVERAGEIFS(dataIntentos[Errores parada por tiempo excedido],dataIntentos[Nivel],A8,dataIntentos[Intento],B8)</f>
        <v>8.1632653061224483E-2</v>
      </c>
      <c r="AA8" cm="1">
        <f t="array" ref="AA8">_xlfn.STDEV.P(IF((dataIntentos[Nivel]=A8)*(dataIntentos[Intento]=B8),dataIntentos[Errores parada por tiempo excedido]))</f>
        <v>0.27380424214283139</v>
      </c>
      <c r="AB8">
        <f>AVERAGEIFS(dataIntentos[Num errores por tiempo excedido],dataIntentos[Nivel],A8,dataIntentos[Intento],B8)</f>
        <v>8.1632653061224483E-2</v>
      </c>
      <c r="AC8" cm="1">
        <f t="array" ref="AC8">_xlfn.STDEV.P(IF((dataIntentos[Nivel]=A8)*(dataIntentos[Intento]=B8),dataIntentos[Num errores por tiempo excedido]))</f>
        <v>0.27380424214283139</v>
      </c>
      <c r="AD8">
        <f>AVERAGEIFS(dataIntentos[Tiempo duracion],dataIntentos[Nivel],A8,dataIntentos[Intento],B8)</f>
        <v>169.9305714285714</v>
      </c>
      <c r="AE8" cm="1">
        <f t="array" ref="AE8">_xlfn.STDEV.P(IF((dataIntentos[Nivel]=A8)*(dataIntentos[Intento]=B8),dataIntentos[Tiempo duracion]))</f>
        <v>65.026550499917974</v>
      </c>
      <c r="AF8">
        <f>AVERAGEIFS(dataIntentos[%Reglas respetadas ejecucion],dataIntentos[Nivel],A8,dataIntentos[Intento],B8)</f>
        <v>90.816326530612244</v>
      </c>
      <c r="AG8" cm="1">
        <f t="array" ref="AG8">_xlfn.STDEV.P(IF((dataIntentos[Nivel]=A8)*(dataIntentos[Intento]=B8),dataIntentos[%Reglas respetadas ejecucion]))</f>
        <v>13.067600484556834</v>
      </c>
      <c r="AH8">
        <f>COUNTIFS(dataIntentos[Nivel],A8,dataIntentos[Intento],B8,dataIntentos[Reglas planificacion cumplidas],"VERDADERO")</f>
        <v>8</v>
      </c>
      <c r="AI8">
        <f>COUNTIFS(dataIntentos[Nivel],A8,dataIntentos[Intento],B8,dataIntentos[Completado],"VERDADERO")</f>
        <v>6</v>
      </c>
    </row>
    <row r="9" spans="1:35" x14ac:dyDescent="0.3">
      <c r="A9">
        <v>1</v>
      </c>
      <c r="B9">
        <v>4</v>
      </c>
      <c r="C9">
        <f>COUNTIFS(dataIntentos[Nivel],A9,dataIntentos[Intento],B9)</f>
        <v>34</v>
      </c>
      <c r="D9">
        <f>AVERAGEIFS(dataIntentos[Pasos planificados],dataIntentos[Nivel],A9,dataIntentos[Intento],B9)</f>
        <v>2.2647058823529411</v>
      </c>
      <c r="E9" cm="1">
        <f t="array" ref="E9">_xlfn.STDEV.P(IF((dataIntentos[Nivel]=A9)*(dataIntentos[Intento]=B9),dataIntentos[Pasos planificados]))</f>
        <v>1.8037350713484663</v>
      </c>
      <c r="F9">
        <f>AVERAGEIFS(dataIntentos[Pasos ejecutados],dataIntentos[Nivel],A9,dataIntentos[Intento],B9)</f>
        <v>1.6470588235294117</v>
      </c>
      <c r="G9" cm="1">
        <f t="array" ref="G9">_xlfn.STDEV.P(IF((dataIntentos[Nivel]=A9)*(dataIntentos[Intento]=B9),dataIntentos[Pasos ejecutados]))</f>
        <v>1.5507560384075374</v>
      </c>
      <c r="H9">
        <f>AVERAGEIFS(dataIntentos[Errores ejecucion],dataIntentos[Nivel],A9,dataIntentos[Intento],B9)</f>
        <v>0.61764705882352944</v>
      </c>
      <c r="I9" cm="1">
        <f t="array" ref="I9">_xlfn.STDEV.P(IF((dataIntentos[Nivel]=A9)*(dataIntentos[Intento]=B9),dataIntentos[Errores ejecucion]))</f>
        <v>0.87496910474373635</v>
      </c>
      <c r="J9">
        <f>AVERAGEIFS(dataIntentos[Num dormir planificado],dataIntentos[Nivel],A9,dataIntentos[Intento],B9)</f>
        <v>1.0588235294117647</v>
      </c>
      <c r="K9" cm="1">
        <f t="array" ref="K9">_xlfn.STDEV.P(IF((dataIntentos[Nivel]=A9)*(dataIntentos[Intento]=B9),dataIntentos[Num dormir planificado]))</f>
        <v>0.93749279120642515</v>
      </c>
      <c r="L9">
        <f>AVERAGEIFS(dataIntentos[Correctos dormir],dataIntentos[Nivel],A9,dataIntentos[Intento],B9)</f>
        <v>0.97058823529411764</v>
      </c>
      <c r="M9" cm="1">
        <f t="array" ref="M9">_xlfn.STDEV.P(IF((dataIntentos[Nivel]=A9)*(dataIntentos[Intento]=B9),dataIntentos[Correctos dormir]))</f>
        <v>0.92307969567501269</v>
      </c>
      <c r="N9">
        <f>AVERAGEIFS(dataIntentos[Errores dormir],dataIntentos[Nivel],A9,dataIntentos[Intento],B9)</f>
        <v>8.8235294117647065E-2</v>
      </c>
      <c r="O9" cm="1">
        <f t="array" ref="O9">_xlfn.STDEV.P(IF((dataIntentos[Nivel]=A9)*(dataIntentos[Intento]=B9),dataIntentos[Errores dormir]))</f>
        <v>0.28363678708802809</v>
      </c>
      <c r="P9">
        <f>AVERAGEIFS(dataIntentos[Num ubicacion planificado],dataIntentos[Nivel],A9,dataIntentos[Intento],B9)</f>
        <v>1.2058823529411764</v>
      </c>
      <c r="Q9" cm="1">
        <f t="array" ref="Q9">_xlfn.STDEV.P(IF((dataIntentos[Nivel]=A9)*(dataIntentos[Intento]=B9),dataIntentos[Num ubicacion planificado]))</f>
        <v>1.2314365538504894</v>
      </c>
      <c r="R9">
        <f>AVERAGEIFS(dataIntentos[Correctos ubicacion],dataIntentos[Nivel],A9,dataIntentos[Intento],B9)</f>
        <v>0.67647058823529416</v>
      </c>
      <c r="S9" cm="1">
        <f t="array" ref="S9">_xlfn.STDEV.P(IF((dataIntentos[Nivel]=A9)*(dataIntentos[Intento]=B9),dataIntentos[Correctos ubicacion]))</f>
        <v>1.0209738210417518</v>
      </c>
      <c r="T9">
        <f>AVERAGEIFS(dataIntentos[Errores ubicacion],dataIntentos[Nivel],A9,dataIntentos[Intento],B9)</f>
        <v>0.52941176470588236</v>
      </c>
      <c r="U9" cm="1">
        <f t="array" ref="U9">_xlfn.STDEV.P(IF((dataIntentos[Nivel]=A9)*(dataIntentos[Intento]=B9),dataIntentos[Errores ubicacion]))</f>
        <v>0.84836500599152687</v>
      </c>
      <c r="V9">
        <f>AVERAGEIFS(dataIntentos[Paradas posibles],dataIntentos[Nivel],A9,dataIntentos[Intento],B9)</f>
        <v>2.1176470588235294</v>
      </c>
      <c r="W9" cm="1">
        <f t="array" ref="W9">_xlfn.STDEV.P(IF((dataIntentos[Nivel]=A9)*(dataIntentos[Intento]=B9),dataIntentos[Paradas posibles]))</f>
        <v>1.3669352986614411</v>
      </c>
      <c r="X9">
        <f>AVERAGEIFS(dataIntentos[Paradas realizadas],dataIntentos[Nivel],A9,dataIntentos[Intento],B9)</f>
        <v>1.588235294117647</v>
      </c>
      <c r="Y9" cm="1">
        <f t="array" ref="Y9">_xlfn.STDEV.P(IF((dataIntentos[Nivel]=A9)*(dataIntentos[Intento]=B9),dataIntentos[Paradas realizadas]))</f>
        <v>1.30874090948747</v>
      </c>
      <c r="Z9">
        <f>AVERAGEIFS(dataIntentos[Errores parada por tiempo excedido],dataIntentos[Nivel],A9,dataIntentos[Intento],B9)</f>
        <v>0</v>
      </c>
      <c r="AA9" cm="1">
        <f t="array" ref="AA9">_xlfn.STDEV.P(IF((dataIntentos[Nivel]=A9)*(dataIntentos[Intento]=B9),dataIntentos[Errores parada por tiempo excedido]))</f>
        <v>0</v>
      </c>
      <c r="AB9">
        <f>AVERAGEIFS(dataIntentos[Num errores por tiempo excedido],dataIntentos[Nivel],A9,dataIntentos[Intento],B9)</f>
        <v>0</v>
      </c>
      <c r="AC9" cm="1">
        <f t="array" ref="AC9">_xlfn.STDEV.P(IF((dataIntentos[Nivel]=A9)*(dataIntentos[Intento]=B9),dataIntentos[Num errores por tiempo excedido]))</f>
        <v>0</v>
      </c>
      <c r="AD9">
        <f>AVERAGEIFS(dataIntentos[Tiempo duracion],dataIntentos[Nivel],A9,dataIntentos[Intento],B9)</f>
        <v>170.85947058823533</v>
      </c>
      <c r="AE9" cm="1">
        <f t="array" ref="AE9">_xlfn.STDEV.P(IF((dataIntentos[Nivel]=A9)*(dataIntentos[Intento]=B9),dataIntentos[Tiempo duracion]))</f>
        <v>91.128696911770703</v>
      </c>
      <c r="AF9">
        <f>AVERAGEIFS(dataIntentos[%Reglas respetadas ejecucion],dataIntentos[Nivel],A9,dataIntentos[Intento],B9)</f>
        <v>88.235294117647058</v>
      </c>
      <c r="AG9" cm="1">
        <f t="array" ref="AG9">_xlfn.STDEV.P(IF((dataIntentos[Nivel]=A9)*(dataIntentos[Intento]=B9),dataIntentos[%Reglas respetadas ejecucion]))</f>
        <v>13.873501664789123</v>
      </c>
      <c r="AH9">
        <f>COUNTIFS(dataIntentos[Nivel],A9,dataIntentos[Intento],B9,dataIntentos[Reglas planificacion cumplidas],"VERDADERO")</f>
        <v>6</v>
      </c>
      <c r="AI9">
        <f>COUNTIFS(dataIntentos[Nivel],A9,dataIntentos[Intento],B9,dataIntentos[Completado],"VERDADERO")</f>
        <v>2</v>
      </c>
    </row>
    <row r="10" spans="1:35" x14ac:dyDescent="0.3">
      <c r="A10">
        <v>1</v>
      </c>
      <c r="B10">
        <v>5</v>
      </c>
      <c r="C10">
        <f>COUNTIFS(dataIntentos[Nivel],A10,dataIntentos[Intento],B10)</f>
        <v>28</v>
      </c>
      <c r="D10">
        <f>AVERAGEIFS(dataIntentos[Pasos planificados],dataIntentos[Nivel],A10,dataIntentos[Intento],B10)</f>
        <v>2.5714285714285716</v>
      </c>
      <c r="E10" cm="1">
        <f t="array" ref="E10">_xlfn.STDEV.P(IF((dataIntentos[Nivel]=A10)*(dataIntentos[Intento]=B10),dataIntentos[Pasos planificados]))</f>
        <v>1.4249955245185717</v>
      </c>
      <c r="F10">
        <f>AVERAGEIFS(dataIntentos[Pasos ejecutados],dataIntentos[Nivel],A10,dataIntentos[Intento],B10)</f>
        <v>2.0714285714285716</v>
      </c>
      <c r="G10" cm="1">
        <f t="array" ref="G10">_xlfn.STDEV.P(IF((dataIntentos[Nivel]=A10)*(dataIntentos[Intento]=B10),dataIntentos[Pasos ejecutados]))</f>
        <v>1.3343958351621004</v>
      </c>
      <c r="H10">
        <f>AVERAGEIFS(dataIntentos[Errores ejecucion],dataIntentos[Nivel],A10,dataIntentos[Intento],B10)</f>
        <v>0.5</v>
      </c>
      <c r="I10" cm="1">
        <f t="array" ref="I10">_xlfn.STDEV.P(IF((dataIntentos[Nivel]=A10)*(dataIntentos[Intento]=B10),dataIntentos[Errores ejecucion]))</f>
        <v>1.0177004891982149</v>
      </c>
      <c r="J10">
        <f>AVERAGEIFS(dataIntentos[Num dormir planificado],dataIntentos[Nivel],A10,dataIntentos[Intento],B10)</f>
        <v>1.25</v>
      </c>
      <c r="K10" cm="1">
        <f t="array" ref="K10">_xlfn.STDEV.P(IF((dataIntentos[Nivel]=A10)*(dataIntentos[Intento]=B10),dataIntentos[Num dormir planificado]))</f>
        <v>0.68790572443779363</v>
      </c>
      <c r="L10">
        <f>AVERAGEIFS(dataIntentos[Correctos dormir],dataIntentos[Nivel],A10,dataIntentos[Intento],B10)</f>
        <v>1.2142857142857142</v>
      </c>
      <c r="M10" cm="1">
        <f t="array" ref="M10">_xlfn.STDEV.P(IF((dataIntentos[Nivel]=A10)*(dataIntentos[Intento]=B10),dataIntentos[Correctos dormir]))</f>
        <v>0.72492082607801567</v>
      </c>
      <c r="N10">
        <f>AVERAGEIFS(dataIntentos[Errores dormir],dataIntentos[Nivel],A10,dataIntentos[Intento],B10)</f>
        <v>3.5714285714285712E-2</v>
      </c>
      <c r="O10" cm="1">
        <f t="array" ref="O10">_xlfn.STDEV.P(IF((dataIntentos[Nivel]=A10)*(dataIntentos[Intento]=B10),dataIntentos[Errores dormir]))</f>
        <v>0.18557687223952254</v>
      </c>
      <c r="P10">
        <f>AVERAGEIFS(dataIntentos[Num ubicacion planificado],dataIntentos[Nivel],A10,dataIntentos[Intento],B10)</f>
        <v>1.3214285714285714</v>
      </c>
      <c r="Q10" cm="1">
        <f t="array" ref="Q10">_xlfn.STDEV.P(IF((dataIntentos[Nivel]=A10)*(dataIntentos[Intento]=B10),dataIntentos[Num ubicacion planificado]))</f>
        <v>1.103681224311603</v>
      </c>
      <c r="R10">
        <f>AVERAGEIFS(dataIntentos[Correctos ubicacion],dataIntentos[Nivel],A10,dataIntentos[Intento],B10)</f>
        <v>0.8571428571428571</v>
      </c>
      <c r="S10" cm="1">
        <f t="array" ref="S10">_xlfn.STDEV.P(IF((dataIntentos[Nivel]=A10)*(dataIntentos[Intento]=B10),dataIntentos[Correctos ubicacion]))</f>
        <v>0.87481776527970645</v>
      </c>
      <c r="T10">
        <f>AVERAGEIFS(dataIntentos[Errores ubicacion],dataIntentos[Nivel],A10,dataIntentos[Intento],B10)</f>
        <v>0.4642857142857143</v>
      </c>
      <c r="U10" cm="1">
        <f t="array" ref="U10">_xlfn.STDEV.P(IF((dataIntentos[Nivel]=A10)*(dataIntentos[Intento]=B10),dataIntentos[Errores ubicacion]))</f>
        <v>1.0170736332784387</v>
      </c>
      <c r="V10">
        <f>AVERAGEIFS(dataIntentos[Paradas posibles],dataIntentos[Nivel],A10,dataIntentos[Intento],B10)</f>
        <v>2.2857142857142856</v>
      </c>
      <c r="W10" cm="1">
        <f t="array" ref="W10">_xlfn.STDEV.P(IF((dataIntentos[Nivel]=A10)*(dataIntentos[Intento]=B10),dataIntentos[Paradas posibles]))</f>
        <v>1.2205719636167902</v>
      </c>
      <c r="X10">
        <f>AVERAGEIFS(dataIntentos[Paradas realizadas],dataIntentos[Nivel],A10,dataIntentos[Intento],B10)</f>
        <v>1.6785714285714286</v>
      </c>
      <c r="Y10" cm="1">
        <f t="array" ref="Y10">_xlfn.STDEV.P(IF((dataIntentos[Nivel]=A10)*(dataIntentos[Intento]=B10),dataIntentos[Paradas realizadas]))</f>
        <v>1.103681224311603</v>
      </c>
      <c r="Z10">
        <f>AVERAGEIFS(dataIntentos[Errores parada por tiempo excedido],dataIntentos[Nivel],A10,dataIntentos[Intento],B10)</f>
        <v>0</v>
      </c>
      <c r="AA10" cm="1">
        <f t="array" ref="AA10">_xlfn.STDEV.P(IF((dataIntentos[Nivel]=A10)*(dataIntentos[Intento]=B10),dataIntentos[Errores parada por tiempo excedido]))</f>
        <v>0</v>
      </c>
      <c r="AB10">
        <f>AVERAGEIFS(dataIntentos[Num errores por tiempo excedido],dataIntentos[Nivel],A10,dataIntentos[Intento],B10)</f>
        <v>0</v>
      </c>
      <c r="AC10" cm="1">
        <f t="array" ref="AC10">_xlfn.STDEV.P(IF((dataIntentos[Nivel]=A10)*(dataIntentos[Intento]=B10),dataIntentos[Num errores por tiempo excedido]))</f>
        <v>0</v>
      </c>
      <c r="AD10">
        <f>AVERAGEIFS(dataIntentos[Tiempo duracion],dataIntentos[Nivel],A10,dataIntentos[Intento],B10)</f>
        <v>185.16950000000003</v>
      </c>
      <c r="AE10" cm="1">
        <f t="array" ref="AE10">_xlfn.STDEV.P(IF((dataIntentos[Nivel]=A10)*(dataIntentos[Intento]=B10),dataIntentos[Tiempo duracion]))</f>
        <v>84.922523418407621</v>
      </c>
      <c r="AF10">
        <f>AVERAGEIFS(dataIntentos[%Reglas respetadas ejecucion],dataIntentos[Nivel],A10,dataIntentos[Intento],B10)</f>
        <v>91.964285714285708</v>
      </c>
      <c r="AG10" cm="1">
        <f t="array" ref="AG10">_xlfn.STDEV.P(IF((dataIntentos[Nivel]=A10)*(dataIntentos[Intento]=B10),dataIntentos[%Reglas respetadas ejecucion]))</f>
        <v>11.675622170198233</v>
      </c>
      <c r="AH10">
        <f>COUNTIFS(dataIntentos[Nivel],A10,dataIntentos[Intento],B10,dataIntentos[Reglas planificacion cumplidas],"VERDADERO")</f>
        <v>6</v>
      </c>
      <c r="AI10">
        <f>COUNTIFS(dataIntentos[Nivel],A10,dataIntentos[Intento],B10,dataIntentos[Completado],"VERDADERO")</f>
        <v>2</v>
      </c>
    </row>
    <row r="11" spans="1:35" x14ac:dyDescent="0.3">
      <c r="A11">
        <v>1</v>
      </c>
      <c r="B11">
        <v>6</v>
      </c>
      <c r="C11">
        <f>COUNTIFS(dataIntentos[Nivel],A11,dataIntentos[Intento],B11)</f>
        <v>20</v>
      </c>
      <c r="D11">
        <f>AVERAGEIFS(dataIntentos[Pasos planificados],dataIntentos[Nivel],A11,dataIntentos[Intento],B11)</f>
        <v>3.25</v>
      </c>
      <c r="E11" cm="1">
        <f t="array" ref="E11">_xlfn.STDEV.P(IF((dataIntentos[Nivel]=A11)*(dataIntentos[Intento]=B11),dataIntentos[Pasos planificados]))</f>
        <v>1.699264546796643</v>
      </c>
      <c r="F11">
        <f>AVERAGEIFS(dataIntentos[Pasos ejecutados],dataIntentos[Nivel],A11,dataIntentos[Intento],B11)</f>
        <v>2.8</v>
      </c>
      <c r="G11" cm="1">
        <f t="array" ref="G11">_xlfn.STDEV.P(IF((dataIntentos[Nivel]=A11)*(dataIntentos[Intento]=B11),dataIntentos[Pasos ejecutados]))</f>
        <v>1.6309506430300091</v>
      </c>
      <c r="H11">
        <f>AVERAGEIFS(dataIntentos[Errores ejecucion],dataIntentos[Nivel],A11,dataIntentos[Intento],B11)</f>
        <v>0.45</v>
      </c>
      <c r="I11" cm="1">
        <f t="array" ref="I11">_xlfn.STDEV.P(IF((dataIntentos[Nivel]=A11)*(dataIntentos[Intento]=B11),dataIntentos[Errores ejecucion]))</f>
        <v>1.1169153951844339</v>
      </c>
      <c r="J11">
        <f>AVERAGEIFS(dataIntentos[Num dormir planificado],dataIntentos[Nivel],A11,dataIntentos[Intento],B11)</f>
        <v>1.45</v>
      </c>
      <c r="K11" cm="1">
        <f t="array" ref="K11">_xlfn.STDEV.P(IF((dataIntentos[Nivel]=A11)*(dataIntentos[Intento]=B11),dataIntentos[Num dormir planificado]))</f>
        <v>0.66895440801298256</v>
      </c>
      <c r="L11">
        <f>AVERAGEIFS(dataIntentos[Correctos dormir],dataIntentos[Nivel],A11,dataIntentos[Intento],B11)</f>
        <v>1.4</v>
      </c>
      <c r="M11" cm="1">
        <f t="array" ref="M11">_xlfn.STDEV.P(IF((dataIntentos[Nivel]=A11)*(dataIntentos[Intento]=B11),dataIntentos[Correctos dormir]))</f>
        <v>0.66332495807107994</v>
      </c>
      <c r="N11">
        <f>AVERAGEIFS(dataIntentos[Errores dormir],dataIntentos[Nivel],A11,dataIntentos[Intento],B11)</f>
        <v>0.05</v>
      </c>
      <c r="O11" cm="1">
        <f t="array" ref="O11">_xlfn.STDEV.P(IF((dataIntentos[Nivel]=A11)*(dataIntentos[Intento]=B11),dataIntentos[Errores dormir]))</f>
        <v>0.21794494717703367</v>
      </c>
      <c r="P11">
        <f>AVERAGEIFS(dataIntentos[Num ubicacion planificado],dataIntentos[Nivel],A11,dataIntentos[Intento],B11)</f>
        <v>1.8</v>
      </c>
      <c r="Q11" cm="1">
        <f t="array" ref="Q11">_xlfn.STDEV.P(IF((dataIntentos[Nivel]=A11)*(dataIntentos[Intento]=B11),dataIntentos[Num ubicacion planificado]))</f>
        <v>1.3266499161421599</v>
      </c>
      <c r="R11">
        <f>AVERAGEIFS(dataIntentos[Correctos ubicacion],dataIntentos[Nivel],A11,dataIntentos[Intento],B11)</f>
        <v>1.4</v>
      </c>
      <c r="S11" cm="1">
        <f t="array" ref="S11">_xlfn.STDEV.P(IF((dataIntentos[Nivel]=A11)*(dataIntentos[Intento]=B11),dataIntentos[Correctos ubicacion]))</f>
        <v>1.1575836902790226</v>
      </c>
      <c r="T11">
        <f>AVERAGEIFS(dataIntentos[Errores ubicacion],dataIntentos[Nivel],A11,dataIntentos[Intento],B11)</f>
        <v>0.4</v>
      </c>
      <c r="U11" cm="1">
        <f t="array" ref="U11">_xlfn.STDEV.P(IF((dataIntentos[Nivel]=A11)*(dataIntentos[Intento]=B11),dataIntentos[Errores ubicacion]))</f>
        <v>1.1135528725660044</v>
      </c>
      <c r="V11">
        <f>AVERAGEIFS(dataIntentos[Paradas posibles],dataIntentos[Nivel],A11,dataIntentos[Intento],B11)</f>
        <v>2.4500000000000002</v>
      </c>
      <c r="W11" cm="1">
        <f t="array" ref="W11">_xlfn.STDEV.P(IF((dataIntentos[Nivel]=A11)*(dataIntentos[Intento]=B11),dataIntentos[Paradas posibles]))</f>
        <v>1.3219304066402287</v>
      </c>
      <c r="X11">
        <f>AVERAGEIFS(dataIntentos[Paradas realizadas],dataIntentos[Nivel],A11,dataIntentos[Intento],B11)</f>
        <v>1.8</v>
      </c>
      <c r="Y11" cm="1">
        <f t="array" ref="Y11">_xlfn.STDEV.P(IF((dataIntentos[Nivel]=A11)*(dataIntentos[Intento]=B11),dataIntentos[Paradas realizadas]))</f>
        <v>1.1661903789690602</v>
      </c>
      <c r="Z11">
        <f>AVERAGEIFS(dataIntentos[Errores parada por tiempo excedido],dataIntentos[Nivel],A11,dataIntentos[Intento],B11)</f>
        <v>0</v>
      </c>
      <c r="AA11" cm="1">
        <f t="array" ref="AA11">_xlfn.STDEV.P(IF((dataIntentos[Nivel]=A11)*(dataIntentos[Intento]=B11),dataIntentos[Errores parada por tiempo excedido]))</f>
        <v>0</v>
      </c>
      <c r="AB11">
        <f>AVERAGEIFS(dataIntentos[Num errores por tiempo excedido],dataIntentos[Nivel],A11,dataIntentos[Intento],B11)</f>
        <v>0</v>
      </c>
      <c r="AC11" cm="1">
        <f t="array" ref="AC11">_xlfn.STDEV.P(IF((dataIntentos[Nivel]=A11)*(dataIntentos[Intento]=B11),dataIntentos[Num errores por tiempo excedido]))</f>
        <v>0</v>
      </c>
      <c r="AD11">
        <f>AVERAGEIFS(dataIntentos[Tiempo duracion],dataIntentos[Nivel],A11,dataIntentos[Intento],B11)</f>
        <v>164.26555000000005</v>
      </c>
      <c r="AE11" cm="1">
        <f t="array" ref="AE11">_xlfn.STDEV.P(IF((dataIntentos[Nivel]=A11)*(dataIntentos[Intento]=B11),dataIntentos[Tiempo duracion]))</f>
        <v>70.147608798500642</v>
      </c>
      <c r="AF11">
        <f>AVERAGEIFS(dataIntentos[%Reglas respetadas ejecucion],dataIntentos[Nivel],A11,dataIntentos[Intento],B11)</f>
        <v>93.75</v>
      </c>
      <c r="AG11" cm="1">
        <f t="array" ref="AG11">_xlfn.STDEV.P(IF((dataIntentos[Nivel]=A11)*(dataIntentos[Intento]=B11),dataIntentos[%Reglas respetadas ejecucion]))</f>
        <v>10.825317547305483</v>
      </c>
      <c r="AH11">
        <f>COUNTIFS(dataIntentos[Nivel],A11,dataIntentos[Intento],B11,dataIntentos[Reglas planificacion cumplidas],"VERDADERO")</f>
        <v>4</v>
      </c>
      <c r="AI11">
        <f>COUNTIFS(dataIntentos[Nivel],A11,dataIntentos[Intento],B11,dataIntentos[Completado],"VERDADERO")</f>
        <v>2</v>
      </c>
    </row>
    <row r="12" spans="1:35" x14ac:dyDescent="0.3">
      <c r="A12">
        <v>1</v>
      </c>
      <c r="B12">
        <v>7</v>
      </c>
      <c r="C12">
        <f>COUNTIFS(dataIntentos[Nivel],A12,dataIntentos[Intento],B12)</f>
        <v>14</v>
      </c>
      <c r="D12">
        <f>AVERAGEIFS(dataIntentos[Pasos planificados],dataIntentos[Nivel],A12,dataIntentos[Intento],B12)</f>
        <v>3.5714285714285716</v>
      </c>
      <c r="E12" cm="1">
        <f t="array" ref="E12">_xlfn.STDEV.P(IF((dataIntentos[Nivel]=A12)*(dataIntentos[Intento]=B12),dataIntentos[Pasos planificados]))</f>
        <v>2.411706145162019</v>
      </c>
      <c r="F12">
        <f>AVERAGEIFS(dataIntentos[Pasos ejecutados],dataIntentos[Nivel],A12,dataIntentos[Intento],B12)</f>
        <v>2.7142857142857144</v>
      </c>
      <c r="G12" cm="1">
        <f t="array" ref="G12">_xlfn.STDEV.P(IF((dataIntentos[Nivel]=A12)*(dataIntentos[Intento]=B12),dataIntentos[Pasos ejecutados]))</f>
        <v>1.6659862556700857</v>
      </c>
      <c r="H12">
        <f>AVERAGEIFS(dataIntentos[Errores ejecucion],dataIntentos[Nivel],A12,dataIntentos[Intento],B12)</f>
        <v>0.8571428571428571</v>
      </c>
      <c r="I12" cm="1">
        <f t="array" ref="I12">_xlfn.STDEV.P(IF((dataIntentos[Nivel]=A12)*(dataIntentos[Intento]=B12),dataIntentos[Errores ejecucion]))</f>
        <v>1.1866605518454392</v>
      </c>
      <c r="J12">
        <f>AVERAGEIFS(dataIntentos[Num dormir planificado],dataIntentos[Nivel],A12,dataIntentos[Intento],B12)</f>
        <v>1.5714285714285714</v>
      </c>
      <c r="K12" cm="1">
        <f t="array" ref="K12">_xlfn.STDEV.P(IF((dataIntentos[Nivel]=A12)*(dataIntentos[Intento]=B12),dataIntentos[Num dormir planificado]))</f>
        <v>0.49487165930539351</v>
      </c>
      <c r="L12">
        <f>AVERAGEIFS(dataIntentos[Correctos dormir],dataIntentos[Nivel],A12,dataIntentos[Intento],B12)</f>
        <v>1.5</v>
      </c>
      <c r="M12" cm="1">
        <f t="array" ref="M12">_xlfn.STDEV.P(IF((dataIntentos[Nivel]=A12)*(dataIntentos[Intento]=B12),dataIntentos[Correctos dormir]))</f>
        <v>0.62678317052800869</v>
      </c>
      <c r="N12">
        <f>AVERAGEIFS(dataIntentos[Errores dormir],dataIntentos[Nivel],A12,dataIntentos[Intento],B12)</f>
        <v>7.1428571428571425E-2</v>
      </c>
      <c r="O12" cm="1">
        <f t="array" ref="O12">_xlfn.STDEV.P(IF((dataIntentos[Nivel]=A12)*(dataIntentos[Intento]=B12),dataIntentos[Errores dormir]))</f>
        <v>0.25753937681885641</v>
      </c>
      <c r="P12">
        <f>AVERAGEIFS(dataIntentos[Num ubicacion planificado],dataIntentos[Nivel],A12,dataIntentos[Intento],B12)</f>
        <v>2</v>
      </c>
      <c r="Q12" cm="1">
        <f t="array" ref="Q12">_xlfn.STDEV.P(IF((dataIntentos[Nivel]=A12)*(dataIntentos[Intento]=B12),dataIntentos[Num ubicacion planificado]))</f>
        <v>2.2677868380553634</v>
      </c>
      <c r="R12">
        <f>AVERAGEIFS(dataIntentos[Correctos ubicacion],dataIntentos[Nivel],A12,dataIntentos[Intento],B12)</f>
        <v>1.2142857142857142</v>
      </c>
      <c r="S12" cm="1">
        <f t="array" ref="S12">_xlfn.STDEV.P(IF((dataIntentos[Nivel]=A12)*(dataIntentos[Intento]=B12),dataIntentos[Correctos ubicacion]))</f>
        <v>1.5202711895566259</v>
      </c>
      <c r="T12">
        <f>AVERAGEIFS(dataIntentos[Errores ubicacion],dataIntentos[Nivel],A12,dataIntentos[Intento],B12)</f>
        <v>0.7857142857142857</v>
      </c>
      <c r="U12" cm="1">
        <f t="array" ref="U12">_xlfn.STDEV.P(IF((dataIntentos[Nivel]=A12)*(dataIntentos[Intento]=B12),dataIntentos[Errores ubicacion]))</f>
        <v>1.2058530725810095</v>
      </c>
      <c r="V12">
        <f>AVERAGEIFS(dataIntentos[Paradas posibles],dataIntentos[Nivel],A12,dataIntentos[Intento],B12)</f>
        <v>2.5714285714285716</v>
      </c>
      <c r="W12" cm="1">
        <f t="array" ref="W12">_xlfn.STDEV.P(IF((dataIntentos[Nivel]=A12)*(dataIntentos[Intento]=B12),dataIntentos[Paradas posibles]))</f>
        <v>1.2371791482634837</v>
      </c>
      <c r="X12">
        <f>AVERAGEIFS(dataIntentos[Paradas realizadas],dataIntentos[Nivel],A12,dataIntentos[Intento],B12)</f>
        <v>2</v>
      </c>
      <c r="Y12" cm="1">
        <f t="array" ref="Y12">_xlfn.STDEV.P(IF((dataIntentos[Nivel]=A12)*(dataIntentos[Intento]=B12),dataIntentos[Paradas realizadas]))</f>
        <v>1.1952286093343936</v>
      </c>
      <c r="Z12">
        <f>AVERAGEIFS(dataIntentos[Errores parada por tiempo excedido],dataIntentos[Nivel],A12,dataIntentos[Intento],B12)</f>
        <v>0</v>
      </c>
      <c r="AA12" cm="1">
        <f t="array" ref="AA12">_xlfn.STDEV.P(IF((dataIntentos[Nivel]=A12)*(dataIntentos[Intento]=B12),dataIntentos[Errores parada por tiempo excedido]))</f>
        <v>0</v>
      </c>
      <c r="AB12">
        <f>AVERAGEIFS(dataIntentos[Num errores por tiempo excedido],dataIntentos[Nivel],A12,dataIntentos[Intento],B12)</f>
        <v>0</v>
      </c>
      <c r="AC12" cm="1">
        <f t="array" ref="AC12">_xlfn.STDEV.P(IF((dataIntentos[Nivel]=A12)*(dataIntentos[Intento]=B12),dataIntentos[Num errores por tiempo excedido]))</f>
        <v>0</v>
      </c>
      <c r="AD12">
        <f>AVERAGEIFS(dataIntentos[Tiempo duracion],dataIntentos[Nivel],A12,dataIntentos[Intento],B12)</f>
        <v>197.20271428571431</v>
      </c>
      <c r="AE12" cm="1">
        <f t="array" ref="AE12">_xlfn.STDEV.P(IF((dataIntentos[Nivel]=A12)*(dataIntentos[Intento]=B12),dataIntentos[Tiempo duracion]))</f>
        <v>96.956797791909437</v>
      </c>
      <c r="AF12">
        <f>AVERAGEIFS(dataIntentos[%Reglas respetadas ejecucion],dataIntentos[Nivel],A12,dataIntentos[Intento],B12)</f>
        <v>87.5</v>
      </c>
      <c r="AG12" cm="1">
        <f t="array" ref="AG12">_xlfn.STDEV.P(IF((dataIntentos[Nivel]=A12)*(dataIntentos[Intento]=B12),dataIntentos[%Reglas respetadas ejecucion]))</f>
        <v>12.5</v>
      </c>
      <c r="AH12">
        <f>COUNTIFS(dataIntentos[Nivel],A12,dataIntentos[Intento],B12,dataIntentos[Reglas planificacion cumplidas],"VERDADERO")</f>
        <v>5</v>
      </c>
      <c r="AI12">
        <f>COUNTIFS(dataIntentos[Nivel],A12,dataIntentos[Intento],B12,dataIntentos[Completado],"VERDADERO")</f>
        <v>1</v>
      </c>
    </row>
    <row r="13" spans="1:35" x14ac:dyDescent="0.3">
      <c r="A13">
        <v>1</v>
      </c>
      <c r="B13">
        <v>8</v>
      </c>
      <c r="C13">
        <f>COUNTIFS(dataIntentos[Nivel],A13,dataIntentos[Intento],B13)</f>
        <v>11</v>
      </c>
      <c r="D13">
        <f>AVERAGEIFS(dataIntentos[Pasos planificados],dataIntentos[Nivel],A13,dataIntentos[Intento],B13)</f>
        <v>2.6363636363636362</v>
      </c>
      <c r="E13" cm="1">
        <f t="array" ref="E13">_xlfn.STDEV.P(IF((dataIntentos[Nivel]=A13)*(dataIntentos[Intento]=B13),dataIntentos[Pasos planificados]))</f>
        <v>1.7200807207658637</v>
      </c>
      <c r="F13">
        <f>AVERAGEIFS(dataIntentos[Pasos ejecutados],dataIntentos[Nivel],A13,dataIntentos[Intento],B13)</f>
        <v>2.4545454545454546</v>
      </c>
      <c r="G13" cm="1">
        <f t="array" ref="G13">_xlfn.STDEV.P(IF((dataIntentos[Nivel]=A13)*(dataIntentos[Intento]=B13),dataIntentos[Pasos ejecutados]))</f>
        <v>1.7248787237282068</v>
      </c>
      <c r="H13">
        <f>AVERAGEIFS(dataIntentos[Errores ejecucion],dataIntentos[Nivel],A13,dataIntentos[Intento],B13)</f>
        <v>0.18181818181818182</v>
      </c>
      <c r="I13" cm="1">
        <f t="array" ref="I13">_xlfn.STDEV.P(IF((dataIntentos[Nivel]=A13)*(dataIntentos[Intento]=B13),dataIntentos[Errores ejecucion]))</f>
        <v>0.38569460791993504</v>
      </c>
      <c r="J13">
        <f>AVERAGEIFS(dataIntentos[Num dormir planificado],dataIntentos[Nivel],A13,dataIntentos[Intento],B13)</f>
        <v>1.2727272727272727</v>
      </c>
      <c r="K13" cm="1">
        <f t="array" ref="K13">_xlfn.STDEV.P(IF((dataIntentos[Nivel]=A13)*(dataIntentos[Intento]=B13),dataIntentos[Num dormir planificado]))</f>
        <v>0.86243936186410342</v>
      </c>
      <c r="L13">
        <f>AVERAGEIFS(dataIntentos[Correctos dormir],dataIntentos[Nivel],A13,dataIntentos[Intento],B13)</f>
        <v>1.2727272727272727</v>
      </c>
      <c r="M13" cm="1">
        <f t="array" ref="M13">_xlfn.STDEV.P(IF((dataIntentos[Nivel]=A13)*(dataIntentos[Intento]=B13),dataIntentos[Correctos dormir]))</f>
        <v>0.86243936186410342</v>
      </c>
      <c r="N13">
        <f>AVERAGEIFS(dataIntentos[Errores dormir],dataIntentos[Nivel],A13,dataIntentos[Intento],B13)</f>
        <v>0</v>
      </c>
      <c r="O13" cm="1">
        <f t="array" ref="O13">_xlfn.STDEV.P(IF((dataIntentos[Nivel]=A13)*(dataIntentos[Intento]=B13),dataIntentos[Errores dormir]))</f>
        <v>0</v>
      </c>
      <c r="P13">
        <f>AVERAGEIFS(dataIntentos[Num ubicacion planificado],dataIntentos[Nivel],A13,dataIntentos[Intento],B13)</f>
        <v>1.3636363636363635</v>
      </c>
      <c r="Q13" cm="1">
        <f t="array" ref="Q13">_xlfn.STDEV.P(IF((dataIntentos[Nivel]=A13)*(dataIntentos[Intento]=B13),dataIntentos[Num ubicacion planificado]))</f>
        <v>1.4316377952748747</v>
      </c>
      <c r="R13">
        <f>AVERAGEIFS(dataIntentos[Correctos ubicacion],dataIntentos[Nivel],A13,dataIntentos[Intento],B13)</f>
        <v>1.1818181818181819</v>
      </c>
      <c r="S13" cm="1">
        <f t="array" ref="S13">_xlfn.STDEV.P(IF((dataIntentos[Nivel]=A13)*(dataIntentos[Intento]=B13),dataIntentos[Correctos ubicacion]))</f>
        <v>1.4024771473219557</v>
      </c>
      <c r="T13">
        <f>AVERAGEIFS(dataIntentos[Errores ubicacion],dataIntentos[Nivel],A13,dataIntentos[Intento],B13)</f>
        <v>0.18181818181818182</v>
      </c>
      <c r="U13" cm="1">
        <f t="array" ref="U13">_xlfn.STDEV.P(IF((dataIntentos[Nivel]=A13)*(dataIntentos[Intento]=B13),dataIntentos[Errores ubicacion]))</f>
        <v>0.38569460791993504</v>
      </c>
      <c r="V13">
        <f>AVERAGEIFS(dataIntentos[Paradas posibles],dataIntentos[Nivel],A13,dataIntentos[Intento],B13)</f>
        <v>2.7272727272727271</v>
      </c>
      <c r="W13" cm="1">
        <f t="array" ref="W13">_xlfn.STDEV.P(IF((dataIntentos[Nivel]=A13)*(dataIntentos[Intento]=B13),dataIntentos[Paradas posibles]))</f>
        <v>1.3545149477955765</v>
      </c>
      <c r="X13">
        <f>AVERAGEIFS(dataIntentos[Paradas realizadas],dataIntentos[Nivel],A13,dataIntentos[Intento],B13)</f>
        <v>2.0909090909090908</v>
      </c>
      <c r="Y13" cm="1">
        <f t="array" ref="Y13">_xlfn.STDEV.P(IF((dataIntentos[Nivel]=A13)*(dataIntentos[Intento]=B13),dataIntentos[Paradas realizadas]))</f>
        <v>1.1642044068059725</v>
      </c>
      <c r="Z13">
        <f>AVERAGEIFS(dataIntentos[Errores parada por tiempo excedido],dataIntentos[Nivel],A13,dataIntentos[Intento],B13)</f>
        <v>0</v>
      </c>
      <c r="AA13" cm="1">
        <f t="array" ref="AA13">_xlfn.STDEV.P(IF((dataIntentos[Nivel]=A13)*(dataIntentos[Intento]=B13),dataIntentos[Errores parada por tiempo excedido]))</f>
        <v>0</v>
      </c>
      <c r="AB13">
        <f>AVERAGEIFS(dataIntentos[Num errores por tiempo excedido],dataIntentos[Nivel],A13,dataIntentos[Intento],B13)</f>
        <v>0</v>
      </c>
      <c r="AC13" cm="1">
        <f t="array" ref="AC13">_xlfn.STDEV.P(IF((dataIntentos[Nivel]=A13)*(dataIntentos[Intento]=B13),dataIntentos[Num errores por tiempo excedido]))</f>
        <v>0</v>
      </c>
      <c r="AD13">
        <f>AVERAGEIFS(dataIntentos[Tiempo duracion],dataIntentos[Nivel],A13,dataIntentos[Intento],B13)</f>
        <v>161.77654545454547</v>
      </c>
      <c r="AE13" cm="1">
        <f t="array" ref="AE13">_xlfn.STDEV.P(IF((dataIntentos[Nivel]=A13)*(dataIntentos[Intento]=B13),dataIntentos[Tiempo duracion]))</f>
        <v>70.21468931571566</v>
      </c>
      <c r="AF13">
        <f>AVERAGEIFS(dataIntentos[%Reglas respetadas ejecucion],dataIntentos[Nivel],A13,dataIntentos[Intento],B13)</f>
        <v>95.454545454545453</v>
      </c>
      <c r="AG13" cm="1">
        <f t="array" ref="AG13">_xlfn.STDEV.P(IF((dataIntentos[Nivel]=A13)*(dataIntentos[Intento]=B13),dataIntentos[%Reglas respetadas ejecucion]))</f>
        <v>9.6423651979983749</v>
      </c>
      <c r="AH13">
        <f>COUNTIFS(dataIntentos[Nivel],A13,dataIntentos[Intento],B13,dataIntentos[Reglas planificacion cumplidas],"VERDADERO")</f>
        <v>0</v>
      </c>
      <c r="AI13">
        <f>COUNTIFS(dataIntentos[Nivel],A13,dataIntentos[Intento],B13,dataIntentos[Completado],"VERDADERO")</f>
        <v>0</v>
      </c>
    </row>
    <row r="14" spans="1:35" x14ac:dyDescent="0.3">
      <c r="A14">
        <v>1</v>
      </c>
      <c r="B14">
        <v>9</v>
      </c>
      <c r="C14">
        <f>COUNTIFS(dataIntentos[Nivel],A14,dataIntentos[Intento],B14)</f>
        <v>8</v>
      </c>
      <c r="D14">
        <f>AVERAGEIFS(dataIntentos[Pasos planificados],dataIntentos[Nivel],A14,dataIntentos[Intento],B14)</f>
        <v>3.25</v>
      </c>
      <c r="E14" cm="1">
        <f t="array" ref="E14">_xlfn.STDEV.P(IF((dataIntentos[Nivel]=A14)*(dataIntentos[Intento]=B14),dataIntentos[Pasos planificados]))</f>
        <v>1.1989578808281798</v>
      </c>
      <c r="F14">
        <f>AVERAGEIFS(dataIntentos[Pasos ejecutados],dataIntentos[Nivel],A14,dataIntentos[Intento],B14)</f>
        <v>3.125</v>
      </c>
      <c r="G14" cm="1">
        <f t="array" ref="G14">_xlfn.STDEV.P(IF((dataIntentos[Nivel]=A14)*(dataIntentos[Intento]=B14),dataIntentos[Pasos ejecutados]))</f>
        <v>1.3635890143294642</v>
      </c>
      <c r="H14">
        <f>AVERAGEIFS(dataIntentos[Errores ejecucion],dataIntentos[Nivel],A14,dataIntentos[Intento],B14)</f>
        <v>0.125</v>
      </c>
      <c r="I14" cm="1">
        <f t="array" ref="I14">_xlfn.STDEV.P(IF((dataIntentos[Nivel]=A14)*(dataIntentos[Intento]=B14),dataIntentos[Errores ejecucion]))</f>
        <v>0.33071891388307384</v>
      </c>
      <c r="J14">
        <f>AVERAGEIFS(dataIntentos[Num dormir planificado],dataIntentos[Nivel],A14,dataIntentos[Intento],B14)</f>
        <v>1.625</v>
      </c>
      <c r="K14" cm="1">
        <f t="array" ref="K14">_xlfn.STDEV.P(IF((dataIntentos[Nivel]=A14)*(dataIntentos[Intento]=B14),dataIntentos[Num dormir planificado]))</f>
        <v>0.48412291827592713</v>
      </c>
      <c r="L14">
        <f>AVERAGEIFS(dataIntentos[Correctos dormir],dataIntentos[Nivel],A14,dataIntentos[Intento],B14)</f>
        <v>1.625</v>
      </c>
      <c r="M14" cm="1">
        <f t="array" ref="M14">_xlfn.STDEV.P(IF((dataIntentos[Nivel]=A14)*(dataIntentos[Intento]=B14),dataIntentos[Correctos dormir]))</f>
        <v>0.48412291827592713</v>
      </c>
      <c r="N14">
        <f>AVERAGEIFS(dataIntentos[Errores dormir],dataIntentos[Nivel],A14,dataIntentos[Intento],B14)</f>
        <v>0</v>
      </c>
      <c r="O14" cm="1">
        <f t="array" ref="O14">_xlfn.STDEV.P(IF((dataIntentos[Nivel]=A14)*(dataIntentos[Intento]=B14),dataIntentos[Errores dormir]))</f>
        <v>0</v>
      </c>
      <c r="P14">
        <f>AVERAGEIFS(dataIntentos[Num ubicacion planificado],dataIntentos[Nivel],A14,dataIntentos[Intento],B14)</f>
        <v>1.625</v>
      </c>
      <c r="Q14" cm="1">
        <f t="array" ref="Q14">_xlfn.STDEV.P(IF((dataIntentos[Nivel]=A14)*(dataIntentos[Intento]=B14),dataIntentos[Num ubicacion planificado]))</f>
        <v>0.85695682505013049</v>
      </c>
      <c r="R14">
        <f>AVERAGEIFS(dataIntentos[Correctos ubicacion],dataIntentos[Nivel],A14,dataIntentos[Intento],B14)</f>
        <v>1.5</v>
      </c>
      <c r="S14" cm="1">
        <f t="array" ref="S14">_xlfn.STDEV.P(IF((dataIntentos[Nivel]=A14)*(dataIntentos[Intento]=B14),dataIntentos[Correctos ubicacion]))</f>
        <v>1</v>
      </c>
      <c r="T14">
        <f>AVERAGEIFS(dataIntentos[Errores ubicacion],dataIntentos[Nivel],A14,dataIntentos[Intento],B14)</f>
        <v>0.125</v>
      </c>
      <c r="U14" cm="1">
        <f t="array" ref="U14">_xlfn.STDEV.P(IF((dataIntentos[Nivel]=A14)*(dataIntentos[Intento]=B14),dataIntentos[Errores ubicacion]))</f>
        <v>0.33071891388307384</v>
      </c>
      <c r="V14">
        <f>AVERAGEIFS(dataIntentos[Paradas posibles],dataIntentos[Nivel],A14,dataIntentos[Intento],B14)</f>
        <v>3.125</v>
      </c>
      <c r="W14" cm="1">
        <f t="array" ref="W14">_xlfn.STDEV.P(IF((dataIntentos[Nivel]=A14)*(dataIntentos[Intento]=B14),dataIntentos[Paradas posibles]))</f>
        <v>0.78062474979979979</v>
      </c>
      <c r="X14">
        <f>AVERAGEIFS(dataIntentos[Paradas realizadas],dataIntentos[Nivel],A14,dataIntentos[Intento],B14)</f>
        <v>2.25</v>
      </c>
      <c r="Y14" cm="1">
        <f t="array" ref="Y14">_xlfn.STDEV.P(IF((dataIntentos[Nivel]=A14)*(dataIntentos[Intento]=B14),dataIntentos[Paradas realizadas]))</f>
        <v>1.1989578808281798</v>
      </c>
      <c r="Z14">
        <f>AVERAGEIFS(dataIntentos[Errores parada por tiempo excedido],dataIntentos[Nivel],A14,dataIntentos[Intento],B14)</f>
        <v>0</v>
      </c>
      <c r="AA14" cm="1">
        <f t="array" ref="AA14">_xlfn.STDEV.P(IF((dataIntentos[Nivel]=A14)*(dataIntentos[Intento]=B14),dataIntentos[Errores parada por tiempo excedido]))</f>
        <v>0</v>
      </c>
      <c r="AB14">
        <f>AVERAGEIFS(dataIntentos[Num errores por tiempo excedido],dataIntentos[Nivel],A14,dataIntentos[Intento],B14)</f>
        <v>0</v>
      </c>
      <c r="AC14" cm="1">
        <f t="array" ref="AC14">_xlfn.STDEV.P(IF((dataIntentos[Nivel]=A14)*(dataIntentos[Intento]=B14),dataIntentos[Num errores por tiempo excedido]))</f>
        <v>0</v>
      </c>
      <c r="AD14">
        <f>AVERAGEIFS(dataIntentos[Tiempo duracion],dataIntentos[Nivel],A14,dataIntentos[Intento],B14)</f>
        <v>176.21562500000002</v>
      </c>
      <c r="AE14" cm="1">
        <f t="array" ref="AE14">_xlfn.STDEV.P(IF((dataIntentos[Nivel]=A14)*(dataIntentos[Intento]=B14),dataIntentos[Tiempo duracion]))</f>
        <v>58.38293383116654</v>
      </c>
      <c r="AF14">
        <f>AVERAGEIFS(dataIntentos[%Reglas respetadas ejecucion],dataIntentos[Nivel],A14,dataIntentos[Intento],B14)</f>
        <v>96.875</v>
      </c>
      <c r="AG14" cm="1">
        <f t="array" ref="AG14">_xlfn.STDEV.P(IF((dataIntentos[Nivel]=A14)*(dataIntentos[Intento]=B14),dataIntentos[%Reglas respetadas ejecucion]))</f>
        <v>8.2679728470768463</v>
      </c>
      <c r="AH14">
        <f>COUNTIFS(dataIntentos[Nivel],A14,dataIntentos[Intento],B14,dataIntentos[Reglas planificacion cumplidas],"VERDADERO")</f>
        <v>1</v>
      </c>
      <c r="AI14">
        <f>COUNTIFS(dataIntentos[Nivel],A14,dataIntentos[Intento],B14,dataIntentos[Completado],"VERDADERO")</f>
        <v>1</v>
      </c>
    </row>
    <row r="15" spans="1:35" x14ac:dyDescent="0.3">
      <c r="A15">
        <v>1</v>
      </c>
      <c r="B15">
        <v>10</v>
      </c>
      <c r="C15">
        <f>COUNTIFS(dataIntentos[Nivel],A15,dataIntentos[Intento],B15)</f>
        <v>6</v>
      </c>
      <c r="D15">
        <f>AVERAGEIFS(dataIntentos[Pasos planificados],dataIntentos[Nivel],A15,dataIntentos[Intento],B15)</f>
        <v>1.5</v>
      </c>
      <c r="E15" cm="1">
        <f t="array" ref="E15">_xlfn.STDEV.P(IF((dataIntentos[Nivel]=A15)*(dataIntentos[Intento]=B15),dataIntentos[Pasos planificados]))</f>
        <v>1.8929694486000912</v>
      </c>
      <c r="F15">
        <f>AVERAGEIFS(dataIntentos[Pasos ejecutados],dataIntentos[Nivel],A15,dataIntentos[Intento],B15)</f>
        <v>1.1666666666666667</v>
      </c>
      <c r="G15" cm="1">
        <f t="array" ref="G15">_xlfn.STDEV.P(IF((dataIntentos[Nivel]=A15)*(dataIntentos[Intento]=B15),dataIntentos[Pasos ejecutados]))</f>
        <v>1.8633899812498247</v>
      </c>
      <c r="H15">
        <f>AVERAGEIFS(dataIntentos[Errores ejecucion],dataIntentos[Nivel],A15,dataIntentos[Intento],B15)</f>
        <v>0.33333333333333331</v>
      </c>
      <c r="I15" cm="1">
        <f t="array" ref="I15">_xlfn.STDEV.P(IF((dataIntentos[Nivel]=A15)*(dataIntentos[Intento]=B15),dataIntentos[Errores ejecucion]))</f>
        <v>0.47140452079103168</v>
      </c>
      <c r="J15">
        <f>AVERAGEIFS(dataIntentos[Num dormir planificado],dataIntentos[Nivel],A15,dataIntentos[Intento],B15)</f>
        <v>0.66666666666666663</v>
      </c>
      <c r="K15" cm="1">
        <f t="array" ref="K15">_xlfn.STDEV.P(IF((dataIntentos[Nivel]=A15)*(dataIntentos[Intento]=B15),dataIntentos[Num dormir planificado]))</f>
        <v>0.7453559924999299</v>
      </c>
      <c r="L15">
        <f>AVERAGEIFS(dataIntentos[Correctos dormir],dataIntentos[Nivel],A15,dataIntentos[Intento],B15)</f>
        <v>0.5</v>
      </c>
      <c r="M15" cm="1">
        <f t="array" ref="M15">_xlfn.STDEV.P(IF((dataIntentos[Nivel]=A15)*(dataIntentos[Intento]=B15),dataIntentos[Correctos dormir]))</f>
        <v>0.76376261582597338</v>
      </c>
      <c r="N15">
        <f>AVERAGEIFS(dataIntentos[Errores dormir],dataIntentos[Nivel],A15,dataIntentos[Intento],B15)</f>
        <v>0.16666666666666666</v>
      </c>
      <c r="O15" cm="1">
        <f t="array" ref="O15">_xlfn.STDEV.P(IF((dataIntentos[Nivel]=A15)*(dataIntentos[Intento]=B15),dataIntentos[Errores dormir]))</f>
        <v>0.37267799624996495</v>
      </c>
      <c r="P15">
        <f>AVERAGEIFS(dataIntentos[Num ubicacion planificado],dataIntentos[Nivel],A15,dataIntentos[Intento],B15)</f>
        <v>0.83333333333333337</v>
      </c>
      <c r="Q15" cm="1">
        <f t="array" ref="Q15">_xlfn.STDEV.P(IF((dataIntentos[Nivel]=A15)*(dataIntentos[Intento]=B15),dataIntentos[Num ubicacion planificado]))</f>
        <v>1.2133516482134197</v>
      </c>
      <c r="R15">
        <f>AVERAGEIFS(dataIntentos[Correctos ubicacion],dataIntentos[Nivel],A15,dataIntentos[Intento],B15)</f>
        <v>0.66666666666666663</v>
      </c>
      <c r="S15" cm="1">
        <f t="array" ref="S15">_xlfn.STDEV.P(IF((dataIntentos[Nivel]=A15)*(dataIntentos[Intento]=B15),dataIntentos[Correctos ubicacion]))</f>
        <v>1.1055415967851334</v>
      </c>
      <c r="T15">
        <f>AVERAGEIFS(dataIntentos[Errores ubicacion],dataIntentos[Nivel],A15,dataIntentos[Intento],B15)</f>
        <v>0.16666666666666666</v>
      </c>
      <c r="U15" cm="1">
        <f t="array" ref="U15">_xlfn.STDEV.P(IF((dataIntentos[Nivel]=A15)*(dataIntentos[Intento]=B15),dataIntentos[Errores ubicacion]))</f>
        <v>0.37267799624996495</v>
      </c>
      <c r="V15">
        <f>AVERAGEIFS(dataIntentos[Paradas posibles],dataIntentos[Nivel],A15,dataIntentos[Intento],B15)</f>
        <v>1.6666666666666667</v>
      </c>
      <c r="W15" cm="1">
        <f t="array" ref="W15">_xlfn.STDEV.P(IF((dataIntentos[Nivel]=A15)*(dataIntentos[Intento]=B15),dataIntentos[Paradas posibles]))</f>
        <v>1.7950549357115013</v>
      </c>
      <c r="X15">
        <f>AVERAGEIFS(dataIntentos[Paradas realizadas],dataIntentos[Nivel],A15,dataIntentos[Intento],B15)</f>
        <v>1</v>
      </c>
      <c r="Y15" cm="1">
        <f t="array" ref="Y15">_xlfn.STDEV.P(IF((dataIntentos[Nivel]=A15)*(dataIntentos[Intento]=B15),dataIntentos[Paradas realizadas]))</f>
        <v>1.1547005383792515</v>
      </c>
      <c r="Z15">
        <f>AVERAGEIFS(dataIntentos[Errores parada por tiempo excedido],dataIntentos[Nivel],A15,dataIntentos[Intento],B15)</f>
        <v>0.33333333333333331</v>
      </c>
      <c r="AA15" cm="1">
        <f t="array" ref="AA15">_xlfn.STDEV.P(IF((dataIntentos[Nivel]=A15)*(dataIntentos[Intento]=B15),dataIntentos[Errores parada por tiempo excedido]))</f>
        <v>0.7453559924999299</v>
      </c>
      <c r="AB15">
        <f>AVERAGEIFS(dataIntentos[Num errores por tiempo excedido],dataIntentos[Nivel],A15,dataIntentos[Intento],B15)</f>
        <v>0.33333333333333331</v>
      </c>
      <c r="AC15" cm="1">
        <f t="array" ref="AC15">_xlfn.STDEV.P(IF((dataIntentos[Nivel]=A15)*(dataIntentos[Intento]=B15),dataIntentos[Num errores por tiempo excedido]))</f>
        <v>0.7453559924999299</v>
      </c>
      <c r="AD15">
        <f>AVERAGEIFS(dataIntentos[Tiempo duracion],dataIntentos[Nivel],A15,dataIntentos[Intento],B15)</f>
        <v>121.75016666666666</v>
      </c>
      <c r="AE15" cm="1">
        <f t="array" ref="AE15">_xlfn.STDEV.P(IF((dataIntentos[Nivel]=A15)*(dataIntentos[Intento]=B15),dataIntentos[Tiempo duracion]))</f>
        <v>60.028628260235578</v>
      </c>
      <c r="AF15">
        <f>AVERAGEIFS(dataIntentos[%Reglas respetadas ejecucion],dataIntentos[Nivel],A15,dataIntentos[Intento],B15)</f>
        <v>87.5</v>
      </c>
      <c r="AG15" cm="1">
        <f t="array" ref="AG15">_xlfn.STDEV.P(IF((dataIntentos[Nivel]=A15)*(dataIntentos[Intento]=B15),dataIntentos[%Reglas respetadas ejecucion]))</f>
        <v>19.094065395649334</v>
      </c>
      <c r="AH15">
        <f>COUNTIFS(dataIntentos[Nivel],A15,dataIntentos[Intento],B15,dataIntentos[Reglas planificacion cumplidas],"VERDADERO")</f>
        <v>1</v>
      </c>
      <c r="AI15">
        <f>COUNTIFS(dataIntentos[Nivel],A15,dataIntentos[Intento],B15,dataIntentos[Completado],"VERDADERO")</f>
        <v>1</v>
      </c>
    </row>
    <row r="16" spans="1:35" x14ac:dyDescent="0.3">
      <c r="A16">
        <v>1</v>
      </c>
      <c r="B16">
        <v>11</v>
      </c>
      <c r="C16">
        <f>COUNTIFS(dataIntentos[Nivel],A16,dataIntentos[Intento],B16)</f>
        <v>2</v>
      </c>
      <c r="D16">
        <f>AVERAGEIFS(dataIntentos[Pasos planificados],dataIntentos[Nivel],A16,dataIntentos[Intento],B16)</f>
        <v>0</v>
      </c>
      <c r="E16" cm="1">
        <f t="array" ref="E16">_xlfn.STDEV.P(IF((dataIntentos[Nivel]=A16)*(dataIntentos[Intento]=B16),dataIntentos[Pasos planificados]))</f>
        <v>0</v>
      </c>
      <c r="F16">
        <f>AVERAGEIFS(dataIntentos[Pasos ejecutados],dataIntentos[Nivel],A16,dataIntentos[Intento],B16)</f>
        <v>0</v>
      </c>
      <c r="G16" cm="1">
        <f t="array" ref="G16">_xlfn.STDEV.P(IF((dataIntentos[Nivel]=A16)*(dataIntentos[Intento]=B16),dataIntentos[Pasos ejecutados]))</f>
        <v>0</v>
      </c>
      <c r="H16">
        <f>AVERAGEIFS(dataIntentos[Errores ejecucion],dataIntentos[Nivel],A16,dataIntentos[Intento],B16)</f>
        <v>0</v>
      </c>
      <c r="I16" cm="1">
        <f t="array" ref="I16">_xlfn.STDEV.P(IF((dataIntentos[Nivel]=A16)*(dataIntentos[Intento]=B16),dataIntentos[Errores ejecucion]))</f>
        <v>0</v>
      </c>
      <c r="J16">
        <f>AVERAGEIFS(dataIntentos[Num dormir planificado],dataIntentos[Nivel],A16,dataIntentos[Intento],B16)</f>
        <v>0</v>
      </c>
      <c r="K16" cm="1">
        <f t="array" ref="K16">_xlfn.STDEV.P(IF((dataIntentos[Nivel]=A16)*(dataIntentos[Intento]=B16),dataIntentos[Num dormir planificado]))</f>
        <v>0</v>
      </c>
      <c r="L16">
        <f>AVERAGEIFS(dataIntentos[Correctos dormir],dataIntentos[Nivel],A16,dataIntentos[Intento],B16)</f>
        <v>0</v>
      </c>
      <c r="M16" cm="1">
        <f t="array" ref="M16">_xlfn.STDEV.P(IF((dataIntentos[Nivel]=A16)*(dataIntentos[Intento]=B16),dataIntentos[Correctos dormir]))</f>
        <v>0</v>
      </c>
      <c r="N16">
        <f>AVERAGEIFS(dataIntentos[Errores dormir],dataIntentos[Nivel],A16,dataIntentos[Intento],B16)</f>
        <v>0</v>
      </c>
      <c r="O16" cm="1">
        <f t="array" ref="O16">_xlfn.STDEV.P(IF((dataIntentos[Nivel]=A16)*(dataIntentos[Intento]=B16),dataIntentos[Errores dormir]))</f>
        <v>0</v>
      </c>
      <c r="P16">
        <f>AVERAGEIFS(dataIntentos[Num ubicacion planificado],dataIntentos[Nivel],A16,dataIntentos[Intento],B16)</f>
        <v>0</v>
      </c>
      <c r="Q16" cm="1">
        <f t="array" ref="Q16">_xlfn.STDEV.P(IF((dataIntentos[Nivel]=A16)*(dataIntentos[Intento]=B16),dataIntentos[Num ubicacion planificado]))</f>
        <v>0</v>
      </c>
      <c r="R16">
        <f>AVERAGEIFS(dataIntentos[Correctos ubicacion],dataIntentos[Nivel],A16,dataIntentos[Intento],B16)</f>
        <v>0</v>
      </c>
      <c r="S16" cm="1">
        <f t="array" ref="S16">_xlfn.STDEV.P(IF((dataIntentos[Nivel]=A16)*(dataIntentos[Intento]=B16),dataIntentos[Correctos ubicacion]))</f>
        <v>0</v>
      </c>
      <c r="T16">
        <f>AVERAGEIFS(dataIntentos[Errores ubicacion],dataIntentos[Nivel],A16,dataIntentos[Intento],B16)</f>
        <v>0</v>
      </c>
      <c r="U16" cm="1">
        <f t="array" ref="U16">_xlfn.STDEV.P(IF((dataIntentos[Nivel]=A16)*(dataIntentos[Intento]=B16),dataIntentos[Errores ubicacion]))</f>
        <v>0</v>
      </c>
      <c r="V16">
        <f>AVERAGEIFS(dataIntentos[Paradas posibles],dataIntentos[Nivel],A16,dataIntentos[Intento],B16)</f>
        <v>0.5</v>
      </c>
      <c r="W16" cm="1">
        <f t="array" ref="W16">_xlfn.STDEV.P(IF((dataIntentos[Nivel]=A16)*(dataIntentos[Intento]=B16),dataIntentos[Paradas posibles]))</f>
        <v>0.5</v>
      </c>
      <c r="X16">
        <f>AVERAGEIFS(dataIntentos[Paradas realizadas],dataIntentos[Nivel],A16,dataIntentos[Intento],B16)</f>
        <v>0</v>
      </c>
      <c r="Y16" cm="1">
        <f t="array" ref="Y16">_xlfn.STDEV.P(IF((dataIntentos[Nivel]=A16)*(dataIntentos[Intento]=B16),dataIntentos[Paradas realizadas]))</f>
        <v>0</v>
      </c>
      <c r="Z16">
        <f>AVERAGEIFS(dataIntentos[Errores parada por tiempo excedido],dataIntentos[Nivel],A16,dataIntentos[Intento],B16)</f>
        <v>0</v>
      </c>
      <c r="AA16" cm="1">
        <f t="array" ref="AA16">_xlfn.STDEV.P(IF((dataIntentos[Nivel]=A16)*(dataIntentos[Intento]=B16),dataIntentos[Errores parada por tiempo excedido]))</f>
        <v>0</v>
      </c>
      <c r="AB16">
        <f>AVERAGEIFS(dataIntentos[Num errores por tiempo excedido],dataIntentos[Nivel],A16,dataIntentos[Intento],B16)</f>
        <v>0</v>
      </c>
      <c r="AC16" cm="1">
        <f t="array" ref="AC16">_xlfn.STDEV.P(IF((dataIntentos[Nivel]=A16)*(dataIntentos[Intento]=B16),dataIntentos[Num errores por tiempo excedido]))</f>
        <v>0</v>
      </c>
      <c r="AD16">
        <f>AVERAGEIFS(dataIntentos[Tiempo duracion],dataIntentos[Nivel],A16,dataIntentos[Intento],B16)</f>
        <v>152.64149999999998</v>
      </c>
      <c r="AE16" cm="1">
        <f t="array" ref="AE16">_xlfn.STDEV.P(IF((dataIntentos[Nivel]=A16)*(dataIntentos[Intento]=B16),dataIntentos[Tiempo duracion]))</f>
        <v>152.63849999999999</v>
      </c>
      <c r="AF16">
        <f>AVERAGEIFS(dataIntentos[%Reglas respetadas ejecucion],dataIntentos[Nivel],A16,dataIntentos[Intento],B16)</f>
        <v>100</v>
      </c>
      <c r="AG16" cm="1">
        <f t="array" ref="AG16">_xlfn.STDEV.P(IF((dataIntentos[Nivel]=A16)*(dataIntentos[Intento]=B16),dataIntentos[%Reglas respetadas ejecucion]))</f>
        <v>0</v>
      </c>
      <c r="AH16">
        <f>COUNTIFS(dataIntentos[Nivel],A16,dataIntentos[Intento],B16,dataIntentos[Reglas planificacion cumplidas],"VERDADERO")</f>
        <v>0</v>
      </c>
      <c r="AI16">
        <f>COUNTIFS(dataIntentos[Nivel],A16,dataIntentos[Intento],B16,dataIntentos[Completado],"VERDADERO")</f>
        <v>0</v>
      </c>
    </row>
    <row r="17" spans="1:35" x14ac:dyDescent="0.3">
      <c r="A17">
        <v>1</v>
      </c>
      <c r="B17">
        <v>12</v>
      </c>
      <c r="C17">
        <f>COUNTIFS(dataIntentos[Nivel],A17,dataIntentos[Intento],B17)</f>
        <v>1</v>
      </c>
      <c r="D17">
        <f>AVERAGEIFS(dataIntentos[Pasos planificados],dataIntentos[Nivel],A17,dataIntentos[Intento],B17)</f>
        <v>0</v>
      </c>
      <c r="E17" cm="1">
        <f t="array" ref="E17">_xlfn.STDEV.P(IF((dataIntentos[Nivel]=A17)*(dataIntentos[Intento]=B17),dataIntentos[Pasos planificados]))</f>
        <v>0</v>
      </c>
      <c r="F17">
        <f>AVERAGEIFS(dataIntentos[Pasos ejecutados],dataIntentos[Nivel],A17,dataIntentos[Intento],B17)</f>
        <v>0</v>
      </c>
      <c r="G17" cm="1">
        <f t="array" ref="G17">_xlfn.STDEV.P(IF((dataIntentos[Nivel]=A17)*(dataIntentos[Intento]=B17),dataIntentos[Pasos ejecutados]))</f>
        <v>0</v>
      </c>
      <c r="H17">
        <f>AVERAGEIFS(dataIntentos[Errores ejecucion],dataIntentos[Nivel],A17,dataIntentos[Intento],B17)</f>
        <v>0</v>
      </c>
      <c r="I17" cm="1">
        <f t="array" ref="I17">_xlfn.STDEV.P(IF((dataIntentos[Nivel]=A17)*(dataIntentos[Intento]=B17),dataIntentos[Errores ejecucion]))</f>
        <v>0</v>
      </c>
      <c r="J17">
        <f>AVERAGEIFS(dataIntentos[Num dormir planificado],dataIntentos[Nivel],A17,dataIntentos[Intento],B17)</f>
        <v>0</v>
      </c>
      <c r="K17" cm="1">
        <f t="array" ref="K17">_xlfn.STDEV.P(IF((dataIntentos[Nivel]=A17)*(dataIntentos[Intento]=B17),dataIntentos[Num dormir planificado]))</f>
        <v>0</v>
      </c>
      <c r="L17">
        <f>AVERAGEIFS(dataIntentos[Correctos dormir],dataIntentos[Nivel],A17,dataIntentos[Intento],B17)</f>
        <v>0</v>
      </c>
      <c r="M17" cm="1">
        <f t="array" ref="M17">_xlfn.STDEV.P(IF((dataIntentos[Nivel]=A17)*(dataIntentos[Intento]=B17),dataIntentos[Correctos dormir]))</f>
        <v>0</v>
      </c>
      <c r="N17">
        <f>AVERAGEIFS(dataIntentos[Errores dormir],dataIntentos[Nivel],A17,dataIntentos[Intento],B17)</f>
        <v>0</v>
      </c>
      <c r="O17" cm="1">
        <f t="array" ref="O17">_xlfn.STDEV.P(IF((dataIntentos[Nivel]=A17)*(dataIntentos[Intento]=B17),dataIntentos[Errores dormir]))</f>
        <v>0</v>
      </c>
      <c r="P17">
        <f>AVERAGEIFS(dataIntentos[Num ubicacion planificado],dataIntentos[Nivel],A17,dataIntentos[Intento],B17)</f>
        <v>0</v>
      </c>
      <c r="Q17" cm="1">
        <f t="array" ref="Q17">_xlfn.STDEV.P(IF((dataIntentos[Nivel]=A17)*(dataIntentos[Intento]=B17),dataIntentos[Num ubicacion planificado]))</f>
        <v>0</v>
      </c>
      <c r="R17">
        <f>AVERAGEIFS(dataIntentos[Correctos ubicacion],dataIntentos[Nivel],A17,dataIntentos[Intento],B17)</f>
        <v>0</v>
      </c>
      <c r="S17" cm="1">
        <f t="array" ref="S17">_xlfn.STDEV.P(IF((dataIntentos[Nivel]=A17)*(dataIntentos[Intento]=B17),dataIntentos[Correctos ubicacion]))</f>
        <v>0</v>
      </c>
      <c r="T17">
        <f>AVERAGEIFS(dataIntentos[Errores ubicacion],dataIntentos[Nivel],A17,dataIntentos[Intento],B17)</f>
        <v>0</v>
      </c>
      <c r="U17" cm="1">
        <f t="array" ref="U17">_xlfn.STDEV.P(IF((dataIntentos[Nivel]=A17)*(dataIntentos[Intento]=B17),dataIntentos[Errores ubicacion]))</f>
        <v>0</v>
      </c>
      <c r="V17">
        <f>AVERAGEIFS(dataIntentos[Paradas posibles],dataIntentos[Nivel],A17,dataIntentos[Intento],B17)</f>
        <v>0</v>
      </c>
      <c r="W17" cm="1">
        <f t="array" ref="W17">_xlfn.STDEV.P(IF((dataIntentos[Nivel]=A17)*(dataIntentos[Intento]=B17),dataIntentos[Paradas posibles]))</f>
        <v>0</v>
      </c>
      <c r="X17">
        <f>AVERAGEIFS(dataIntentos[Paradas realizadas],dataIntentos[Nivel],A17,dataIntentos[Intento],B17)</f>
        <v>0</v>
      </c>
      <c r="Y17" cm="1">
        <f t="array" ref="Y17">_xlfn.STDEV.P(IF((dataIntentos[Nivel]=A17)*(dataIntentos[Intento]=B17),dataIntentos[Paradas realizadas]))</f>
        <v>0</v>
      </c>
      <c r="Z17">
        <f>AVERAGEIFS(dataIntentos[Errores parada por tiempo excedido],dataIntentos[Nivel],A17,dataIntentos[Intento],B17)</f>
        <v>0</v>
      </c>
      <c r="AA17" cm="1">
        <f t="array" ref="AA17">_xlfn.STDEV.P(IF((dataIntentos[Nivel]=A17)*(dataIntentos[Intento]=B17),dataIntentos[Errores parada por tiempo excedido]))</f>
        <v>0</v>
      </c>
      <c r="AB17">
        <f>AVERAGEIFS(dataIntentos[Num errores por tiempo excedido],dataIntentos[Nivel],A17,dataIntentos[Intento],B17)</f>
        <v>0</v>
      </c>
      <c r="AC17" cm="1">
        <f t="array" ref="AC17">_xlfn.STDEV.P(IF((dataIntentos[Nivel]=A17)*(dataIntentos[Intento]=B17),dataIntentos[Num errores por tiempo excedido]))</f>
        <v>0</v>
      </c>
      <c r="AD17">
        <f>AVERAGEIFS(dataIntentos[Tiempo duracion],dataIntentos[Nivel],A17,dataIntentos[Intento],B17)</f>
        <v>116.205</v>
      </c>
      <c r="AE17" cm="1">
        <f t="array" ref="AE17">_xlfn.STDEV.P(IF((dataIntentos[Nivel]=A17)*(dataIntentos[Intento]=B17),dataIntentos[Tiempo duracion]))</f>
        <v>0</v>
      </c>
      <c r="AF17">
        <f>AVERAGEIFS(dataIntentos[%Reglas respetadas ejecucion],dataIntentos[Nivel],A17,dataIntentos[Intento],B17)</f>
        <v>100</v>
      </c>
      <c r="AG17" cm="1">
        <f t="array" ref="AG17">_xlfn.STDEV.P(IF((dataIntentos[Nivel]=A17)*(dataIntentos[Intento]=B17),dataIntentos[%Reglas respetadas ejecucion]))</f>
        <v>0</v>
      </c>
      <c r="AH17">
        <f>COUNTIFS(dataIntentos[Nivel],A17,dataIntentos[Intento],B17,dataIntentos[Reglas planificacion cumplidas],"VERDADERO")</f>
        <v>0</v>
      </c>
      <c r="AI17">
        <f>COUNTIFS(dataIntentos[Nivel],A17,dataIntentos[Intento],B17,dataIntentos[Completado],"VERDADERO")</f>
        <v>0</v>
      </c>
    </row>
    <row r="18" spans="1:35" x14ac:dyDescent="0.3">
      <c r="A18">
        <v>1</v>
      </c>
      <c r="B18">
        <v>13</v>
      </c>
      <c r="C18">
        <f>COUNTIFS(dataIntentos[Nivel],A18,dataIntentos[Intento],B18)</f>
        <v>1</v>
      </c>
      <c r="D18">
        <f>AVERAGEIFS(dataIntentos[Pasos planificados],dataIntentos[Nivel],A18,dataIntentos[Intento],B18)</f>
        <v>0</v>
      </c>
      <c r="E18" cm="1">
        <f t="array" ref="E18">_xlfn.STDEV.P(IF((dataIntentos[Nivel]=A18)*(dataIntentos[Intento]=B18),dataIntentos[Pasos planificados]))</f>
        <v>0</v>
      </c>
      <c r="F18">
        <f>AVERAGEIFS(dataIntentos[Pasos ejecutados],dataIntentos[Nivel],A18,dataIntentos[Intento],B18)</f>
        <v>0</v>
      </c>
      <c r="G18" cm="1">
        <f t="array" ref="G18">_xlfn.STDEV.P(IF((dataIntentos[Nivel]=A18)*(dataIntentos[Intento]=B18),dataIntentos[Pasos ejecutados]))</f>
        <v>0</v>
      </c>
      <c r="H18">
        <f>AVERAGEIFS(dataIntentos[Errores ejecucion],dataIntentos[Nivel],A18,dataIntentos[Intento],B18)</f>
        <v>0</v>
      </c>
      <c r="I18" cm="1">
        <f t="array" ref="I18">_xlfn.STDEV.P(IF((dataIntentos[Nivel]=A18)*(dataIntentos[Intento]=B18),dataIntentos[Errores ejecucion]))</f>
        <v>0</v>
      </c>
      <c r="J18">
        <f>AVERAGEIFS(dataIntentos[Num dormir planificado],dataIntentos[Nivel],A18,dataIntentos[Intento],B18)</f>
        <v>0</v>
      </c>
      <c r="K18" cm="1">
        <f t="array" ref="K18">_xlfn.STDEV.P(IF((dataIntentos[Nivel]=A18)*(dataIntentos[Intento]=B18),dataIntentos[Num dormir planificado]))</f>
        <v>0</v>
      </c>
      <c r="L18">
        <f>AVERAGEIFS(dataIntentos[Correctos dormir],dataIntentos[Nivel],A18,dataIntentos[Intento],B18)</f>
        <v>0</v>
      </c>
      <c r="M18" cm="1">
        <f t="array" ref="M18">_xlfn.STDEV.P(IF((dataIntentos[Nivel]=A18)*(dataIntentos[Intento]=B18),dataIntentos[Correctos dormir]))</f>
        <v>0</v>
      </c>
      <c r="N18">
        <f>AVERAGEIFS(dataIntentos[Errores dormir],dataIntentos[Nivel],A18,dataIntentos[Intento],B18)</f>
        <v>0</v>
      </c>
      <c r="O18" cm="1">
        <f t="array" ref="O18">_xlfn.STDEV.P(IF((dataIntentos[Nivel]=A18)*(dataIntentos[Intento]=B18),dataIntentos[Errores dormir]))</f>
        <v>0</v>
      </c>
      <c r="P18">
        <f>AVERAGEIFS(dataIntentos[Num ubicacion planificado],dataIntentos[Nivel],A18,dataIntentos[Intento],B18)</f>
        <v>0</v>
      </c>
      <c r="Q18" cm="1">
        <f t="array" ref="Q18">_xlfn.STDEV.P(IF((dataIntentos[Nivel]=A18)*(dataIntentos[Intento]=B18),dataIntentos[Num ubicacion planificado]))</f>
        <v>0</v>
      </c>
      <c r="R18">
        <f>AVERAGEIFS(dataIntentos[Correctos ubicacion],dataIntentos[Nivel],A18,dataIntentos[Intento],B18)</f>
        <v>0</v>
      </c>
      <c r="S18" cm="1">
        <f t="array" ref="S18">_xlfn.STDEV.P(IF((dataIntentos[Nivel]=A18)*(dataIntentos[Intento]=B18),dataIntentos[Correctos ubicacion]))</f>
        <v>0</v>
      </c>
      <c r="T18">
        <f>AVERAGEIFS(dataIntentos[Errores ubicacion],dataIntentos[Nivel],A18,dataIntentos[Intento],B18)</f>
        <v>0</v>
      </c>
      <c r="U18" cm="1">
        <f t="array" ref="U18">_xlfn.STDEV.P(IF((dataIntentos[Nivel]=A18)*(dataIntentos[Intento]=B18),dataIntentos[Errores ubicacion]))</f>
        <v>0</v>
      </c>
      <c r="V18">
        <f>AVERAGEIFS(dataIntentos[Paradas posibles],dataIntentos[Nivel],A18,dataIntentos[Intento],B18)</f>
        <v>0</v>
      </c>
      <c r="W18" cm="1">
        <f t="array" ref="W18">_xlfn.STDEV.P(IF((dataIntentos[Nivel]=A18)*(dataIntentos[Intento]=B18),dataIntentos[Paradas posibles]))</f>
        <v>0</v>
      </c>
      <c r="X18">
        <f>AVERAGEIFS(dataIntentos[Paradas realizadas],dataIntentos[Nivel],A18,dataIntentos[Intento],B18)</f>
        <v>0</v>
      </c>
      <c r="Y18" cm="1">
        <f t="array" ref="Y18">_xlfn.STDEV.P(IF((dataIntentos[Nivel]=A18)*(dataIntentos[Intento]=B18),dataIntentos[Paradas realizadas]))</f>
        <v>0</v>
      </c>
      <c r="Z18">
        <f>AVERAGEIFS(dataIntentos[Errores parada por tiempo excedido],dataIntentos[Nivel],A18,dataIntentos[Intento],B18)</f>
        <v>0</v>
      </c>
      <c r="AA18" cm="1">
        <f t="array" ref="AA18">_xlfn.STDEV.P(IF((dataIntentos[Nivel]=A18)*(dataIntentos[Intento]=B18),dataIntentos[Errores parada por tiempo excedido]))</f>
        <v>0</v>
      </c>
      <c r="AB18">
        <f>AVERAGEIFS(dataIntentos[Num errores por tiempo excedido],dataIntentos[Nivel],A18,dataIntentos[Intento],B18)</f>
        <v>0</v>
      </c>
      <c r="AC18" cm="1">
        <f t="array" ref="AC18">_xlfn.STDEV.P(IF((dataIntentos[Nivel]=A18)*(dataIntentos[Intento]=B18),dataIntentos[Num errores por tiempo excedido]))</f>
        <v>0</v>
      </c>
      <c r="AD18">
        <f>AVERAGEIFS(dataIntentos[Tiempo duracion],dataIntentos[Nivel],A18,dataIntentos[Intento],B18)</f>
        <v>408.67399999999998</v>
      </c>
      <c r="AE18" cm="1">
        <f t="array" ref="AE18">_xlfn.STDEV.P(IF((dataIntentos[Nivel]=A18)*(dataIntentos[Intento]=B18),dataIntentos[Tiempo duracion]))</f>
        <v>0</v>
      </c>
      <c r="AF18">
        <f>AVERAGEIFS(dataIntentos[%Reglas respetadas ejecucion],dataIntentos[Nivel],A18,dataIntentos[Intento],B18)</f>
        <v>100</v>
      </c>
      <c r="AG18" cm="1">
        <f t="array" ref="AG18">_xlfn.STDEV.P(IF((dataIntentos[Nivel]=A18)*(dataIntentos[Intento]=B18),dataIntentos[%Reglas respetadas ejecucion]))</f>
        <v>0</v>
      </c>
      <c r="AH18">
        <f>COUNTIFS(dataIntentos[Nivel],A18,dataIntentos[Intento],B18,dataIntentos[Reglas planificacion cumplidas],"VERDADERO")</f>
        <v>0</v>
      </c>
      <c r="AI18">
        <f>COUNTIFS(dataIntentos[Nivel],A18,dataIntentos[Intento],B18,dataIntentos[Completado],"VERDADERO")</f>
        <v>0</v>
      </c>
    </row>
    <row r="19" spans="1:35" x14ac:dyDescent="0.3">
      <c r="A19">
        <v>2</v>
      </c>
      <c r="B19">
        <v>1</v>
      </c>
      <c r="C19">
        <f>COUNTIFS(dataIntentos[Nivel],A19,dataIntentos[Intento],B19)</f>
        <v>69</v>
      </c>
      <c r="D19">
        <f>AVERAGEIFS(dataIntentos[Pasos planificados],dataIntentos[Nivel],A19,dataIntentos[Intento],B19)</f>
        <v>2.3043478260869565</v>
      </c>
      <c r="E19" cm="1">
        <f t="array" ref="E19">_xlfn.STDEV.P(IF((dataIntentos[Nivel]=A19)*(dataIntentos[Intento]=B19),dataIntentos[Pasos planificados]))</f>
        <v>1.9209323508151759</v>
      </c>
      <c r="F19">
        <f>AVERAGEIFS(dataIntentos[Pasos ejecutados],dataIntentos[Nivel],A19,dataIntentos[Intento],B19)</f>
        <v>1.9565217391304348</v>
      </c>
      <c r="G19" cm="1">
        <f t="array" ref="G19">_xlfn.STDEV.P(IF((dataIntentos[Nivel]=A19)*(dataIntentos[Intento]=B19),dataIntentos[Pasos ejecutados]))</f>
        <v>1.8370958698540087</v>
      </c>
      <c r="H19">
        <f>AVERAGEIFS(dataIntentos[Errores ejecucion],dataIntentos[Nivel],A19,dataIntentos[Intento],B19)</f>
        <v>0.34782608695652173</v>
      </c>
      <c r="I19" cm="1">
        <f t="array" ref="I19">_xlfn.STDEV.P(IF((dataIntentos[Nivel]=A19)*(dataIntentos[Intento]=B19),dataIntentos[Errores ejecucion]))</f>
        <v>0.73870405434055986</v>
      </c>
      <c r="J19">
        <f>AVERAGEIFS(dataIntentos[Num dormir planificado],dataIntentos[Nivel],A19,dataIntentos[Intento],B19)</f>
        <v>1.2608695652173914</v>
      </c>
      <c r="K19" cm="1">
        <f t="array" ref="K19">_xlfn.STDEV.P(IF((dataIntentos[Nivel]=A19)*(dataIntentos[Intento]=B19),dataIntentos[Num dormir planificado]))</f>
        <v>1.0855062789028409</v>
      </c>
      <c r="L19">
        <f>AVERAGEIFS(dataIntentos[Correctos dormir],dataIntentos[Nivel],A19,dataIntentos[Intento],B19)</f>
        <v>1.1594202898550725</v>
      </c>
      <c r="M19" cm="1">
        <f t="array" ref="M19">_xlfn.STDEV.P(IF((dataIntentos[Nivel]=A19)*(dataIntentos[Intento]=B19),dataIntentos[Correctos dormir]))</f>
        <v>1.0716800897006464</v>
      </c>
      <c r="N19">
        <f>AVERAGEIFS(dataIntentos[Errores dormir],dataIntentos[Nivel],A19,dataIntentos[Intento],B19)</f>
        <v>0.10144927536231885</v>
      </c>
      <c r="O19" cm="1">
        <f t="array" ref="O19">_xlfn.STDEV.P(IF((dataIntentos[Nivel]=A19)*(dataIntentos[Intento]=B19),dataIntentos[Errores dormir]))</f>
        <v>0.34661625342322894</v>
      </c>
      <c r="P19">
        <f>AVERAGEIFS(dataIntentos[Num ubicacion planificado],dataIntentos[Nivel],A19,dataIntentos[Intento],B19)</f>
        <v>1.0434782608695652</v>
      </c>
      <c r="Q19" cm="1">
        <f t="array" ref="Q19">_xlfn.STDEV.P(IF((dataIntentos[Nivel]=A19)*(dataIntentos[Intento]=B19),dataIntentos[Num ubicacion planificado]))</f>
        <v>1.095905192777366</v>
      </c>
      <c r="R19">
        <f>AVERAGEIFS(dataIntentos[Correctos ubicacion],dataIntentos[Nivel],A19,dataIntentos[Intento],B19)</f>
        <v>0.79710144927536231</v>
      </c>
      <c r="S19" cm="1">
        <f t="array" ref="S19">_xlfn.STDEV.P(IF((dataIntentos[Nivel]=A19)*(dataIntentos[Intento]=B19),dataIntentos[Correctos ubicacion]))</f>
        <v>1.0574745708379536</v>
      </c>
      <c r="T19">
        <f>AVERAGEIFS(dataIntentos[Errores ubicacion],dataIntentos[Nivel],A19,dataIntentos[Intento],B19)</f>
        <v>0.24637681159420291</v>
      </c>
      <c r="U19" cm="1">
        <f t="array" ref="U19">_xlfn.STDEV.P(IF((dataIntentos[Nivel]=A19)*(dataIntentos[Intento]=B19),dataIntentos[Errores ubicacion]))</f>
        <v>0.52214155172903831</v>
      </c>
      <c r="V19">
        <f>AVERAGEIFS(dataIntentos[Paradas posibles],dataIntentos[Nivel],A19,dataIntentos[Intento],B19)</f>
        <v>2.7971014492753623</v>
      </c>
      <c r="W19" cm="1">
        <f t="array" ref="W19">_xlfn.STDEV.P(IF((dataIntentos[Nivel]=A19)*(dataIntentos[Intento]=B19),dataIntentos[Paradas posibles]))</f>
        <v>1.2918889680038581</v>
      </c>
      <c r="X19">
        <f>AVERAGEIFS(dataIntentos[Paradas realizadas],dataIntentos[Nivel],A19,dataIntentos[Intento],B19)</f>
        <v>1.7246376811594204</v>
      </c>
      <c r="Y19" cm="1">
        <f t="array" ref="Y19">_xlfn.STDEV.P(IF((dataIntentos[Nivel]=A19)*(dataIntentos[Intento]=B19),dataIntentos[Paradas realizadas]))</f>
        <v>1.2497426746266724</v>
      </c>
      <c r="Z19">
        <f>AVERAGEIFS(dataIntentos[Errores parada por tiempo excedido],dataIntentos[Nivel],A19,dataIntentos[Intento],B19)</f>
        <v>0.44927536231884058</v>
      </c>
      <c r="AA19" cm="1">
        <f t="array" ref="AA19">_xlfn.STDEV.P(IF((dataIntentos[Nivel]=A19)*(dataIntentos[Intento]=B19),dataIntentos[Errores parada por tiempo excedido]))</f>
        <v>0.67106300885740433</v>
      </c>
      <c r="AB19">
        <f>AVERAGEIFS(dataIntentos[Num errores por tiempo excedido],dataIntentos[Nivel],A19,dataIntentos[Intento],B19)</f>
        <v>0.53623188405797106</v>
      </c>
      <c r="AC19" cm="1">
        <f t="array" ref="AC19">_xlfn.STDEV.P(IF((dataIntentos[Nivel]=A19)*(dataIntentos[Intento]=B19),dataIntentos[Num errores por tiempo excedido]))</f>
        <v>0.80900207170741234</v>
      </c>
      <c r="AD19">
        <f>AVERAGEIFS(dataIntentos[Tiempo duracion],dataIntentos[Nivel],A19,dataIntentos[Intento],B19)</f>
        <v>226.08398550724641</v>
      </c>
      <c r="AE19" cm="1">
        <f t="array" ref="AE19">_xlfn.STDEV.P(IF((dataIntentos[Nivel]=A19)*(dataIntentos[Intento]=B19),dataIntentos[Tiempo duracion]))</f>
        <v>118.31637263948311</v>
      </c>
      <c r="AF19">
        <f>AVERAGEIFS(dataIntentos[%Reglas respetadas ejecucion],dataIntentos[Nivel],A19,dataIntentos[Intento],B19)</f>
        <v>83.695652173913047</v>
      </c>
      <c r="AG19" cm="1">
        <f t="array" ref="AG19">_xlfn.STDEV.P(IF((dataIntentos[Nivel]=A19)*(dataIntentos[Intento]=B19),dataIntentos[%Reglas respetadas ejecucion]))</f>
        <v>18.951734537133365</v>
      </c>
      <c r="AH19">
        <f>COUNTIFS(dataIntentos[Nivel],A19,dataIntentos[Intento],B19,dataIntentos[Reglas planificacion cumplidas],"VERDADERO")</f>
        <v>24</v>
      </c>
      <c r="AI19">
        <f>COUNTIFS(dataIntentos[Nivel],A19,dataIntentos[Intento],B19,dataIntentos[Completado],"VERDADERO")</f>
        <v>10</v>
      </c>
    </row>
    <row r="20" spans="1:35" x14ac:dyDescent="0.3">
      <c r="A20">
        <v>2</v>
      </c>
      <c r="B20">
        <v>2</v>
      </c>
      <c r="C20">
        <f>COUNTIFS(dataIntentos[Nivel],A20,dataIntentos[Intento],B20)</f>
        <v>42</v>
      </c>
      <c r="D20">
        <f>AVERAGEIFS(dataIntentos[Pasos planificados],dataIntentos[Nivel],A20,dataIntentos[Intento],B20)</f>
        <v>2.1904761904761907</v>
      </c>
      <c r="E20" cm="1">
        <f t="array" ref="E20">_xlfn.STDEV.P(IF((dataIntentos[Nivel]=A20)*(dataIntentos[Intento]=B20),dataIntentos[Pasos planificados]))</f>
        <v>1.9053570498802435</v>
      </c>
      <c r="F20">
        <f>AVERAGEIFS(dataIntentos[Pasos ejecutados],dataIntentos[Nivel],A20,dataIntentos[Intento],B20)</f>
        <v>2.0476190476190474</v>
      </c>
      <c r="G20" cm="1">
        <f t="array" ref="G20">_xlfn.STDEV.P(IF((dataIntentos[Nivel]=A20)*(dataIntentos[Intento]=B20),dataIntentos[Pasos ejecutados]))</f>
        <v>1.8251207520701715</v>
      </c>
      <c r="H20">
        <f>AVERAGEIFS(dataIntentos[Errores ejecucion],dataIntentos[Nivel],A20,dataIntentos[Intento],B20)</f>
        <v>0.14285714285714285</v>
      </c>
      <c r="I20" cm="1">
        <f t="array" ref="I20">_xlfn.STDEV.P(IF((dataIntentos[Nivel]=A20)*(dataIntentos[Intento]=B20),dataIntentos[Errores ejecucion]))</f>
        <v>0.3499271061118826</v>
      </c>
      <c r="J20">
        <f>AVERAGEIFS(dataIntentos[Num dormir planificado],dataIntentos[Nivel],A20,dataIntentos[Intento],B20)</f>
        <v>1.1428571428571428</v>
      </c>
      <c r="K20" cm="1">
        <f t="array" ref="K20">_xlfn.STDEV.P(IF((dataIntentos[Nivel]=A20)*(dataIntentos[Intento]=B20),dataIntentos[Num dormir planificado]))</f>
        <v>0.96538737774825201</v>
      </c>
      <c r="L20">
        <f>AVERAGEIFS(dataIntentos[Correctos dormir],dataIntentos[Nivel],A20,dataIntentos[Intento],B20)</f>
        <v>1.1190476190476191</v>
      </c>
      <c r="M20" cm="1">
        <f t="array" ref="M20">_xlfn.STDEV.P(IF((dataIntentos[Nivel]=A20)*(dataIntentos[Intento]=B20),dataIntentos[Correctos dormir]))</f>
        <v>0.9562421727630096</v>
      </c>
      <c r="N20">
        <f>AVERAGEIFS(dataIntentos[Errores dormir],dataIntentos[Nivel],A20,dataIntentos[Intento],B20)</f>
        <v>2.3809523809523808E-2</v>
      </c>
      <c r="O20" cm="1">
        <f t="array" ref="O20">_xlfn.STDEV.P(IF((dataIntentos[Nivel]=A20)*(dataIntentos[Intento]=B20),dataIntentos[Errores dormir]))</f>
        <v>0.15245533898649641</v>
      </c>
      <c r="P20">
        <f>AVERAGEIFS(dataIntentos[Num ubicacion planificado],dataIntentos[Nivel],A20,dataIntentos[Intento],B20)</f>
        <v>1.0476190476190477</v>
      </c>
      <c r="Q20" cm="1">
        <f t="array" ref="Q20">_xlfn.STDEV.P(IF((dataIntentos[Nivel]=A20)*(dataIntentos[Intento]=B20),dataIntentos[Num ubicacion planificado]))</f>
        <v>1.0454523047666737</v>
      </c>
      <c r="R20">
        <f>AVERAGEIFS(dataIntentos[Correctos ubicacion],dataIntentos[Nivel],A20,dataIntentos[Intento],B20)</f>
        <v>0.9285714285714286</v>
      </c>
      <c r="S20" cm="1">
        <f t="array" ref="S20">_xlfn.STDEV.P(IF((dataIntentos[Nivel]=A20)*(dataIntentos[Intento]=B20),dataIntentos[Correctos ubicacion]))</f>
        <v>1.0093103997250783</v>
      </c>
      <c r="T20">
        <f>AVERAGEIFS(dataIntentos[Errores ubicacion],dataIntentos[Nivel],A20,dataIntentos[Intento],B20)</f>
        <v>0.11904761904761904</v>
      </c>
      <c r="U20" cm="1">
        <f t="array" ref="U20">_xlfn.STDEV.P(IF((dataIntentos[Nivel]=A20)*(dataIntentos[Intento]=B20),dataIntentos[Errores ubicacion]))</f>
        <v>0.32384453592227247</v>
      </c>
      <c r="V20">
        <f>AVERAGEIFS(dataIntentos[Paradas posibles],dataIntentos[Nivel],A20,dataIntentos[Intento],B20)</f>
        <v>2.7619047619047619</v>
      </c>
      <c r="W20" cm="1">
        <f t="array" ref="W20">_xlfn.STDEV.P(IF((dataIntentos[Nivel]=A20)*(dataIntentos[Intento]=B20),dataIntentos[Paradas posibles]))</f>
        <v>1.394026777933757</v>
      </c>
      <c r="X20">
        <f>AVERAGEIFS(dataIntentos[Paradas realizadas],dataIntentos[Nivel],A20,dataIntentos[Intento],B20)</f>
        <v>1.6666666666666667</v>
      </c>
      <c r="Y20" cm="1">
        <f t="array" ref="Y20">_xlfn.STDEV.P(IF((dataIntentos[Nivel]=A20)*(dataIntentos[Intento]=B20),dataIntentos[Paradas realizadas]))</f>
        <v>1.3569339855976197</v>
      </c>
      <c r="Z20">
        <f>AVERAGEIFS(dataIntentos[Errores parada por tiempo excedido],dataIntentos[Nivel],A20,dataIntentos[Intento],B20)</f>
        <v>0.26190476190476192</v>
      </c>
      <c r="AA20" cm="1">
        <f t="array" ref="AA20">_xlfn.STDEV.P(IF((dataIntentos[Nivel]=A20)*(dataIntentos[Intento]=B20),dataIntentos[Errores parada por tiempo excedido]))</f>
        <v>0.53716734155611801</v>
      </c>
      <c r="AB20">
        <f>AVERAGEIFS(dataIntentos[Num errores por tiempo excedido],dataIntentos[Nivel],A20,dataIntentos[Intento],B20)</f>
        <v>0.2857142857142857</v>
      </c>
      <c r="AC20" cm="1">
        <f t="array" ref="AC20">_xlfn.STDEV.P(IF((dataIntentos[Nivel]=A20)*(dataIntentos[Intento]=B20),dataIntentos[Num errores por tiempo excedido]))</f>
        <v>0.62813837896537705</v>
      </c>
      <c r="AD20">
        <f>AVERAGEIFS(dataIntentos[Tiempo duracion],dataIntentos[Nivel],A20,dataIntentos[Intento],B20)</f>
        <v>264.03438095238096</v>
      </c>
      <c r="AE20" cm="1">
        <f t="array" ref="AE20">_xlfn.STDEV.P(IF((dataIntentos[Nivel]=A20)*(dataIntentos[Intento]=B20),dataIntentos[Tiempo duracion]))</f>
        <v>463.09934610466587</v>
      </c>
      <c r="AF20">
        <f>AVERAGEIFS(dataIntentos[%Reglas respetadas ejecucion],dataIntentos[Nivel],A20,dataIntentos[Intento],B20)</f>
        <v>91.071428571428569</v>
      </c>
      <c r="AG20" cm="1">
        <f t="array" ref="AG20">_xlfn.STDEV.P(IF((dataIntentos[Nivel]=A20)*(dataIntentos[Intento]=B20),dataIntentos[%Reglas respetadas ejecucion]))</f>
        <v>13.162704992557131</v>
      </c>
      <c r="AH20">
        <f>COUNTIFS(dataIntentos[Nivel],A20,dataIntentos[Intento],B20,dataIntentos[Reglas planificacion cumplidas],"VERDADERO")</f>
        <v>16</v>
      </c>
      <c r="AI20">
        <f>COUNTIFS(dataIntentos[Nivel],A20,dataIntentos[Intento],B20,dataIntentos[Completado],"VERDADERO")</f>
        <v>11</v>
      </c>
    </row>
    <row r="21" spans="1:35" x14ac:dyDescent="0.3">
      <c r="A21">
        <v>2</v>
      </c>
      <c r="B21">
        <v>3</v>
      </c>
      <c r="C21">
        <f>COUNTIFS(dataIntentos[Nivel],A21,dataIntentos[Intento],B21)</f>
        <v>19</v>
      </c>
      <c r="D21">
        <f>AVERAGEIFS(dataIntentos[Pasos planificados],dataIntentos[Nivel],A21,dataIntentos[Intento],B21)</f>
        <v>1.7894736842105263</v>
      </c>
      <c r="E21" cm="1">
        <f t="array" ref="E21">_xlfn.STDEV.P(IF((dataIntentos[Nivel]=A21)*(dataIntentos[Intento]=B21),dataIntentos[Pasos planificados]))</f>
        <v>1.6726577454811267</v>
      </c>
      <c r="F21">
        <f>AVERAGEIFS(dataIntentos[Pasos ejecutados],dataIntentos[Nivel],A21,dataIntentos[Intento],B21)</f>
        <v>1.631578947368421</v>
      </c>
      <c r="G21" cm="1">
        <f t="array" ref="G21">_xlfn.STDEV.P(IF((dataIntentos[Nivel]=A21)*(dataIntentos[Intento]=B21),dataIntentos[Pasos ejecutados]))</f>
        <v>1.6290302674254906</v>
      </c>
      <c r="H21">
        <f>AVERAGEIFS(dataIntentos[Errores ejecucion],dataIntentos[Nivel],A21,dataIntentos[Intento],B21)</f>
        <v>0.15789473684210525</v>
      </c>
      <c r="I21" cm="1">
        <f t="array" ref="I21">_xlfn.STDEV.P(IF((dataIntentos[Nivel]=A21)*(dataIntentos[Intento]=B21),dataIntentos[Errores ejecucion]))</f>
        <v>0.36464227527765841</v>
      </c>
      <c r="J21">
        <f>AVERAGEIFS(dataIntentos[Num dormir planificado],dataIntentos[Nivel],A21,dataIntentos[Intento],B21)</f>
        <v>1</v>
      </c>
      <c r="K21" cm="1">
        <f t="array" ref="K21">_xlfn.STDEV.P(IF((dataIntentos[Nivel]=A21)*(dataIntentos[Intento]=B21),dataIntentos[Num dormir planificado]))</f>
        <v>0.97332852678457515</v>
      </c>
      <c r="L21">
        <f>AVERAGEIFS(dataIntentos[Correctos dormir],dataIntentos[Nivel],A21,dataIntentos[Intento],B21)</f>
        <v>0.94736842105263153</v>
      </c>
      <c r="M21" cm="1">
        <f t="array" ref="M21">_xlfn.STDEV.P(IF((dataIntentos[Nivel]=A21)*(dataIntentos[Intento]=B21),dataIntentos[Correctos dormir]))</f>
        <v>0.94443991815401895</v>
      </c>
      <c r="N21">
        <f>AVERAGEIFS(dataIntentos[Errores dormir],dataIntentos[Nivel],A21,dataIntentos[Intento],B21)</f>
        <v>5.2631578947368418E-2</v>
      </c>
      <c r="O21" cm="1">
        <f t="array" ref="O21">_xlfn.STDEV.P(IF((dataIntentos[Nivel]=A21)*(dataIntentos[Intento]=B21),dataIntentos[Errores dormir]))</f>
        <v>0.22329687826943606</v>
      </c>
      <c r="P21">
        <f>AVERAGEIFS(dataIntentos[Num ubicacion planificado],dataIntentos[Nivel],A21,dataIntentos[Intento],B21)</f>
        <v>0.78947368421052633</v>
      </c>
      <c r="Q21" cm="1">
        <f t="array" ref="Q21">_xlfn.STDEV.P(IF((dataIntentos[Nivel]=A21)*(dataIntentos[Intento]=B21),dataIntentos[Num ubicacion planificado]))</f>
        <v>0.76632735676637043</v>
      </c>
      <c r="R21">
        <f>AVERAGEIFS(dataIntentos[Correctos ubicacion],dataIntentos[Nivel],A21,dataIntentos[Intento],B21)</f>
        <v>0.68421052631578949</v>
      </c>
      <c r="S21" cm="1">
        <f t="array" ref="S21">_xlfn.STDEV.P(IF((dataIntentos[Nivel]=A21)*(dataIntentos[Intento]=B21),dataIntentos[Correctos ubicacion]))</f>
        <v>0.7981974151633211</v>
      </c>
      <c r="T21">
        <f>AVERAGEIFS(dataIntentos[Errores ubicacion],dataIntentos[Nivel],A21,dataIntentos[Intento],B21)</f>
        <v>0.10526315789473684</v>
      </c>
      <c r="U21" cm="1">
        <f t="array" ref="U21">_xlfn.STDEV.P(IF((dataIntentos[Nivel]=A21)*(dataIntentos[Intento]=B21),dataIntentos[Errores ubicacion]))</f>
        <v>0.30689220499185793</v>
      </c>
      <c r="V21">
        <f>AVERAGEIFS(dataIntentos[Paradas posibles],dataIntentos[Nivel],A21,dataIntentos[Intento],B21)</f>
        <v>2.4210526315789473</v>
      </c>
      <c r="W21" cm="1">
        <f t="array" ref="W21">_xlfn.STDEV.P(IF((dataIntentos[Nivel]=A21)*(dataIntentos[Intento]=B21),dataIntentos[Paradas posibles]))</f>
        <v>1.4259175983309544</v>
      </c>
      <c r="X21">
        <f>AVERAGEIFS(dataIntentos[Paradas realizadas],dataIntentos[Nivel],A21,dataIntentos[Intento],B21)</f>
        <v>1.263157894736842</v>
      </c>
      <c r="Y21" cm="1">
        <f t="array" ref="Y21">_xlfn.STDEV.P(IF((dataIntentos[Nivel]=A21)*(dataIntentos[Intento]=B21),dataIntentos[Paradas realizadas]))</f>
        <v>1.0683043752728651</v>
      </c>
      <c r="Z21">
        <f>AVERAGEIFS(dataIntentos[Errores parada por tiempo excedido],dataIntentos[Nivel],A21,dataIntentos[Intento],B21)</f>
        <v>0.26315789473684209</v>
      </c>
      <c r="AA21" cm="1">
        <f t="array" ref="AA21">_xlfn.STDEV.P(IF((dataIntentos[Nivel]=A21)*(dataIntentos[Intento]=B21),dataIntentos[Errores parada por tiempo excedido]))</f>
        <v>0.54696341291648753</v>
      </c>
      <c r="AB21">
        <f>AVERAGEIFS(dataIntentos[Num errores por tiempo excedido],dataIntentos[Nivel],A21,dataIntentos[Intento],B21)</f>
        <v>0.26315789473684209</v>
      </c>
      <c r="AC21" cm="1">
        <f t="array" ref="AC21">_xlfn.STDEV.P(IF((dataIntentos[Nivel]=A21)*(dataIntentos[Intento]=B21),dataIntentos[Num errores por tiempo excedido]))</f>
        <v>0.54696341291648753</v>
      </c>
      <c r="AD21">
        <f>AVERAGEIFS(dataIntentos[Tiempo duracion],dataIntentos[Nivel],A21,dataIntentos[Intento],B21)</f>
        <v>185.98336842105263</v>
      </c>
      <c r="AE21" cm="1">
        <f t="array" ref="AE21">_xlfn.STDEV.P(IF((dataIntentos[Nivel]=A21)*(dataIntentos[Intento]=B21),dataIntentos[Tiempo duracion]))</f>
        <v>117.66957505490154</v>
      </c>
      <c r="AF21">
        <f>AVERAGEIFS(dataIntentos[%Reglas respetadas ejecucion],dataIntentos[Nivel],A21,dataIntentos[Intento],B21)</f>
        <v>90.78947368421052</v>
      </c>
      <c r="AG21" cm="1">
        <f t="array" ref="AG21">_xlfn.STDEV.P(IF((dataIntentos[Nivel]=A21)*(dataIntentos[Intento]=B21),dataIntentos[%Reglas respetadas ejecucion]))</f>
        <v>12.059409723568001</v>
      </c>
      <c r="AH21">
        <f>COUNTIFS(dataIntentos[Nivel],A21,dataIntentos[Intento],B21,dataIntentos[Reglas planificacion cumplidas],"VERDADERO")</f>
        <v>4</v>
      </c>
      <c r="AI21">
        <f>COUNTIFS(dataIntentos[Nivel],A21,dataIntentos[Intento],B21,dataIntentos[Completado],"VERDADERO")</f>
        <v>0</v>
      </c>
    </row>
    <row r="22" spans="1:35" x14ac:dyDescent="0.3">
      <c r="A22">
        <v>2</v>
      </c>
      <c r="B22">
        <v>4</v>
      </c>
      <c r="C22">
        <f>COUNTIFS(dataIntentos[Nivel],A22,dataIntentos[Intento],B22)</f>
        <v>14</v>
      </c>
      <c r="D22">
        <f>AVERAGEIFS(dataIntentos[Pasos planificados],dataIntentos[Nivel],A22,dataIntentos[Intento],B22)</f>
        <v>2.4285714285714284</v>
      </c>
      <c r="E22" cm="1">
        <f t="array" ref="E22">_xlfn.STDEV.P(IF((dataIntentos[Nivel]=A22)*(dataIntentos[Intento]=B22),dataIntentos[Pasos planificados]))</f>
        <v>1.7202277969703279</v>
      </c>
      <c r="F22">
        <f>AVERAGEIFS(dataIntentos[Pasos ejecutados],dataIntentos[Nivel],A22,dataIntentos[Intento],B22)</f>
        <v>2.0714285714285716</v>
      </c>
      <c r="G22" cm="1">
        <f t="array" ref="G22">_xlfn.STDEV.P(IF((dataIntentos[Nivel]=A22)*(dataIntentos[Intento]=B22),dataIntentos[Pasos ejecutados]))</f>
        <v>1.6241167144145818</v>
      </c>
      <c r="H22">
        <f>AVERAGEIFS(dataIntentos[Errores ejecucion],dataIntentos[Nivel],A22,dataIntentos[Intento],B22)</f>
        <v>0.35714285714285715</v>
      </c>
      <c r="I22" cm="1">
        <f t="array" ref="I22">_xlfn.STDEV.P(IF((dataIntentos[Nivel]=A22)*(dataIntentos[Intento]=B22),dataIntentos[Errores ejecucion]))</f>
        <v>0.61028598180839511</v>
      </c>
      <c r="J22">
        <f>AVERAGEIFS(dataIntentos[Num dormir planificado],dataIntentos[Nivel],A22,dataIntentos[Intento],B22)</f>
        <v>1.2857142857142858</v>
      </c>
      <c r="K22" cm="1">
        <f t="array" ref="K22">_xlfn.STDEV.P(IF((dataIntentos[Nivel]=A22)*(dataIntentos[Intento]=B22),dataIntentos[Num dormir planificado]))</f>
        <v>0.95831484749990992</v>
      </c>
      <c r="L22">
        <f>AVERAGEIFS(dataIntentos[Correctos dormir],dataIntentos[Nivel],A22,dataIntentos[Intento],B22)</f>
        <v>1.1428571428571428</v>
      </c>
      <c r="M22" cm="1">
        <f t="array" ref="M22">_xlfn.STDEV.P(IF((dataIntentos[Nivel]=A22)*(dataIntentos[Intento]=B22),dataIntentos[Correctos dormir]))</f>
        <v>0.83299312783504287</v>
      </c>
      <c r="N22">
        <f>AVERAGEIFS(dataIntentos[Errores dormir],dataIntentos[Nivel],A22,dataIntentos[Intento],B22)</f>
        <v>0.14285714285714285</v>
      </c>
      <c r="O22" cm="1">
        <f t="array" ref="O22">_xlfn.STDEV.P(IF((dataIntentos[Nivel]=A22)*(dataIntentos[Intento]=B22),dataIntentos[Errores dormir]))</f>
        <v>0.51507875363771283</v>
      </c>
      <c r="P22">
        <f>AVERAGEIFS(dataIntentos[Num ubicacion planificado],dataIntentos[Nivel],A22,dataIntentos[Intento],B22)</f>
        <v>1.1428571428571428</v>
      </c>
      <c r="Q22" cm="1">
        <f t="array" ref="Q22">_xlfn.STDEV.P(IF((dataIntentos[Nivel]=A22)*(dataIntentos[Intento]=B22),dataIntentos[Num ubicacion planificado]))</f>
        <v>0.98974331861078702</v>
      </c>
      <c r="R22">
        <f>AVERAGEIFS(dataIntentos[Correctos ubicacion],dataIntentos[Nivel],A22,dataIntentos[Intento],B22)</f>
        <v>0.9285714285714286</v>
      </c>
      <c r="S22" cm="1">
        <f t="array" ref="S22">_xlfn.STDEV.P(IF((dataIntentos[Nivel]=A22)*(dataIntentos[Intento]=B22),dataIntentos[Correctos ubicacion]))</f>
        <v>0.96097314621955077</v>
      </c>
      <c r="T22">
        <f>AVERAGEIFS(dataIntentos[Errores ubicacion],dataIntentos[Nivel],A22,dataIntentos[Intento],B22)</f>
        <v>0.21428571428571427</v>
      </c>
      <c r="U22" cm="1">
        <f t="array" ref="U22">_xlfn.STDEV.P(IF((dataIntentos[Nivel]=A22)*(dataIntentos[Intento]=B22),dataIntentos[Errores ubicacion]))</f>
        <v>0.41032590332414487</v>
      </c>
      <c r="V22">
        <f>AVERAGEIFS(dataIntentos[Paradas posibles],dataIntentos[Nivel],A22,dataIntentos[Intento],B22)</f>
        <v>2.8571428571428572</v>
      </c>
      <c r="W22" cm="1">
        <f t="array" ref="W22">_xlfn.STDEV.P(IF((dataIntentos[Nivel]=A22)*(dataIntentos[Intento]=B22),dataIntentos[Paradas posibles]))</f>
        <v>1.1866605518454392</v>
      </c>
      <c r="X22">
        <f>AVERAGEIFS(dataIntentos[Paradas realizadas],dataIntentos[Nivel],A22,dataIntentos[Intento],B22)</f>
        <v>1.5714285714285714</v>
      </c>
      <c r="Y22" cm="1">
        <f t="array" ref="Y22">_xlfn.STDEV.P(IF((dataIntentos[Nivel]=A22)*(dataIntentos[Intento]=B22),dataIntentos[Paradas realizadas]))</f>
        <v>1.1780301787479031</v>
      </c>
      <c r="Z22">
        <f>AVERAGEIFS(dataIntentos[Errores parada por tiempo excedido],dataIntentos[Nivel],A22,dataIntentos[Intento],B22)</f>
        <v>0.21428571428571427</v>
      </c>
      <c r="AA22" cm="1">
        <f t="array" ref="AA22">_xlfn.STDEV.P(IF((dataIntentos[Nivel]=A22)*(dataIntentos[Intento]=B22),dataIntentos[Errores parada por tiempo excedido]))</f>
        <v>0.55787497685047538</v>
      </c>
      <c r="AB22">
        <f>AVERAGEIFS(dataIntentos[Num errores por tiempo excedido],dataIntentos[Nivel],A22,dataIntentos[Intento],B22)</f>
        <v>0.2857142857142857</v>
      </c>
      <c r="AC22" cm="1">
        <f t="array" ref="AC22">_xlfn.STDEV.P(IF((dataIntentos[Nivel]=A22)*(dataIntentos[Intento]=B22),dataIntentos[Num errores por tiempo excedido]))</f>
        <v>0.58901508937395153</v>
      </c>
      <c r="AD22">
        <f>AVERAGEIFS(dataIntentos[Tiempo duracion],dataIntentos[Nivel],A22,dataIntentos[Intento],B22)</f>
        <v>184.14942857142861</v>
      </c>
      <c r="AE22" cm="1">
        <f t="array" ref="AE22">_xlfn.STDEV.P(IF((dataIntentos[Nivel]=A22)*(dataIntentos[Intento]=B22),dataIntentos[Tiempo duracion]))</f>
        <v>87.742230101029605</v>
      </c>
      <c r="AF22">
        <f>AVERAGEIFS(dataIntentos[%Reglas respetadas ejecucion],dataIntentos[Nivel],A22,dataIntentos[Intento],B22)</f>
        <v>89.285714285714292</v>
      </c>
      <c r="AG22" cm="1">
        <f t="array" ref="AG22">_xlfn.STDEV.P(IF((dataIntentos[Nivel]=A22)*(dataIntentos[Intento]=B22),dataIntentos[%Reglas respetadas ejecucion]))</f>
        <v>12.371791482634837</v>
      </c>
      <c r="AH22">
        <f>COUNTIFS(dataIntentos[Nivel],A22,dataIntentos[Intento],B22,dataIntentos[Reglas planificacion cumplidas],"VERDADERO")</f>
        <v>4</v>
      </c>
      <c r="AI22">
        <f>COUNTIFS(dataIntentos[Nivel],A22,dataIntentos[Intento],B22,dataIntentos[Completado],"VERDADERO")</f>
        <v>3</v>
      </c>
    </row>
    <row r="23" spans="1:35" x14ac:dyDescent="0.3">
      <c r="A23">
        <v>2</v>
      </c>
      <c r="B23">
        <v>5</v>
      </c>
      <c r="C23">
        <f>COUNTIFS(dataIntentos[Nivel],A23,dataIntentos[Intento],B23)</f>
        <v>9</v>
      </c>
      <c r="D23">
        <f>AVERAGEIFS(dataIntentos[Pasos planificados],dataIntentos[Nivel],A23,dataIntentos[Intento],B23)</f>
        <v>1.4444444444444444</v>
      </c>
      <c r="E23" cm="1">
        <f t="array" ref="E23">_xlfn.STDEV.P(IF((dataIntentos[Nivel]=A23)*(dataIntentos[Intento]=B23),dataIntentos[Pasos planificados]))</f>
        <v>1.1653431646335017</v>
      </c>
      <c r="F23">
        <f>AVERAGEIFS(dataIntentos[Pasos ejecutados],dataIntentos[Nivel],A23,dataIntentos[Intento],B23)</f>
        <v>1.4444444444444444</v>
      </c>
      <c r="G23" cm="1">
        <f t="array" ref="G23">_xlfn.STDEV.P(IF((dataIntentos[Nivel]=A23)*(dataIntentos[Intento]=B23),dataIntentos[Pasos ejecutados]))</f>
        <v>1.1653431646335017</v>
      </c>
      <c r="H23">
        <f>AVERAGEIFS(dataIntentos[Errores ejecucion],dataIntentos[Nivel],A23,dataIntentos[Intento],B23)</f>
        <v>0</v>
      </c>
      <c r="I23" cm="1">
        <f t="array" ref="I23">_xlfn.STDEV.P(IF((dataIntentos[Nivel]=A23)*(dataIntentos[Intento]=B23),dataIntentos[Errores ejecucion]))</f>
        <v>0</v>
      </c>
      <c r="J23">
        <f>AVERAGEIFS(dataIntentos[Num dormir planificado],dataIntentos[Nivel],A23,dataIntentos[Intento],B23)</f>
        <v>0.88888888888888884</v>
      </c>
      <c r="K23" cm="1">
        <f t="array" ref="K23">_xlfn.STDEV.P(IF((dataIntentos[Nivel]=A23)*(dataIntentos[Intento]=B23),dataIntentos[Num dormir planificado]))</f>
        <v>0.7370277311900888</v>
      </c>
      <c r="L23">
        <f>AVERAGEIFS(dataIntentos[Correctos dormir],dataIntentos[Nivel],A23,dataIntentos[Intento],B23)</f>
        <v>0.88888888888888884</v>
      </c>
      <c r="M23" cm="1">
        <f t="array" ref="M23">_xlfn.STDEV.P(IF((dataIntentos[Nivel]=A23)*(dataIntentos[Intento]=B23),dataIntentos[Correctos dormir]))</f>
        <v>0.7370277311900888</v>
      </c>
      <c r="N23">
        <f>AVERAGEIFS(dataIntentos[Errores dormir],dataIntentos[Nivel],A23,dataIntentos[Intento],B23)</f>
        <v>0</v>
      </c>
      <c r="O23" cm="1">
        <f t="array" ref="O23">_xlfn.STDEV.P(IF((dataIntentos[Nivel]=A23)*(dataIntentos[Intento]=B23),dataIntentos[Errores dormir]))</f>
        <v>0</v>
      </c>
      <c r="P23">
        <f>AVERAGEIFS(dataIntentos[Num ubicacion planificado],dataIntentos[Nivel],A23,dataIntentos[Intento],B23)</f>
        <v>0.55555555555555558</v>
      </c>
      <c r="Q23" cm="1">
        <f t="array" ref="Q23">_xlfn.STDEV.P(IF((dataIntentos[Nivel]=A23)*(dataIntentos[Intento]=B23),dataIntentos[Num ubicacion planificado]))</f>
        <v>0.49690399499995325</v>
      </c>
      <c r="R23">
        <f>AVERAGEIFS(dataIntentos[Correctos ubicacion],dataIntentos[Nivel],A23,dataIntentos[Intento],B23)</f>
        <v>0.55555555555555558</v>
      </c>
      <c r="S23" cm="1">
        <f t="array" ref="S23">_xlfn.STDEV.P(IF((dataIntentos[Nivel]=A23)*(dataIntentos[Intento]=B23),dataIntentos[Correctos ubicacion]))</f>
        <v>0.49690399499995325</v>
      </c>
      <c r="T23">
        <f>AVERAGEIFS(dataIntentos[Errores ubicacion],dataIntentos[Nivel],A23,dataIntentos[Intento],B23)</f>
        <v>0</v>
      </c>
      <c r="U23" cm="1">
        <f t="array" ref="U23">_xlfn.STDEV.P(IF((dataIntentos[Nivel]=A23)*(dataIntentos[Intento]=B23),dataIntentos[Errores ubicacion]))</f>
        <v>0</v>
      </c>
      <c r="V23">
        <f>AVERAGEIFS(dataIntentos[Paradas posibles],dataIntentos[Nivel],A23,dataIntentos[Intento],B23)</f>
        <v>2.8888888888888888</v>
      </c>
      <c r="W23" cm="1">
        <f t="array" ref="W23">_xlfn.STDEV.P(IF((dataIntentos[Nivel]=A23)*(dataIntentos[Intento]=B23),dataIntentos[Paradas posibles]))</f>
        <v>0.87488976377909011</v>
      </c>
      <c r="X23">
        <f>AVERAGEIFS(dataIntentos[Paradas realizadas],dataIntentos[Nivel],A23,dataIntentos[Intento],B23)</f>
        <v>1.6666666666666667</v>
      </c>
      <c r="Y23" cm="1">
        <f t="array" ref="Y23">_xlfn.STDEV.P(IF((dataIntentos[Nivel]=A23)*(dataIntentos[Intento]=B23),dataIntentos[Paradas realizadas]))</f>
        <v>1.0540925533894598</v>
      </c>
      <c r="Z23">
        <f>AVERAGEIFS(dataIntentos[Errores parada por tiempo excedido],dataIntentos[Nivel],A23,dataIntentos[Intento],B23)</f>
        <v>0.22222222222222221</v>
      </c>
      <c r="AA23" cm="1">
        <f t="array" ref="AA23">_xlfn.STDEV.P(IF((dataIntentos[Nivel]=A23)*(dataIntentos[Intento]=B23),dataIntentos[Errores parada por tiempo excedido]))</f>
        <v>0.41573970964154905</v>
      </c>
      <c r="AB23">
        <f>AVERAGEIFS(dataIntentos[Num errores por tiempo excedido],dataIntentos[Nivel],A23,dataIntentos[Intento],B23)</f>
        <v>0.22222222222222221</v>
      </c>
      <c r="AC23" cm="1">
        <f t="array" ref="AC23">_xlfn.STDEV.P(IF((dataIntentos[Nivel]=A23)*(dataIntentos[Intento]=B23),dataIntentos[Num errores por tiempo excedido]))</f>
        <v>0.41573970964154905</v>
      </c>
      <c r="AD23">
        <f>AVERAGEIFS(dataIntentos[Tiempo duracion],dataIntentos[Nivel],A23,dataIntentos[Intento],B23)</f>
        <v>220.92388888888888</v>
      </c>
      <c r="AE23" cm="1">
        <f t="array" ref="AE23">_xlfn.STDEV.P(IF((dataIntentos[Nivel]=A23)*(dataIntentos[Intento]=B23),dataIntentos[Tiempo duracion]))</f>
        <v>29.540493456513364</v>
      </c>
      <c r="AF23">
        <f>AVERAGEIFS(dataIntentos[%Reglas respetadas ejecucion],dataIntentos[Nivel],A23,dataIntentos[Intento],B23)</f>
        <v>94.444444444444443</v>
      </c>
      <c r="AG23" cm="1">
        <f t="array" ref="AG23">_xlfn.STDEV.P(IF((dataIntentos[Nivel]=A23)*(dataIntentos[Intento]=B23),dataIntentos[%Reglas respetadas ejecucion]))</f>
        <v>10.393492741038726</v>
      </c>
      <c r="AH23">
        <f>COUNTIFS(dataIntentos[Nivel],A23,dataIntentos[Intento],B23,dataIntentos[Reglas planificacion cumplidas],"VERDADERO")</f>
        <v>0</v>
      </c>
      <c r="AI23">
        <f>COUNTIFS(dataIntentos[Nivel],A23,dataIntentos[Intento],B23,dataIntentos[Completado],"VERDADERO")</f>
        <v>0</v>
      </c>
    </row>
    <row r="24" spans="1:35" x14ac:dyDescent="0.3">
      <c r="A24">
        <v>2</v>
      </c>
      <c r="B24">
        <v>6</v>
      </c>
      <c r="C24">
        <f>COUNTIFS(dataIntentos[Nivel],A24,dataIntentos[Intento],B24)</f>
        <v>9</v>
      </c>
      <c r="D24">
        <f>AVERAGEIFS(dataIntentos[Pasos planificados],dataIntentos[Nivel],A24,dataIntentos[Intento],B24)</f>
        <v>1.2222222222222223</v>
      </c>
      <c r="E24" cm="1">
        <f t="array" ref="E24">_xlfn.STDEV.P(IF((dataIntentos[Nivel]=A24)*(dataIntentos[Intento]=B24),dataIntentos[Pasos planificados]))</f>
        <v>1.4740554623801776</v>
      </c>
      <c r="F24">
        <f>AVERAGEIFS(dataIntentos[Pasos ejecutados],dataIntentos[Nivel],A24,dataIntentos[Intento],B24)</f>
        <v>1.2222222222222223</v>
      </c>
      <c r="G24" cm="1">
        <f t="array" ref="G24">_xlfn.STDEV.P(IF((dataIntentos[Nivel]=A24)*(dataIntentos[Intento]=B24),dataIntentos[Pasos ejecutados]))</f>
        <v>1.4740554623801776</v>
      </c>
      <c r="H24">
        <f>AVERAGEIFS(dataIntentos[Errores ejecucion],dataIntentos[Nivel],A24,dataIntentos[Intento],B24)</f>
        <v>0</v>
      </c>
      <c r="I24" cm="1">
        <f t="array" ref="I24">_xlfn.STDEV.P(IF((dataIntentos[Nivel]=A24)*(dataIntentos[Intento]=B24),dataIntentos[Errores ejecucion]))</f>
        <v>0</v>
      </c>
      <c r="J24">
        <f>AVERAGEIFS(dataIntentos[Num dormir planificado],dataIntentos[Nivel],A24,dataIntentos[Intento],B24)</f>
        <v>0.66666666666666663</v>
      </c>
      <c r="K24" cm="1">
        <f t="array" ref="K24">_xlfn.STDEV.P(IF((dataIntentos[Nivel]=A24)*(dataIntentos[Intento]=B24),dataIntentos[Num dormir planificado]))</f>
        <v>0.81649658092772603</v>
      </c>
      <c r="L24">
        <f>AVERAGEIFS(dataIntentos[Correctos dormir],dataIntentos[Nivel],A24,dataIntentos[Intento],B24)</f>
        <v>0.66666666666666663</v>
      </c>
      <c r="M24" cm="1">
        <f t="array" ref="M24">_xlfn.STDEV.P(IF((dataIntentos[Nivel]=A24)*(dataIntentos[Intento]=B24),dataIntentos[Correctos dormir]))</f>
        <v>0.81649658092772603</v>
      </c>
      <c r="N24">
        <f>AVERAGEIFS(dataIntentos[Errores dormir],dataIntentos[Nivel],A24,dataIntentos[Intento],B24)</f>
        <v>0</v>
      </c>
      <c r="O24" cm="1">
        <f t="array" ref="O24">_xlfn.STDEV.P(IF((dataIntentos[Nivel]=A24)*(dataIntentos[Intento]=B24),dataIntentos[Errores dormir]))</f>
        <v>0</v>
      </c>
      <c r="P24">
        <f>AVERAGEIFS(dataIntentos[Num ubicacion planificado],dataIntentos[Nivel],A24,dataIntentos[Intento],B24)</f>
        <v>0.55555555555555558</v>
      </c>
      <c r="Q24" cm="1">
        <f t="array" ref="Q24">_xlfn.STDEV.P(IF((dataIntentos[Nivel]=A24)*(dataIntentos[Intento]=B24),dataIntentos[Num ubicacion planificado]))</f>
        <v>0.6849348892187751</v>
      </c>
      <c r="R24">
        <f>AVERAGEIFS(dataIntentos[Correctos ubicacion],dataIntentos[Nivel],A24,dataIntentos[Intento],B24)</f>
        <v>0.55555555555555558</v>
      </c>
      <c r="S24" cm="1">
        <f t="array" ref="S24">_xlfn.STDEV.P(IF((dataIntentos[Nivel]=A24)*(dataIntentos[Intento]=B24),dataIntentos[Correctos ubicacion]))</f>
        <v>0.6849348892187751</v>
      </c>
      <c r="T24">
        <f>AVERAGEIFS(dataIntentos[Errores ubicacion],dataIntentos[Nivel],A24,dataIntentos[Intento],B24)</f>
        <v>0</v>
      </c>
      <c r="U24" cm="1">
        <f t="array" ref="U24">_xlfn.STDEV.P(IF((dataIntentos[Nivel]=A24)*(dataIntentos[Intento]=B24),dataIntentos[Errores ubicacion]))</f>
        <v>0</v>
      </c>
      <c r="V24">
        <f>AVERAGEIFS(dataIntentos[Paradas posibles],dataIntentos[Nivel],A24,dataIntentos[Intento],B24)</f>
        <v>1.7777777777777777</v>
      </c>
      <c r="W24" cm="1">
        <f t="array" ref="W24">_xlfn.STDEV.P(IF((dataIntentos[Nivel]=A24)*(dataIntentos[Intento]=B24),dataIntentos[Paradas posibles]))</f>
        <v>1.5475986974649021</v>
      </c>
      <c r="X24">
        <f>AVERAGEIFS(dataIntentos[Paradas realizadas],dataIntentos[Nivel],A24,dataIntentos[Intento],B24)</f>
        <v>1.3333333333333333</v>
      </c>
      <c r="Y24" cm="1">
        <f t="array" ref="Y24">_xlfn.STDEV.P(IF((dataIntentos[Nivel]=A24)*(dataIntentos[Intento]=B24),dataIntentos[Paradas realizadas]))</f>
        <v>1.3333333333333333</v>
      </c>
      <c r="Z24">
        <f>AVERAGEIFS(dataIntentos[Errores parada por tiempo excedido],dataIntentos[Nivel],A24,dataIntentos[Intento],B24)</f>
        <v>0</v>
      </c>
      <c r="AA24" cm="1">
        <f t="array" ref="AA24">_xlfn.STDEV.P(IF((dataIntentos[Nivel]=A24)*(dataIntentos[Intento]=B24),dataIntentos[Errores parada por tiempo excedido]))</f>
        <v>0</v>
      </c>
      <c r="AB24">
        <f>AVERAGEIFS(dataIntentos[Num errores por tiempo excedido],dataIntentos[Nivel],A24,dataIntentos[Intento],B24)</f>
        <v>0</v>
      </c>
      <c r="AC24" cm="1">
        <f t="array" ref="AC24">_xlfn.STDEV.P(IF((dataIntentos[Nivel]=A24)*(dataIntentos[Intento]=B24),dataIntentos[Num errores por tiempo excedido]))</f>
        <v>0</v>
      </c>
      <c r="AD24">
        <f>AVERAGEIFS(dataIntentos[Tiempo duracion],dataIntentos[Nivel],A24,dataIntentos[Intento],B24)</f>
        <v>134.55088888888889</v>
      </c>
      <c r="AE24" cm="1">
        <f t="array" ref="AE24">_xlfn.STDEV.P(IF((dataIntentos[Nivel]=A24)*(dataIntentos[Intento]=B24),dataIntentos[Tiempo duracion]))</f>
        <v>99.07036980342636</v>
      </c>
      <c r="AF24">
        <f>AVERAGEIFS(dataIntentos[%Reglas respetadas ejecucion],dataIntentos[Nivel],A24,dataIntentos[Intento],B24)</f>
        <v>100</v>
      </c>
      <c r="AG24" cm="1">
        <f t="array" ref="AG24">_xlfn.STDEV.P(IF((dataIntentos[Nivel]=A24)*(dataIntentos[Intento]=B24),dataIntentos[%Reglas respetadas ejecucion]))</f>
        <v>0</v>
      </c>
      <c r="AH24">
        <f>COUNTIFS(dataIntentos[Nivel],A24,dataIntentos[Intento],B24,dataIntentos[Reglas planificacion cumplidas],"VERDADERO")</f>
        <v>0</v>
      </c>
      <c r="AI24">
        <f>COUNTIFS(dataIntentos[Nivel],A24,dataIntentos[Intento],B24,dataIntentos[Completado],"VERDADERO")</f>
        <v>0</v>
      </c>
    </row>
    <row r="25" spans="1:35" x14ac:dyDescent="0.3">
      <c r="A25">
        <v>2</v>
      </c>
      <c r="B25">
        <v>7</v>
      </c>
      <c r="C25">
        <f>COUNTIFS(dataIntentos[Nivel],A25,dataIntentos[Intento],B25)</f>
        <v>7</v>
      </c>
      <c r="D25">
        <f>AVERAGEIFS(dataIntentos[Pasos planificados],dataIntentos[Nivel],A25,dataIntentos[Intento],B25)</f>
        <v>1.2857142857142858</v>
      </c>
      <c r="E25" cm="1">
        <f t="array" ref="E25">_xlfn.STDEV.P(IF((dataIntentos[Nivel]=A25)*(dataIntentos[Intento]=B25),dataIntentos[Pasos planificados]))</f>
        <v>1.3850513878332369</v>
      </c>
      <c r="F25">
        <f>AVERAGEIFS(dataIntentos[Pasos ejecutados],dataIntentos[Nivel],A25,dataIntentos[Intento],B25)</f>
        <v>1.2857142857142858</v>
      </c>
      <c r="G25" cm="1">
        <f t="array" ref="G25">_xlfn.STDEV.P(IF((dataIntentos[Nivel]=A25)*(dataIntentos[Intento]=B25),dataIntentos[Pasos ejecutados]))</f>
        <v>1.3850513878332369</v>
      </c>
      <c r="H25">
        <f>AVERAGEIFS(dataIntentos[Errores ejecucion],dataIntentos[Nivel],A25,dataIntentos[Intento],B25)</f>
        <v>0</v>
      </c>
      <c r="I25" cm="1">
        <f t="array" ref="I25">_xlfn.STDEV.P(IF((dataIntentos[Nivel]=A25)*(dataIntentos[Intento]=B25),dataIntentos[Errores ejecucion]))</f>
        <v>0</v>
      </c>
      <c r="J25">
        <f>AVERAGEIFS(dataIntentos[Num dormir planificado],dataIntentos[Nivel],A25,dataIntentos[Intento],B25)</f>
        <v>0.7142857142857143</v>
      </c>
      <c r="K25" cm="1">
        <f t="array" ref="K25">_xlfn.STDEV.P(IF((dataIntentos[Nivel]=A25)*(dataIntentos[Intento]=B25),dataIntentos[Num dormir planificado]))</f>
        <v>0.6998542122237652</v>
      </c>
      <c r="L25">
        <f>AVERAGEIFS(dataIntentos[Correctos dormir],dataIntentos[Nivel],A25,dataIntentos[Intento],B25)</f>
        <v>0.7142857142857143</v>
      </c>
      <c r="M25" cm="1">
        <f t="array" ref="M25">_xlfn.STDEV.P(IF((dataIntentos[Nivel]=A25)*(dataIntentos[Intento]=B25),dataIntentos[Correctos dormir]))</f>
        <v>0.6998542122237652</v>
      </c>
      <c r="N25">
        <f>AVERAGEIFS(dataIntentos[Errores dormir],dataIntentos[Nivel],A25,dataIntentos[Intento],B25)</f>
        <v>0</v>
      </c>
      <c r="O25" cm="1">
        <f t="array" ref="O25">_xlfn.STDEV.P(IF((dataIntentos[Nivel]=A25)*(dataIntentos[Intento]=B25),dataIntentos[Errores dormir]))</f>
        <v>0</v>
      </c>
      <c r="P25">
        <f>AVERAGEIFS(dataIntentos[Num ubicacion planificado],dataIntentos[Nivel],A25,dataIntentos[Intento],B25)</f>
        <v>0.5714285714285714</v>
      </c>
      <c r="Q25" cm="1">
        <f t="array" ref="Q25">_xlfn.STDEV.P(IF((dataIntentos[Nivel]=A25)*(dataIntentos[Intento]=B25),dataIntentos[Num ubicacion planificado]))</f>
        <v>0.72843135908468359</v>
      </c>
      <c r="R25">
        <f>AVERAGEIFS(dataIntentos[Correctos ubicacion],dataIntentos[Nivel],A25,dataIntentos[Intento],B25)</f>
        <v>0.5714285714285714</v>
      </c>
      <c r="S25" cm="1">
        <f t="array" ref="S25">_xlfn.STDEV.P(IF((dataIntentos[Nivel]=A25)*(dataIntentos[Intento]=B25),dataIntentos[Correctos ubicacion]))</f>
        <v>0.72843135908468359</v>
      </c>
      <c r="T25">
        <f>AVERAGEIFS(dataIntentos[Errores ubicacion],dataIntentos[Nivel],A25,dataIntentos[Intento],B25)</f>
        <v>0</v>
      </c>
      <c r="U25" cm="1">
        <f t="array" ref="U25">_xlfn.STDEV.P(IF((dataIntentos[Nivel]=A25)*(dataIntentos[Intento]=B25),dataIntentos[Errores ubicacion]))</f>
        <v>0</v>
      </c>
      <c r="V25">
        <f>AVERAGEIFS(dataIntentos[Paradas posibles],dataIntentos[Nivel],A25,dataIntentos[Intento],B25)</f>
        <v>2.4285714285714284</v>
      </c>
      <c r="W25" cm="1">
        <f t="array" ref="W25">_xlfn.STDEV.P(IF((dataIntentos[Nivel]=A25)*(dataIntentos[Intento]=B25),dataIntentos[Paradas posibles]))</f>
        <v>0.72843135908468359</v>
      </c>
      <c r="X25">
        <f>AVERAGEIFS(dataIntentos[Paradas realizadas],dataIntentos[Nivel],A25,dataIntentos[Intento],B25)</f>
        <v>1.4285714285714286</v>
      </c>
      <c r="Y25" cm="1">
        <f t="array" ref="Y25">_xlfn.STDEV.P(IF((dataIntentos[Nivel]=A25)*(dataIntentos[Intento]=B25),dataIntentos[Paradas realizadas]))</f>
        <v>1.4982983545287878</v>
      </c>
      <c r="Z25">
        <f>AVERAGEIFS(dataIntentos[Errores parada por tiempo excedido],dataIntentos[Nivel],A25,dataIntentos[Intento],B25)</f>
        <v>0.14285714285714285</v>
      </c>
      <c r="AA25" cm="1">
        <f t="array" ref="AA25">_xlfn.STDEV.P(IF((dataIntentos[Nivel]=A25)*(dataIntentos[Intento]=B25),dataIntentos[Errores parada por tiempo excedido]))</f>
        <v>0.3499271061118826</v>
      </c>
      <c r="AB25">
        <f>AVERAGEIFS(dataIntentos[Num errores por tiempo excedido],dataIntentos[Nivel],A25,dataIntentos[Intento],B25)</f>
        <v>0.14285714285714285</v>
      </c>
      <c r="AC25" cm="1">
        <f t="array" ref="AC25">_xlfn.STDEV.P(IF((dataIntentos[Nivel]=A25)*(dataIntentos[Intento]=B25),dataIntentos[Num errores por tiempo excedido]))</f>
        <v>0.3499271061118826</v>
      </c>
      <c r="AD25">
        <f>AVERAGEIFS(dataIntentos[Tiempo duracion],dataIntentos[Nivel],A25,dataIntentos[Intento],B25)</f>
        <v>175.78928571428568</v>
      </c>
      <c r="AE25" cm="1">
        <f t="array" ref="AE25">_xlfn.STDEV.P(IF((dataIntentos[Nivel]=A25)*(dataIntentos[Intento]=B25),dataIntentos[Tiempo duracion]))</f>
        <v>78.200272178397924</v>
      </c>
      <c r="AF25">
        <f>AVERAGEIFS(dataIntentos[%Reglas respetadas ejecucion],dataIntentos[Nivel],A25,dataIntentos[Intento],B25)</f>
        <v>96.428571428571431</v>
      </c>
      <c r="AG25" cm="1">
        <f t="array" ref="AG25">_xlfn.STDEV.P(IF((dataIntentos[Nivel]=A25)*(dataIntentos[Intento]=B25),dataIntentos[%Reglas respetadas ejecucion]))</f>
        <v>8.7481776527970645</v>
      </c>
      <c r="AH25">
        <f>COUNTIFS(dataIntentos[Nivel],A25,dataIntentos[Intento],B25,dataIntentos[Reglas planificacion cumplidas],"VERDADERO")</f>
        <v>0</v>
      </c>
      <c r="AI25">
        <f>COUNTIFS(dataIntentos[Nivel],A25,dataIntentos[Intento],B25,dataIntentos[Completado],"VERDADERO")</f>
        <v>0</v>
      </c>
    </row>
    <row r="26" spans="1:35" x14ac:dyDescent="0.3">
      <c r="A26">
        <v>2</v>
      </c>
      <c r="B26">
        <v>8</v>
      </c>
      <c r="C26">
        <f>COUNTIFS(dataIntentos[Nivel],A26,dataIntentos[Intento],B26)</f>
        <v>6</v>
      </c>
      <c r="D26">
        <f>AVERAGEIFS(dataIntentos[Pasos planificados],dataIntentos[Nivel],A26,dataIntentos[Intento],B26)</f>
        <v>3.1666666666666665</v>
      </c>
      <c r="E26" cm="1">
        <f t="array" ref="E26">_xlfn.STDEV.P(IF((dataIntentos[Nivel]=A26)*(dataIntentos[Intento]=B26),dataIntentos[Pasos planificados]))</f>
        <v>3.2871804872193366</v>
      </c>
      <c r="F26">
        <f>AVERAGEIFS(dataIntentos[Pasos ejecutados],dataIntentos[Nivel],A26,dataIntentos[Intento],B26)</f>
        <v>2.1666666666666665</v>
      </c>
      <c r="G26" cm="1">
        <f t="array" ref="G26">_xlfn.STDEV.P(IF((dataIntentos[Nivel]=A26)*(dataIntentos[Intento]=B26),dataIntentos[Pasos ejecutados]))</f>
        <v>2.1921577396609844</v>
      </c>
      <c r="H26">
        <f>AVERAGEIFS(dataIntentos[Errores ejecucion],dataIntentos[Nivel],A26,dataIntentos[Intento],B26)</f>
        <v>1</v>
      </c>
      <c r="I26" cm="1">
        <f t="array" ref="I26">_xlfn.STDEV.P(IF((dataIntentos[Nivel]=A26)*(dataIntentos[Intento]=B26),dataIntentos[Errores ejecucion]))</f>
        <v>1.5275252316519468</v>
      </c>
      <c r="J26">
        <f>AVERAGEIFS(dataIntentos[Num dormir planificado],dataIntentos[Nivel],A26,dataIntentos[Intento],B26)</f>
        <v>2</v>
      </c>
      <c r="K26" cm="1">
        <f t="array" ref="K26">_xlfn.STDEV.P(IF((dataIntentos[Nivel]=A26)*(dataIntentos[Intento]=B26),dataIntentos[Num dormir planificado]))</f>
        <v>1.9148542155126762</v>
      </c>
      <c r="L26">
        <f>AVERAGEIFS(dataIntentos[Correctos dormir],dataIntentos[Nivel],A26,dataIntentos[Intento],B26)</f>
        <v>1.8333333333333333</v>
      </c>
      <c r="M26" cm="1">
        <f t="array" ref="M26">_xlfn.STDEV.P(IF((dataIntentos[Nivel]=A26)*(dataIntentos[Intento]=B26),dataIntentos[Correctos dormir]))</f>
        <v>2.0344259359556172</v>
      </c>
      <c r="N26">
        <f>AVERAGEIFS(dataIntentos[Errores dormir],dataIntentos[Nivel],A26,dataIntentos[Intento],B26)</f>
        <v>0.16666666666666666</v>
      </c>
      <c r="O26" cm="1">
        <f t="array" ref="O26">_xlfn.STDEV.P(IF((dataIntentos[Nivel]=A26)*(dataIntentos[Intento]=B26),dataIntentos[Errores dormir]))</f>
        <v>0.37267799624996495</v>
      </c>
      <c r="P26">
        <f>AVERAGEIFS(dataIntentos[Num ubicacion planificado],dataIntentos[Nivel],A26,dataIntentos[Intento],B26)</f>
        <v>1.1666666666666667</v>
      </c>
      <c r="Q26" cm="1">
        <f t="array" ref="Q26">_xlfn.STDEV.P(IF((dataIntentos[Nivel]=A26)*(dataIntentos[Intento]=B26),dataIntentos[Num ubicacion planificado]))</f>
        <v>1.4624940645653537</v>
      </c>
      <c r="R26">
        <f>AVERAGEIFS(dataIntentos[Correctos ubicacion],dataIntentos[Nivel],A26,dataIntentos[Intento],B26)</f>
        <v>0.33333333333333331</v>
      </c>
      <c r="S26" cm="1">
        <f t="array" ref="S26">_xlfn.STDEV.P(IF((dataIntentos[Nivel]=A26)*(dataIntentos[Intento]=B26),dataIntentos[Correctos ubicacion]))</f>
        <v>0.7453559924999299</v>
      </c>
      <c r="T26">
        <f>AVERAGEIFS(dataIntentos[Errores ubicacion],dataIntentos[Nivel],A26,dataIntentos[Intento],B26)</f>
        <v>0.83333333333333337</v>
      </c>
      <c r="U26" cm="1">
        <f t="array" ref="U26">_xlfn.STDEV.P(IF((dataIntentos[Nivel]=A26)*(dataIntentos[Intento]=B26),dataIntentos[Errores ubicacion]))</f>
        <v>1.4624940645653537</v>
      </c>
      <c r="V26">
        <f>AVERAGEIFS(dataIntentos[Paradas posibles],dataIntentos[Nivel],A26,dataIntentos[Intento],B26)</f>
        <v>2.5</v>
      </c>
      <c r="W26" cm="1">
        <f t="array" ref="W26">_xlfn.STDEV.P(IF((dataIntentos[Nivel]=A26)*(dataIntentos[Intento]=B26),dataIntentos[Paradas posibles]))</f>
        <v>1.6072751268321592</v>
      </c>
      <c r="X26">
        <f>AVERAGEIFS(dataIntentos[Paradas realizadas],dataIntentos[Nivel],A26,dataIntentos[Intento],B26)</f>
        <v>2.3333333333333335</v>
      </c>
      <c r="Y26" cm="1">
        <f t="array" ref="Y26">_xlfn.STDEV.P(IF((dataIntentos[Nivel]=A26)*(dataIntentos[Intento]=B26),dataIntentos[Paradas realizadas]))</f>
        <v>1.4907119849998598</v>
      </c>
      <c r="Z26">
        <f>AVERAGEIFS(dataIntentos[Errores parada por tiempo excedido],dataIntentos[Nivel],A26,dataIntentos[Intento],B26)</f>
        <v>0</v>
      </c>
      <c r="AA26" cm="1">
        <f t="array" ref="AA26">_xlfn.STDEV.P(IF((dataIntentos[Nivel]=A26)*(dataIntentos[Intento]=B26),dataIntentos[Errores parada por tiempo excedido]))</f>
        <v>0</v>
      </c>
      <c r="AB26">
        <f>AVERAGEIFS(dataIntentos[Num errores por tiempo excedido],dataIntentos[Nivel],A26,dataIntentos[Intento],B26)</f>
        <v>0.16666666666666666</v>
      </c>
      <c r="AC26" cm="1">
        <f t="array" ref="AC26">_xlfn.STDEV.P(IF((dataIntentos[Nivel]=A26)*(dataIntentos[Intento]=B26),dataIntentos[Num errores por tiempo excedido]))</f>
        <v>0.37267799624996495</v>
      </c>
      <c r="AD26">
        <f>AVERAGEIFS(dataIntentos[Tiempo duracion],dataIntentos[Nivel],A26,dataIntentos[Intento],B26)</f>
        <v>202.52983333333336</v>
      </c>
      <c r="AE26" cm="1">
        <f t="array" ref="AE26">_xlfn.STDEV.P(IF((dataIntentos[Nivel]=A26)*(dataIntentos[Intento]=B26),dataIntentos[Tiempo duracion]))</f>
        <v>182.90590950214141</v>
      </c>
      <c r="AF26">
        <f>AVERAGEIFS(dataIntentos[%Reglas respetadas ejecucion],dataIntentos[Nivel],A26,dataIntentos[Intento],B26)</f>
        <v>87.5</v>
      </c>
      <c r="AG26" cm="1">
        <f t="array" ref="AG26">_xlfn.STDEV.P(IF((dataIntentos[Nivel]=A26)*(dataIntentos[Intento]=B26),dataIntentos[%Reglas respetadas ejecucion]))</f>
        <v>19.094065395649334</v>
      </c>
      <c r="AH26">
        <f>COUNTIFS(dataIntentos[Nivel],A26,dataIntentos[Intento],B26,dataIntentos[Reglas planificacion cumplidas],"VERDADERO")</f>
        <v>0</v>
      </c>
      <c r="AI26">
        <f>COUNTIFS(dataIntentos[Nivel],A26,dataIntentos[Intento],B26,dataIntentos[Completado],"VERDADERO")</f>
        <v>0</v>
      </c>
    </row>
    <row r="27" spans="1:35" x14ac:dyDescent="0.3">
      <c r="A27">
        <v>2</v>
      </c>
      <c r="B27">
        <v>9</v>
      </c>
      <c r="C27">
        <f>COUNTIFS(dataIntentos[Nivel],A27,dataIntentos[Intento],B27)</f>
        <v>6</v>
      </c>
      <c r="D27">
        <f>AVERAGEIFS(dataIntentos[Pasos planificados],dataIntentos[Nivel],A27,dataIntentos[Intento],B27)</f>
        <v>1.5</v>
      </c>
      <c r="E27" cm="1">
        <f t="array" ref="E27">_xlfn.STDEV.P(IF((dataIntentos[Nivel]=A27)*(dataIntentos[Intento]=B27),dataIntentos[Pasos planificados]))</f>
        <v>1.3844373104863459</v>
      </c>
      <c r="F27">
        <f>AVERAGEIFS(dataIntentos[Pasos ejecutados],dataIntentos[Nivel],A27,dataIntentos[Intento],B27)</f>
        <v>1.1666666666666667</v>
      </c>
      <c r="G27" cm="1">
        <f t="array" ref="G27">_xlfn.STDEV.P(IF((dataIntentos[Nivel]=A27)*(dataIntentos[Intento]=B27),dataIntentos[Pasos ejecutados]))</f>
        <v>1.3437096247164249</v>
      </c>
      <c r="H27">
        <f>AVERAGEIFS(dataIntentos[Errores ejecucion],dataIntentos[Nivel],A27,dataIntentos[Intento],B27)</f>
        <v>0.33333333333333331</v>
      </c>
      <c r="I27" cm="1">
        <f t="array" ref="I27">_xlfn.STDEV.P(IF((dataIntentos[Nivel]=A27)*(dataIntentos[Intento]=B27),dataIntentos[Errores ejecucion]))</f>
        <v>0.47140452079103168</v>
      </c>
      <c r="J27">
        <f>AVERAGEIFS(dataIntentos[Num dormir planificado],dataIntentos[Nivel],A27,dataIntentos[Intento],B27)</f>
        <v>0.83333333333333337</v>
      </c>
      <c r="K27" cm="1">
        <f t="array" ref="K27">_xlfn.STDEV.P(IF((dataIntentos[Nivel]=A27)*(dataIntentos[Intento]=B27),dataIntentos[Num dormir planificado]))</f>
        <v>0.68718427093627676</v>
      </c>
      <c r="L27">
        <f>AVERAGEIFS(dataIntentos[Correctos dormir],dataIntentos[Nivel],A27,dataIntentos[Intento],B27)</f>
        <v>0.83333333333333337</v>
      </c>
      <c r="M27" cm="1">
        <f t="array" ref="M27">_xlfn.STDEV.P(IF((dataIntentos[Nivel]=A27)*(dataIntentos[Intento]=B27),dataIntentos[Correctos dormir]))</f>
        <v>0.68718427093627676</v>
      </c>
      <c r="N27">
        <f>AVERAGEIFS(dataIntentos[Errores dormir],dataIntentos[Nivel],A27,dataIntentos[Intento],B27)</f>
        <v>0</v>
      </c>
      <c r="O27" cm="1">
        <f t="array" ref="O27">_xlfn.STDEV.P(IF((dataIntentos[Nivel]=A27)*(dataIntentos[Intento]=B27),dataIntentos[Errores dormir]))</f>
        <v>0</v>
      </c>
      <c r="P27">
        <f>AVERAGEIFS(dataIntentos[Num ubicacion planificado],dataIntentos[Nivel],A27,dataIntentos[Intento],B27)</f>
        <v>0.66666666666666663</v>
      </c>
      <c r="Q27" cm="1">
        <f t="array" ref="Q27">_xlfn.STDEV.P(IF((dataIntentos[Nivel]=A27)*(dataIntentos[Intento]=B27),dataIntentos[Num ubicacion planificado]))</f>
        <v>0.7453559924999299</v>
      </c>
      <c r="R27">
        <f>AVERAGEIFS(dataIntentos[Correctos ubicacion],dataIntentos[Nivel],A27,dataIntentos[Intento],B27)</f>
        <v>0.33333333333333331</v>
      </c>
      <c r="S27" cm="1">
        <f t="array" ref="S27">_xlfn.STDEV.P(IF((dataIntentos[Nivel]=A27)*(dataIntentos[Intento]=B27),dataIntentos[Correctos ubicacion]))</f>
        <v>0.7453559924999299</v>
      </c>
      <c r="T27">
        <f>AVERAGEIFS(dataIntentos[Errores ubicacion],dataIntentos[Nivel],A27,dataIntentos[Intento],B27)</f>
        <v>0.33333333333333331</v>
      </c>
      <c r="U27" cm="1">
        <f t="array" ref="U27">_xlfn.STDEV.P(IF((dataIntentos[Nivel]=A27)*(dataIntentos[Intento]=B27),dataIntentos[Errores ubicacion]))</f>
        <v>0.47140452079103168</v>
      </c>
      <c r="V27">
        <f>AVERAGEIFS(dataIntentos[Paradas posibles],dataIntentos[Nivel],A27,dataIntentos[Intento],B27)</f>
        <v>2.1666666666666665</v>
      </c>
      <c r="W27" cm="1">
        <f t="array" ref="W27">_xlfn.STDEV.P(IF((dataIntentos[Nivel]=A27)*(dataIntentos[Intento]=B27),dataIntentos[Paradas posibles]))</f>
        <v>1.2133516482134197</v>
      </c>
      <c r="X27">
        <f>AVERAGEIFS(dataIntentos[Paradas realizadas],dataIntentos[Nivel],A27,dataIntentos[Intento],B27)</f>
        <v>1.6666666666666667</v>
      </c>
      <c r="Y27" cm="1">
        <f t="array" ref="Y27">_xlfn.STDEV.P(IF((dataIntentos[Nivel]=A27)*(dataIntentos[Intento]=B27),dataIntentos[Paradas realizadas]))</f>
        <v>1.247219128924647</v>
      </c>
      <c r="Z27">
        <f>AVERAGEIFS(dataIntentos[Errores parada por tiempo excedido],dataIntentos[Nivel],A27,dataIntentos[Intento],B27)</f>
        <v>0</v>
      </c>
      <c r="AA27" cm="1">
        <f t="array" ref="AA27">_xlfn.STDEV.P(IF((dataIntentos[Nivel]=A27)*(dataIntentos[Intento]=B27),dataIntentos[Errores parada por tiempo excedido]))</f>
        <v>0</v>
      </c>
      <c r="AB27">
        <f>AVERAGEIFS(dataIntentos[Num errores por tiempo excedido],dataIntentos[Nivel],A27,dataIntentos[Intento],B27)</f>
        <v>0</v>
      </c>
      <c r="AC27" cm="1">
        <f t="array" ref="AC27">_xlfn.STDEV.P(IF((dataIntentos[Nivel]=A27)*(dataIntentos[Intento]=B27),dataIntentos[Num errores por tiempo excedido]))</f>
        <v>0</v>
      </c>
      <c r="AD27">
        <f>AVERAGEIFS(dataIntentos[Tiempo duracion],dataIntentos[Nivel],A27,dataIntentos[Intento],B27)</f>
        <v>162.95066666666668</v>
      </c>
      <c r="AE27" cm="1">
        <f t="array" ref="AE27">_xlfn.STDEV.P(IF((dataIntentos[Nivel]=A27)*(dataIntentos[Intento]=B27),dataIntentos[Tiempo duracion]))</f>
        <v>123.73012326116149</v>
      </c>
      <c r="AF27">
        <f>AVERAGEIFS(dataIntentos[%Reglas respetadas ejecucion],dataIntentos[Nivel],A27,dataIntentos[Intento],B27)</f>
        <v>91.666666666666671</v>
      </c>
      <c r="AG27" cm="1">
        <f t="array" ref="AG27">_xlfn.STDEV.P(IF((dataIntentos[Nivel]=A27)*(dataIntentos[Intento]=B27),dataIntentos[%Reglas respetadas ejecucion]))</f>
        <v>11.785113019775793</v>
      </c>
      <c r="AH27">
        <f>COUNTIFS(dataIntentos[Nivel],A27,dataIntentos[Intento],B27,dataIntentos[Reglas planificacion cumplidas],"VERDADERO")</f>
        <v>0</v>
      </c>
      <c r="AI27">
        <f>COUNTIFS(dataIntentos[Nivel],A27,dataIntentos[Intento],B27,dataIntentos[Completado],"VERDADERO")</f>
        <v>0</v>
      </c>
    </row>
    <row r="28" spans="1:35" x14ac:dyDescent="0.3">
      <c r="A28">
        <v>2</v>
      </c>
      <c r="B28">
        <v>10</v>
      </c>
      <c r="C28">
        <f>COUNTIFS(dataIntentos[Nivel],A28,dataIntentos[Intento],B28)</f>
        <v>5</v>
      </c>
      <c r="D28">
        <f>AVERAGEIFS(dataIntentos[Pasos planificados],dataIntentos[Nivel],A28,dataIntentos[Intento],B28)</f>
        <v>2</v>
      </c>
      <c r="E28" cm="1">
        <f t="array" ref="E28">_xlfn.STDEV.P(IF((dataIntentos[Nivel]=A28)*(dataIntentos[Intento]=B28),dataIntentos[Pasos planificados]))</f>
        <v>1.7888543819998317</v>
      </c>
      <c r="F28">
        <f>AVERAGEIFS(dataIntentos[Pasos ejecutados],dataIntentos[Nivel],A28,dataIntentos[Intento],B28)</f>
        <v>2</v>
      </c>
      <c r="G28" cm="1">
        <f t="array" ref="G28">_xlfn.STDEV.P(IF((dataIntentos[Nivel]=A28)*(dataIntentos[Intento]=B28),dataIntentos[Pasos ejecutados]))</f>
        <v>1.7888543819998317</v>
      </c>
      <c r="H28">
        <f>AVERAGEIFS(dataIntentos[Errores ejecucion],dataIntentos[Nivel],A28,dataIntentos[Intento],B28)</f>
        <v>0</v>
      </c>
      <c r="I28" cm="1">
        <f t="array" ref="I28">_xlfn.STDEV.P(IF((dataIntentos[Nivel]=A28)*(dataIntentos[Intento]=B28),dataIntentos[Errores ejecucion]))</f>
        <v>0</v>
      </c>
      <c r="J28">
        <f>AVERAGEIFS(dataIntentos[Num dormir planificado],dataIntentos[Nivel],A28,dataIntentos[Intento],B28)</f>
        <v>0.8</v>
      </c>
      <c r="K28" cm="1">
        <f t="array" ref="K28">_xlfn.STDEV.P(IF((dataIntentos[Nivel]=A28)*(dataIntentos[Intento]=B28),dataIntentos[Num dormir planificado]))</f>
        <v>0.74833147735478833</v>
      </c>
      <c r="L28">
        <f>AVERAGEIFS(dataIntentos[Correctos dormir],dataIntentos[Nivel],A28,dataIntentos[Intento],B28)</f>
        <v>0.8</v>
      </c>
      <c r="M28" cm="1">
        <f t="array" ref="M28">_xlfn.STDEV.P(IF((dataIntentos[Nivel]=A28)*(dataIntentos[Intento]=B28),dataIntentos[Correctos dormir]))</f>
        <v>0.74833147735478833</v>
      </c>
      <c r="N28">
        <f>AVERAGEIFS(dataIntentos[Errores dormir],dataIntentos[Nivel],A28,dataIntentos[Intento],B28)</f>
        <v>0</v>
      </c>
      <c r="O28" cm="1">
        <f t="array" ref="O28">_xlfn.STDEV.P(IF((dataIntentos[Nivel]=A28)*(dataIntentos[Intento]=B28),dataIntentos[Errores dormir]))</f>
        <v>0</v>
      </c>
      <c r="P28">
        <f>AVERAGEIFS(dataIntentos[Num ubicacion planificado],dataIntentos[Nivel],A28,dataIntentos[Intento],B28)</f>
        <v>1.2</v>
      </c>
      <c r="Q28" cm="1">
        <f t="array" ref="Q28">_xlfn.STDEV.P(IF((dataIntentos[Nivel]=A28)*(dataIntentos[Intento]=B28),dataIntentos[Num ubicacion planificado]))</f>
        <v>1.1661903789690602</v>
      </c>
      <c r="R28">
        <f>AVERAGEIFS(dataIntentos[Correctos ubicacion],dataIntentos[Nivel],A28,dataIntentos[Intento],B28)</f>
        <v>1.2</v>
      </c>
      <c r="S28" cm="1">
        <f t="array" ref="S28">_xlfn.STDEV.P(IF((dataIntentos[Nivel]=A28)*(dataIntentos[Intento]=B28),dataIntentos[Correctos ubicacion]))</f>
        <v>1.1661903789690602</v>
      </c>
      <c r="T28">
        <f>AVERAGEIFS(dataIntentos[Errores ubicacion],dataIntentos[Nivel],A28,dataIntentos[Intento],B28)</f>
        <v>0</v>
      </c>
      <c r="U28" cm="1">
        <f t="array" ref="U28">_xlfn.STDEV.P(IF((dataIntentos[Nivel]=A28)*(dataIntentos[Intento]=B28),dataIntentos[Errores ubicacion]))</f>
        <v>0</v>
      </c>
      <c r="V28">
        <f>AVERAGEIFS(dataIntentos[Paradas posibles],dataIntentos[Nivel],A28,dataIntentos[Intento],B28)</f>
        <v>2</v>
      </c>
      <c r="W28" cm="1">
        <f t="array" ref="W28">_xlfn.STDEV.P(IF((dataIntentos[Nivel]=A28)*(dataIntentos[Intento]=B28),dataIntentos[Paradas posibles]))</f>
        <v>1.7888543819998317</v>
      </c>
      <c r="X28">
        <f>AVERAGEIFS(dataIntentos[Paradas realizadas],dataIntentos[Nivel],A28,dataIntentos[Intento],B28)</f>
        <v>1.4</v>
      </c>
      <c r="Y28" cm="1">
        <f t="array" ref="Y28">_xlfn.STDEV.P(IF((dataIntentos[Nivel]=A28)*(dataIntentos[Intento]=B28),dataIntentos[Paradas realizadas]))</f>
        <v>1.2</v>
      </c>
      <c r="Z28">
        <f>AVERAGEIFS(dataIntentos[Errores parada por tiempo excedido],dataIntentos[Nivel],A28,dataIntentos[Intento],B28)</f>
        <v>0</v>
      </c>
      <c r="AA28" cm="1">
        <f t="array" ref="AA28">_xlfn.STDEV.P(IF((dataIntentos[Nivel]=A28)*(dataIntentos[Intento]=B28),dataIntentos[Errores parada por tiempo excedido]))</f>
        <v>0</v>
      </c>
      <c r="AB28">
        <f>AVERAGEIFS(dataIntentos[Num errores por tiempo excedido],dataIntentos[Nivel],A28,dataIntentos[Intento],B28)</f>
        <v>0</v>
      </c>
      <c r="AC28" cm="1">
        <f t="array" ref="AC28">_xlfn.STDEV.P(IF((dataIntentos[Nivel]=A28)*(dataIntentos[Intento]=B28),dataIntentos[Num errores por tiempo excedido]))</f>
        <v>0</v>
      </c>
      <c r="AD28">
        <f>AVERAGEIFS(dataIntentos[Tiempo duracion],dataIntentos[Nivel],A28,dataIntentos[Intento],B28)</f>
        <v>139.6388</v>
      </c>
      <c r="AE28" cm="1">
        <f t="array" ref="AE28">_xlfn.STDEV.P(IF((dataIntentos[Nivel]=A28)*(dataIntentos[Intento]=B28),dataIntentos[Tiempo duracion]))</f>
        <v>81.765607658477052</v>
      </c>
      <c r="AF28">
        <f>AVERAGEIFS(dataIntentos[%Reglas respetadas ejecucion],dataIntentos[Nivel],A28,dataIntentos[Intento],B28)</f>
        <v>100</v>
      </c>
      <c r="AG28" cm="1">
        <f t="array" ref="AG28">_xlfn.STDEV.P(IF((dataIntentos[Nivel]=A28)*(dataIntentos[Intento]=B28),dataIntentos[%Reglas respetadas ejecucion]))</f>
        <v>0</v>
      </c>
      <c r="AH28">
        <f>COUNTIFS(dataIntentos[Nivel],A28,dataIntentos[Intento],B28,dataIntentos[Reglas planificacion cumplidas],"VERDADERO")</f>
        <v>0</v>
      </c>
      <c r="AI28">
        <f>COUNTIFS(dataIntentos[Nivel],A28,dataIntentos[Intento],B28,dataIntentos[Completado],"VERDADERO")</f>
        <v>0</v>
      </c>
    </row>
    <row r="29" spans="1:35" x14ac:dyDescent="0.3">
      <c r="A29">
        <v>2</v>
      </c>
      <c r="B29">
        <v>11</v>
      </c>
      <c r="C29">
        <f>COUNTIFS(dataIntentos[Nivel],A29,dataIntentos[Intento],B29)</f>
        <v>4</v>
      </c>
      <c r="D29">
        <f>AVERAGEIFS(dataIntentos[Pasos planificados],dataIntentos[Nivel],A29,dataIntentos[Intento],B29)</f>
        <v>1.75</v>
      </c>
      <c r="E29" cm="1">
        <f t="array" ref="E29">_xlfn.STDEV.P(IF((dataIntentos[Nivel]=A29)*(dataIntentos[Intento]=B29),dataIntentos[Pasos planificados]))</f>
        <v>1.479019945774904</v>
      </c>
      <c r="F29">
        <f>AVERAGEIFS(dataIntentos[Pasos ejecutados],dataIntentos[Nivel],A29,dataIntentos[Intento],B29)</f>
        <v>1</v>
      </c>
      <c r="G29" cm="1">
        <f t="array" ref="G29">_xlfn.STDEV.P(IF((dataIntentos[Nivel]=A29)*(dataIntentos[Intento]=B29),dataIntentos[Pasos ejecutados]))</f>
        <v>0.70710678118654757</v>
      </c>
      <c r="H29">
        <f>AVERAGEIFS(dataIntentos[Errores ejecucion],dataIntentos[Nivel],A29,dataIntentos[Intento],B29)</f>
        <v>0.75</v>
      </c>
      <c r="I29" cm="1">
        <f t="array" ref="I29">_xlfn.STDEV.P(IF((dataIntentos[Nivel]=A29)*(dataIntentos[Intento]=B29),dataIntentos[Errores ejecucion]))</f>
        <v>0.82915619758884995</v>
      </c>
      <c r="J29">
        <f>AVERAGEIFS(dataIntentos[Num dormir planificado],dataIntentos[Nivel],A29,dataIntentos[Intento],B29)</f>
        <v>1.25</v>
      </c>
      <c r="K29" cm="1">
        <f t="array" ref="K29">_xlfn.STDEV.P(IF((dataIntentos[Nivel]=A29)*(dataIntentos[Intento]=B29),dataIntentos[Num dormir planificado]))</f>
        <v>1.0897247358851685</v>
      </c>
      <c r="L29">
        <f>AVERAGEIFS(dataIntentos[Correctos dormir],dataIntentos[Nivel],A29,dataIntentos[Intento],B29)</f>
        <v>1</v>
      </c>
      <c r="M29" cm="1">
        <f t="array" ref="M29">_xlfn.STDEV.P(IF((dataIntentos[Nivel]=A29)*(dataIntentos[Intento]=B29),dataIntentos[Correctos dormir]))</f>
        <v>0.70710678118654757</v>
      </c>
      <c r="N29">
        <f>AVERAGEIFS(dataIntentos[Errores dormir],dataIntentos[Nivel],A29,dataIntentos[Intento],B29)</f>
        <v>0.25</v>
      </c>
      <c r="O29" cm="1">
        <f t="array" ref="O29">_xlfn.STDEV.P(IF((dataIntentos[Nivel]=A29)*(dataIntentos[Intento]=B29),dataIntentos[Errores dormir]))</f>
        <v>0.4330127018922193</v>
      </c>
      <c r="P29">
        <f>AVERAGEIFS(dataIntentos[Num ubicacion planificado],dataIntentos[Nivel],A29,dataIntentos[Intento],B29)</f>
        <v>0.5</v>
      </c>
      <c r="Q29" cm="1">
        <f t="array" ref="Q29">_xlfn.STDEV.P(IF((dataIntentos[Nivel]=A29)*(dataIntentos[Intento]=B29),dataIntentos[Num ubicacion planificado]))</f>
        <v>0.5</v>
      </c>
      <c r="R29">
        <f>AVERAGEIFS(dataIntentos[Correctos ubicacion],dataIntentos[Nivel],A29,dataIntentos[Intento],B29)</f>
        <v>0</v>
      </c>
      <c r="S29" cm="1">
        <f t="array" ref="S29">_xlfn.STDEV.P(IF((dataIntentos[Nivel]=A29)*(dataIntentos[Intento]=B29),dataIntentos[Correctos ubicacion]))</f>
        <v>0</v>
      </c>
      <c r="T29">
        <f>AVERAGEIFS(dataIntentos[Errores ubicacion],dataIntentos[Nivel],A29,dataIntentos[Intento],B29)</f>
        <v>0.5</v>
      </c>
      <c r="U29" cm="1">
        <f t="array" ref="U29">_xlfn.STDEV.P(IF((dataIntentos[Nivel]=A29)*(dataIntentos[Intento]=B29),dataIntentos[Errores ubicacion]))</f>
        <v>0.5</v>
      </c>
      <c r="V29">
        <f>AVERAGEIFS(dataIntentos[Paradas posibles],dataIntentos[Nivel],A29,dataIntentos[Intento],B29)</f>
        <v>2</v>
      </c>
      <c r="W29" cm="1">
        <f t="array" ref="W29">_xlfn.STDEV.P(IF((dataIntentos[Nivel]=A29)*(dataIntentos[Intento]=B29),dataIntentos[Paradas posibles]))</f>
        <v>1.5811388300841898</v>
      </c>
      <c r="X29">
        <f>AVERAGEIFS(dataIntentos[Paradas realizadas],dataIntentos[Nivel],A29,dataIntentos[Intento],B29)</f>
        <v>1.25</v>
      </c>
      <c r="Y29" cm="1">
        <f t="array" ref="Y29">_xlfn.STDEV.P(IF((dataIntentos[Nivel]=A29)*(dataIntentos[Intento]=B29),dataIntentos[Paradas realizadas]))</f>
        <v>1.299038105676658</v>
      </c>
      <c r="Z29">
        <f>AVERAGEIFS(dataIntentos[Errores parada por tiempo excedido],dataIntentos[Nivel],A29,dataIntentos[Intento],B29)</f>
        <v>0.25</v>
      </c>
      <c r="AA29" cm="1">
        <f t="array" ref="AA29">_xlfn.STDEV.P(IF((dataIntentos[Nivel]=A29)*(dataIntentos[Intento]=B29),dataIntentos[Errores parada por tiempo excedido]))</f>
        <v>0.4330127018922193</v>
      </c>
      <c r="AB29">
        <f>AVERAGEIFS(dataIntentos[Num errores por tiempo excedido],dataIntentos[Nivel],A29,dataIntentos[Intento],B29)</f>
        <v>0.5</v>
      </c>
      <c r="AC29" cm="1">
        <f t="array" ref="AC29">_xlfn.STDEV.P(IF((dataIntentos[Nivel]=A29)*(dataIntentos[Intento]=B29),dataIntentos[Num errores por tiempo excedido]))</f>
        <v>0.8660254037844386</v>
      </c>
      <c r="AD29">
        <f>AVERAGEIFS(dataIntentos[Tiempo duracion],dataIntentos[Nivel],A29,dataIntentos[Intento],B29)</f>
        <v>127.81025</v>
      </c>
      <c r="AE29" cm="1">
        <f t="array" ref="AE29">_xlfn.STDEV.P(IF((dataIntentos[Nivel]=A29)*(dataIntentos[Intento]=B29),dataIntentos[Tiempo duracion]))</f>
        <v>100.6879990524566</v>
      </c>
      <c r="AF29">
        <f>AVERAGEIFS(dataIntentos[%Reglas respetadas ejecucion],dataIntentos[Nivel],A29,dataIntentos[Intento],B29)</f>
        <v>75</v>
      </c>
      <c r="AG29" cm="1">
        <f t="array" ref="AG29">_xlfn.STDEV.P(IF((dataIntentos[Nivel]=A29)*(dataIntentos[Intento]=B29),dataIntentos[%Reglas respetadas ejecucion]))</f>
        <v>30.618621784789728</v>
      </c>
      <c r="AH29">
        <f>COUNTIFS(dataIntentos[Nivel],A29,dataIntentos[Intento],B29,dataIntentos[Reglas planificacion cumplidas],"VERDADERO")</f>
        <v>0</v>
      </c>
      <c r="AI29">
        <f>COUNTIFS(dataIntentos[Nivel],A29,dataIntentos[Intento],B29,dataIntentos[Completado],"VERDADERO")</f>
        <v>0</v>
      </c>
    </row>
    <row r="30" spans="1:35" x14ac:dyDescent="0.3">
      <c r="A30">
        <v>2</v>
      </c>
      <c r="B30">
        <v>12</v>
      </c>
      <c r="C30">
        <f>COUNTIFS(dataIntentos[Nivel],A30,dataIntentos[Intento],B30)</f>
        <v>2</v>
      </c>
      <c r="D30">
        <f>AVERAGEIFS(dataIntentos[Pasos planificados],dataIntentos[Nivel],A30,dataIntentos[Intento],B30)</f>
        <v>1</v>
      </c>
      <c r="E30" cm="1">
        <f t="array" ref="E30">_xlfn.STDEV.P(IF((dataIntentos[Nivel]=A30)*(dataIntentos[Intento]=B30),dataIntentos[Pasos planificados]))</f>
        <v>1</v>
      </c>
      <c r="F30">
        <f>AVERAGEIFS(dataIntentos[Pasos ejecutados],dataIntentos[Nivel],A30,dataIntentos[Intento],B30)</f>
        <v>0.5</v>
      </c>
      <c r="G30" cm="1">
        <f t="array" ref="G30">_xlfn.STDEV.P(IF((dataIntentos[Nivel]=A30)*(dataIntentos[Intento]=B30),dataIntentos[Pasos ejecutados]))</f>
        <v>0.5</v>
      </c>
      <c r="H30">
        <f>AVERAGEIFS(dataIntentos[Errores ejecucion],dataIntentos[Nivel],A30,dataIntentos[Intento],B30)</f>
        <v>0.5</v>
      </c>
      <c r="I30" cm="1">
        <f t="array" ref="I30">_xlfn.STDEV.P(IF((dataIntentos[Nivel]=A30)*(dataIntentos[Intento]=B30),dataIntentos[Errores ejecucion]))</f>
        <v>0.5</v>
      </c>
      <c r="J30">
        <f>AVERAGEIFS(dataIntentos[Num dormir planificado],dataIntentos[Nivel],A30,dataIntentos[Intento],B30)</f>
        <v>0.5</v>
      </c>
      <c r="K30" cm="1">
        <f t="array" ref="K30">_xlfn.STDEV.P(IF((dataIntentos[Nivel]=A30)*(dataIntentos[Intento]=B30),dataIntentos[Num dormir planificado]))</f>
        <v>0.5</v>
      </c>
      <c r="L30">
        <f>AVERAGEIFS(dataIntentos[Correctos dormir],dataIntentos[Nivel],A30,dataIntentos[Intento],B30)</f>
        <v>0.5</v>
      </c>
      <c r="M30" cm="1">
        <f t="array" ref="M30">_xlfn.STDEV.P(IF((dataIntentos[Nivel]=A30)*(dataIntentos[Intento]=B30),dataIntentos[Correctos dormir]))</f>
        <v>0.5</v>
      </c>
      <c r="N30">
        <f>AVERAGEIFS(dataIntentos[Errores dormir],dataIntentos[Nivel],A30,dataIntentos[Intento],B30)</f>
        <v>0</v>
      </c>
      <c r="O30" cm="1">
        <f t="array" ref="O30">_xlfn.STDEV.P(IF((dataIntentos[Nivel]=A30)*(dataIntentos[Intento]=B30),dataIntentos[Errores dormir]))</f>
        <v>0</v>
      </c>
      <c r="P30">
        <f>AVERAGEIFS(dataIntentos[Num ubicacion planificado],dataIntentos[Nivel],A30,dataIntentos[Intento],B30)</f>
        <v>0.5</v>
      </c>
      <c r="Q30" cm="1">
        <f t="array" ref="Q30">_xlfn.STDEV.P(IF((dataIntentos[Nivel]=A30)*(dataIntentos[Intento]=B30),dataIntentos[Num ubicacion planificado]))</f>
        <v>0.5</v>
      </c>
      <c r="R30">
        <f>AVERAGEIFS(dataIntentos[Correctos ubicacion],dataIntentos[Nivel],A30,dataIntentos[Intento],B30)</f>
        <v>0</v>
      </c>
      <c r="S30" cm="1">
        <f t="array" ref="S30">_xlfn.STDEV.P(IF((dataIntentos[Nivel]=A30)*(dataIntentos[Intento]=B30),dataIntentos[Correctos ubicacion]))</f>
        <v>0</v>
      </c>
      <c r="T30">
        <f>AVERAGEIFS(dataIntentos[Errores ubicacion],dataIntentos[Nivel],A30,dataIntentos[Intento],B30)</f>
        <v>0.5</v>
      </c>
      <c r="U30" cm="1">
        <f t="array" ref="U30">_xlfn.STDEV.P(IF((dataIntentos[Nivel]=A30)*(dataIntentos[Intento]=B30),dataIntentos[Errores ubicacion]))</f>
        <v>0.5</v>
      </c>
      <c r="V30">
        <f>AVERAGEIFS(dataIntentos[Paradas posibles],dataIntentos[Nivel],A30,dataIntentos[Intento],B30)</f>
        <v>2</v>
      </c>
      <c r="W30" cm="1">
        <f t="array" ref="W30">_xlfn.STDEV.P(IF((dataIntentos[Nivel]=A30)*(dataIntentos[Intento]=B30),dataIntentos[Paradas posibles]))</f>
        <v>1</v>
      </c>
      <c r="X30">
        <f>AVERAGEIFS(dataIntentos[Paradas realizadas],dataIntentos[Nivel],A30,dataIntentos[Intento],B30)</f>
        <v>2</v>
      </c>
      <c r="Y30" cm="1">
        <f t="array" ref="Y30">_xlfn.STDEV.P(IF((dataIntentos[Nivel]=A30)*(dataIntentos[Intento]=B30),dataIntentos[Paradas realizadas]))</f>
        <v>1</v>
      </c>
      <c r="Z30">
        <f>AVERAGEIFS(dataIntentos[Errores parada por tiempo excedido],dataIntentos[Nivel],A30,dataIntentos[Intento],B30)</f>
        <v>0</v>
      </c>
      <c r="AA30" cm="1">
        <f t="array" ref="AA30">_xlfn.STDEV.P(IF((dataIntentos[Nivel]=A30)*(dataIntentos[Intento]=B30),dataIntentos[Errores parada por tiempo excedido]))</f>
        <v>0</v>
      </c>
      <c r="AB30">
        <f>AVERAGEIFS(dataIntentos[Num errores por tiempo excedido],dataIntentos[Nivel],A30,dataIntentos[Intento],B30)</f>
        <v>0</v>
      </c>
      <c r="AC30" cm="1">
        <f t="array" ref="AC30">_xlfn.STDEV.P(IF((dataIntentos[Nivel]=A30)*(dataIntentos[Intento]=B30),dataIntentos[Num errores por tiempo excedido]))</f>
        <v>0</v>
      </c>
      <c r="AD30">
        <f>AVERAGEIFS(dataIntentos[Tiempo duracion],dataIntentos[Nivel],A30,dataIntentos[Intento],B30)</f>
        <v>49.429000000000002</v>
      </c>
      <c r="AE30" cm="1">
        <f t="array" ref="AE30">_xlfn.STDEV.P(IF((dataIntentos[Nivel]=A30)*(dataIntentos[Intento]=B30),dataIntentos[Tiempo duracion]))</f>
        <v>20.086999999999996</v>
      </c>
      <c r="AF30">
        <f>AVERAGEIFS(dataIntentos[%Reglas respetadas ejecucion],dataIntentos[Nivel],A30,dataIntentos[Intento],B30)</f>
        <v>87.5</v>
      </c>
      <c r="AG30" cm="1">
        <f t="array" ref="AG30">_xlfn.STDEV.P(IF((dataIntentos[Nivel]=A30)*(dataIntentos[Intento]=B30),dataIntentos[%Reglas respetadas ejecucion]))</f>
        <v>12.5</v>
      </c>
      <c r="AH30">
        <f>COUNTIFS(dataIntentos[Nivel],A30,dataIntentos[Intento],B30,dataIntentos[Reglas planificacion cumplidas],"VERDADERO")</f>
        <v>0</v>
      </c>
      <c r="AI30">
        <f>COUNTIFS(dataIntentos[Nivel],A30,dataIntentos[Intento],B30,dataIntentos[Completado],"VERDADERO")</f>
        <v>0</v>
      </c>
    </row>
    <row r="31" spans="1:35" x14ac:dyDescent="0.3">
      <c r="A31">
        <v>2</v>
      </c>
      <c r="B31">
        <v>13</v>
      </c>
      <c r="C31">
        <f>COUNTIFS(dataIntentos[Nivel],A31,dataIntentos[Intento],B31)</f>
        <v>2</v>
      </c>
      <c r="D31">
        <f>AVERAGEIFS(dataIntentos[Pasos planificados],dataIntentos[Nivel],A31,dataIntentos[Intento],B31)</f>
        <v>0.5</v>
      </c>
      <c r="E31" cm="1">
        <f t="array" ref="E31">_xlfn.STDEV.P(IF((dataIntentos[Nivel]=A31)*(dataIntentos[Intento]=B31),dataIntentos[Pasos planificados]))</f>
        <v>0.5</v>
      </c>
      <c r="F31">
        <f>AVERAGEIFS(dataIntentos[Pasos ejecutados],dataIntentos[Nivel],A31,dataIntentos[Intento],B31)</f>
        <v>0</v>
      </c>
      <c r="G31" cm="1">
        <f t="array" ref="G31">_xlfn.STDEV.P(IF((dataIntentos[Nivel]=A31)*(dataIntentos[Intento]=B31),dataIntentos[Pasos ejecutados]))</f>
        <v>0</v>
      </c>
      <c r="H31">
        <f>AVERAGEIFS(dataIntentos[Errores ejecucion],dataIntentos[Nivel],A31,dataIntentos[Intento],B31)</f>
        <v>0.5</v>
      </c>
      <c r="I31" cm="1">
        <f t="array" ref="I31">_xlfn.STDEV.P(IF((dataIntentos[Nivel]=A31)*(dataIntentos[Intento]=B31),dataIntentos[Errores ejecucion]))</f>
        <v>0.5</v>
      </c>
      <c r="J31">
        <f>AVERAGEIFS(dataIntentos[Num dormir planificado],dataIntentos[Nivel],A31,dataIntentos[Intento],B31)</f>
        <v>0</v>
      </c>
      <c r="K31" cm="1">
        <f t="array" ref="K31">_xlfn.STDEV.P(IF((dataIntentos[Nivel]=A31)*(dataIntentos[Intento]=B31),dataIntentos[Num dormir planificado]))</f>
        <v>0</v>
      </c>
      <c r="L31">
        <f>AVERAGEIFS(dataIntentos[Correctos dormir],dataIntentos[Nivel],A31,dataIntentos[Intento],B31)</f>
        <v>0</v>
      </c>
      <c r="M31" cm="1">
        <f t="array" ref="M31">_xlfn.STDEV.P(IF((dataIntentos[Nivel]=A31)*(dataIntentos[Intento]=B31),dataIntentos[Correctos dormir]))</f>
        <v>0</v>
      </c>
      <c r="N31">
        <f>AVERAGEIFS(dataIntentos[Errores dormir],dataIntentos[Nivel],A31,dataIntentos[Intento],B31)</f>
        <v>0</v>
      </c>
      <c r="O31" cm="1">
        <f t="array" ref="O31">_xlfn.STDEV.P(IF((dataIntentos[Nivel]=A31)*(dataIntentos[Intento]=B31),dataIntentos[Errores dormir]))</f>
        <v>0</v>
      </c>
      <c r="P31">
        <f>AVERAGEIFS(dataIntentos[Num ubicacion planificado],dataIntentos[Nivel],A31,dataIntentos[Intento],B31)</f>
        <v>0.5</v>
      </c>
      <c r="Q31" cm="1">
        <f t="array" ref="Q31">_xlfn.STDEV.P(IF((dataIntentos[Nivel]=A31)*(dataIntentos[Intento]=B31),dataIntentos[Num ubicacion planificado]))</f>
        <v>0.5</v>
      </c>
      <c r="R31">
        <f>AVERAGEIFS(dataIntentos[Correctos ubicacion],dataIntentos[Nivel],A31,dataIntentos[Intento],B31)</f>
        <v>0</v>
      </c>
      <c r="S31" cm="1">
        <f t="array" ref="S31">_xlfn.STDEV.P(IF((dataIntentos[Nivel]=A31)*(dataIntentos[Intento]=B31),dataIntentos[Correctos ubicacion]))</f>
        <v>0</v>
      </c>
      <c r="T31">
        <f>AVERAGEIFS(dataIntentos[Errores ubicacion],dataIntentos[Nivel],A31,dataIntentos[Intento],B31)</f>
        <v>0.5</v>
      </c>
      <c r="U31" cm="1">
        <f t="array" ref="U31">_xlfn.STDEV.P(IF((dataIntentos[Nivel]=A31)*(dataIntentos[Intento]=B31),dataIntentos[Errores ubicacion]))</f>
        <v>0.5</v>
      </c>
      <c r="V31">
        <f>AVERAGEIFS(dataIntentos[Paradas posibles],dataIntentos[Nivel],A31,dataIntentos[Intento],B31)</f>
        <v>2</v>
      </c>
      <c r="W31" cm="1">
        <f t="array" ref="W31">_xlfn.STDEV.P(IF((dataIntentos[Nivel]=A31)*(dataIntentos[Intento]=B31),dataIntentos[Paradas posibles]))</f>
        <v>2</v>
      </c>
      <c r="X31">
        <f>AVERAGEIFS(dataIntentos[Paradas realizadas],dataIntentos[Nivel],A31,dataIntentos[Intento],B31)</f>
        <v>2</v>
      </c>
      <c r="Y31" cm="1">
        <f t="array" ref="Y31">_xlfn.STDEV.P(IF((dataIntentos[Nivel]=A31)*(dataIntentos[Intento]=B31),dataIntentos[Paradas realizadas]))</f>
        <v>2</v>
      </c>
      <c r="Z31">
        <f>AVERAGEIFS(dataIntentos[Errores parada por tiempo excedido],dataIntentos[Nivel],A31,dataIntentos[Intento],B31)</f>
        <v>0</v>
      </c>
      <c r="AA31" cm="1">
        <f t="array" ref="AA31">_xlfn.STDEV.P(IF((dataIntentos[Nivel]=A31)*(dataIntentos[Intento]=B31),dataIntentos[Errores parada por tiempo excedido]))</f>
        <v>0</v>
      </c>
      <c r="AB31">
        <f>AVERAGEIFS(dataIntentos[Num errores por tiempo excedido],dataIntentos[Nivel],A31,dataIntentos[Intento],B31)</f>
        <v>0</v>
      </c>
      <c r="AC31" cm="1">
        <f t="array" ref="AC31">_xlfn.STDEV.P(IF((dataIntentos[Nivel]=A31)*(dataIntentos[Intento]=B31),dataIntentos[Num errores por tiempo excedido]))</f>
        <v>0</v>
      </c>
      <c r="AD31">
        <f>AVERAGEIFS(dataIntentos[Tiempo duracion],dataIntentos[Nivel],A31,dataIntentos[Intento],B31)</f>
        <v>42.766999999999996</v>
      </c>
      <c r="AE31" cm="1">
        <f t="array" ref="AE31">_xlfn.STDEV.P(IF((dataIntentos[Nivel]=A31)*(dataIntentos[Intento]=B31),dataIntentos[Tiempo duracion]))</f>
        <v>13.248000000000012</v>
      </c>
      <c r="AF31">
        <f>AVERAGEIFS(dataIntentos[%Reglas respetadas ejecucion],dataIntentos[Nivel],A31,dataIntentos[Intento],B31)</f>
        <v>87.5</v>
      </c>
      <c r="AG31" cm="1">
        <f t="array" ref="AG31">_xlfn.STDEV.P(IF((dataIntentos[Nivel]=A31)*(dataIntentos[Intento]=B31),dataIntentos[%Reglas respetadas ejecucion]))</f>
        <v>12.5</v>
      </c>
      <c r="AH31">
        <f>COUNTIFS(dataIntentos[Nivel],A31,dataIntentos[Intento],B31,dataIntentos[Reglas planificacion cumplidas],"VERDADERO")</f>
        <v>1</v>
      </c>
      <c r="AI31">
        <f>COUNTIFS(dataIntentos[Nivel],A31,dataIntentos[Intento],B31,dataIntentos[Completado],"VERDADERO")</f>
        <v>1</v>
      </c>
    </row>
    <row r="32" spans="1:35" x14ac:dyDescent="0.3">
      <c r="A32">
        <v>2</v>
      </c>
      <c r="B32">
        <v>14</v>
      </c>
      <c r="C32">
        <f>COUNTIFS(dataIntentos[Nivel],A32,dataIntentos[Intento],B32)</f>
        <v>2</v>
      </c>
      <c r="D32">
        <f>AVERAGEIFS(dataIntentos[Pasos planificados],dataIntentos[Nivel],A32,dataIntentos[Intento],B32)</f>
        <v>1</v>
      </c>
      <c r="E32" cm="1">
        <f t="array" ref="E32">_xlfn.STDEV.P(IF((dataIntentos[Nivel]=A32)*(dataIntentos[Intento]=B32),dataIntentos[Pasos planificados]))</f>
        <v>1</v>
      </c>
      <c r="F32">
        <f>AVERAGEIFS(dataIntentos[Pasos ejecutados],dataIntentos[Nivel],A32,dataIntentos[Intento],B32)</f>
        <v>0.5</v>
      </c>
      <c r="G32" cm="1">
        <f t="array" ref="G32">_xlfn.STDEV.P(IF((dataIntentos[Nivel]=A32)*(dataIntentos[Intento]=B32),dataIntentos[Pasos ejecutados]))</f>
        <v>0.5</v>
      </c>
      <c r="H32">
        <f>AVERAGEIFS(dataIntentos[Errores ejecucion],dataIntentos[Nivel],A32,dataIntentos[Intento],B32)</f>
        <v>0.5</v>
      </c>
      <c r="I32" cm="1">
        <f t="array" ref="I32">_xlfn.STDEV.P(IF((dataIntentos[Nivel]=A32)*(dataIntentos[Intento]=B32),dataIntentos[Errores ejecucion]))</f>
        <v>0.5</v>
      </c>
      <c r="J32">
        <f>AVERAGEIFS(dataIntentos[Num dormir planificado],dataIntentos[Nivel],A32,dataIntentos[Intento],B32)</f>
        <v>0.5</v>
      </c>
      <c r="K32" cm="1">
        <f t="array" ref="K32">_xlfn.STDEV.P(IF((dataIntentos[Nivel]=A32)*(dataIntentos[Intento]=B32),dataIntentos[Num dormir planificado]))</f>
        <v>0.5</v>
      </c>
      <c r="L32">
        <f>AVERAGEIFS(dataIntentos[Correctos dormir],dataIntentos[Nivel],A32,dataIntentos[Intento],B32)</f>
        <v>0.5</v>
      </c>
      <c r="M32" cm="1">
        <f t="array" ref="M32">_xlfn.STDEV.P(IF((dataIntentos[Nivel]=A32)*(dataIntentos[Intento]=B32),dataIntentos[Correctos dormir]))</f>
        <v>0.5</v>
      </c>
      <c r="N32">
        <f>AVERAGEIFS(dataIntentos[Errores dormir],dataIntentos[Nivel],A32,dataIntentos[Intento],B32)</f>
        <v>0</v>
      </c>
      <c r="O32" cm="1">
        <f t="array" ref="O32">_xlfn.STDEV.P(IF((dataIntentos[Nivel]=A32)*(dataIntentos[Intento]=B32),dataIntentos[Errores dormir]))</f>
        <v>0</v>
      </c>
      <c r="P32">
        <f>AVERAGEIFS(dataIntentos[Num ubicacion planificado],dataIntentos[Nivel],A32,dataIntentos[Intento],B32)</f>
        <v>0.5</v>
      </c>
      <c r="Q32" cm="1">
        <f t="array" ref="Q32">_xlfn.STDEV.P(IF((dataIntentos[Nivel]=A32)*(dataIntentos[Intento]=B32),dataIntentos[Num ubicacion planificado]))</f>
        <v>0.5</v>
      </c>
      <c r="R32">
        <f>AVERAGEIFS(dataIntentos[Correctos ubicacion],dataIntentos[Nivel],A32,dataIntentos[Intento],B32)</f>
        <v>0</v>
      </c>
      <c r="S32" cm="1">
        <f t="array" ref="S32">_xlfn.STDEV.P(IF((dataIntentos[Nivel]=A32)*(dataIntentos[Intento]=B32),dataIntentos[Correctos ubicacion]))</f>
        <v>0</v>
      </c>
      <c r="T32">
        <f>AVERAGEIFS(dataIntentos[Errores ubicacion],dataIntentos[Nivel],A32,dataIntentos[Intento],B32)</f>
        <v>0.5</v>
      </c>
      <c r="U32" cm="1">
        <f t="array" ref="U32">_xlfn.STDEV.P(IF((dataIntentos[Nivel]=A32)*(dataIntentos[Intento]=B32),dataIntentos[Errores ubicacion]))</f>
        <v>0.5</v>
      </c>
      <c r="V32">
        <f>AVERAGEIFS(dataIntentos[Paradas posibles],dataIntentos[Nivel],A32,dataIntentos[Intento],B32)</f>
        <v>2.5</v>
      </c>
      <c r="W32" cm="1">
        <f t="array" ref="W32">_xlfn.STDEV.P(IF((dataIntentos[Nivel]=A32)*(dataIntentos[Intento]=B32),dataIntentos[Paradas posibles]))</f>
        <v>0.5</v>
      </c>
      <c r="X32">
        <f>AVERAGEIFS(dataIntentos[Paradas realizadas],dataIntentos[Nivel],A32,dataIntentos[Intento],B32)</f>
        <v>1.5</v>
      </c>
      <c r="Y32" cm="1">
        <f t="array" ref="Y32">_xlfn.STDEV.P(IF((dataIntentos[Nivel]=A32)*(dataIntentos[Intento]=B32),dataIntentos[Paradas realizadas]))</f>
        <v>0.5</v>
      </c>
      <c r="Z32">
        <f>AVERAGEIFS(dataIntentos[Errores parada por tiempo excedido],dataIntentos[Nivel],A32,dataIntentos[Intento],B32)</f>
        <v>0</v>
      </c>
      <c r="AA32" cm="1">
        <f t="array" ref="AA32">_xlfn.STDEV.P(IF((dataIntentos[Nivel]=A32)*(dataIntentos[Intento]=B32),dataIntentos[Errores parada por tiempo excedido]))</f>
        <v>0</v>
      </c>
      <c r="AB32">
        <f>AVERAGEIFS(dataIntentos[Num errores por tiempo excedido],dataIntentos[Nivel],A32,dataIntentos[Intento],B32)</f>
        <v>0</v>
      </c>
      <c r="AC32" cm="1">
        <f t="array" ref="AC32">_xlfn.STDEV.P(IF((dataIntentos[Nivel]=A32)*(dataIntentos[Intento]=B32),dataIntentos[Num errores por tiempo excedido]))</f>
        <v>0</v>
      </c>
      <c r="AD32">
        <f>AVERAGEIFS(dataIntentos[Tiempo duracion],dataIntentos[Nivel],A32,dataIntentos[Intento],B32)</f>
        <v>119.82550000000001</v>
      </c>
      <c r="AE32" cm="1">
        <f t="array" ref="AE32">_xlfn.STDEV.P(IF((dataIntentos[Nivel]=A32)*(dataIntentos[Intento]=B32),dataIntentos[Tiempo duracion]))</f>
        <v>34.853499999999968</v>
      </c>
      <c r="AF32">
        <f>AVERAGEIFS(dataIntentos[%Reglas respetadas ejecucion],dataIntentos[Nivel],A32,dataIntentos[Intento],B32)</f>
        <v>87.5</v>
      </c>
      <c r="AG32" cm="1">
        <f t="array" ref="AG32">_xlfn.STDEV.P(IF((dataIntentos[Nivel]=A32)*(dataIntentos[Intento]=B32),dataIntentos[%Reglas respetadas ejecucion]))</f>
        <v>12.5</v>
      </c>
      <c r="AH32">
        <f>COUNTIFS(dataIntentos[Nivel],A32,dataIntentos[Intento],B32,dataIntentos[Reglas planificacion cumplidas],"VERDADERO")</f>
        <v>0</v>
      </c>
      <c r="AI32">
        <f>COUNTIFS(dataIntentos[Nivel],A32,dataIntentos[Intento],B32,dataIntentos[Completado],"VERDADERO")</f>
        <v>0</v>
      </c>
    </row>
    <row r="33" spans="1:35" x14ac:dyDescent="0.3">
      <c r="A33">
        <v>2</v>
      </c>
      <c r="B33">
        <v>15</v>
      </c>
      <c r="C33">
        <f>COUNTIFS(dataIntentos[Nivel],A33,dataIntentos[Intento],B33)</f>
        <v>2</v>
      </c>
      <c r="D33">
        <f>AVERAGEIFS(dataIntentos[Pasos planificados],dataIntentos[Nivel],A33,dataIntentos[Intento],B33)</f>
        <v>1</v>
      </c>
      <c r="E33" cm="1">
        <f t="array" ref="E33">_xlfn.STDEV.P(IF((dataIntentos[Nivel]=A33)*(dataIntentos[Intento]=B33),dataIntentos[Pasos planificados]))</f>
        <v>1</v>
      </c>
      <c r="F33">
        <f>AVERAGEIFS(dataIntentos[Pasos ejecutados],dataIntentos[Nivel],A33,dataIntentos[Intento],B33)</f>
        <v>1</v>
      </c>
      <c r="G33" cm="1">
        <f t="array" ref="G33">_xlfn.STDEV.P(IF((dataIntentos[Nivel]=A33)*(dataIntentos[Intento]=B33),dataIntentos[Pasos ejecutados]))</f>
        <v>1</v>
      </c>
      <c r="H33">
        <f>AVERAGEIFS(dataIntentos[Errores ejecucion],dataIntentos[Nivel],A33,dataIntentos[Intento],B33)</f>
        <v>0</v>
      </c>
      <c r="I33" cm="1">
        <f t="array" ref="I33">_xlfn.STDEV.P(IF((dataIntentos[Nivel]=A33)*(dataIntentos[Intento]=B33),dataIntentos[Errores ejecucion]))</f>
        <v>0</v>
      </c>
      <c r="J33">
        <f>AVERAGEIFS(dataIntentos[Num dormir planificado],dataIntentos[Nivel],A33,dataIntentos[Intento],B33)</f>
        <v>0.5</v>
      </c>
      <c r="K33" cm="1">
        <f t="array" ref="K33">_xlfn.STDEV.P(IF((dataIntentos[Nivel]=A33)*(dataIntentos[Intento]=B33),dataIntentos[Num dormir planificado]))</f>
        <v>0.5</v>
      </c>
      <c r="L33">
        <f>AVERAGEIFS(dataIntentos[Correctos dormir],dataIntentos[Nivel],A33,dataIntentos[Intento],B33)</f>
        <v>0.5</v>
      </c>
      <c r="M33" cm="1">
        <f t="array" ref="M33">_xlfn.STDEV.P(IF((dataIntentos[Nivel]=A33)*(dataIntentos[Intento]=B33),dataIntentos[Correctos dormir]))</f>
        <v>0.5</v>
      </c>
      <c r="N33">
        <f>AVERAGEIFS(dataIntentos[Errores dormir],dataIntentos[Nivel],A33,dataIntentos[Intento],B33)</f>
        <v>0</v>
      </c>
      <c r="O33" cm="1">
        <f t="array" ref="O33">_xlfn.STDEV.P(IF((dataIntentos[Nivel]=A33)*(dataIntentos[Intento]=B33),dataIntentos[Errores dormir]))</f>
        <v>0</v>
      </c>
      <c r="P33">
        <f>AVERAGEIFS(dataIntentos[Num ubicacion planificado],dataIntentos[Nivel],A33,dataIntentos[Intento],B33)</f>
        <v>0.5</v>
      </c>
      <c r="Q33" cm="1">
        <f t="array" ref="Q33">_xlfn.STDEV.P(IF((dataIntentos[Nivel]=A33)*(dataIntentos[Intento]=B33),dataIntentos[Num ubicacion planificado]))</f>
        <v>0.5</v>
      </c>
      <c r="R33">
        <f>AVERAGEIFS(dataIntentos[Correctos ubicacion],dataIntentos[Nivel],A33,dataIntentos[Intento],B33)</f>
        <v>0.5</v>
      </c>
      <c r="S33" cm="1">
        <f t="array" ref="S33">_xlfn.STDEV.P(IF((dataIntentos[Nivel]=A33)*(dataIntentos[Intento]=B33),dataIntentos[Correctos ubicacion]))</f>
        <v>0.5</v>
      </c>
      <c r="T33">
        <f>AVERAGEIFS(dataIntentos[Errores ubicacion],dataIntentos[Nivel],A33,dataIntentos[Intento],B33)</f>
        <v>0</v>
      </c>
      <c r="U33" cm="1">
        <f t="array" ref="U33">_xlfn.STDEV.P(IF((dataIntentos[Nivel]=A33)*(dataIntentos[Intento]=B33),dataIntentos[Errores ubicacion]))</f>
        <v>0</v>
      </c>
      <c r="V33">
        <f>AVERAGEIFS(dataIntentos[Paradas posibles],dataIntentos[Nivel],A33,dataIntentos[Intento],B33)</f>
        <v>1.5</v>
      </c>
      <c r="W33" cm="1">
        <f t="array" ref="W33">_xlfn.STDEV.P(IF((dataIntentos[Nivel]=A33)*(dataIntentos[Intento]=B33),dataIntentos[Paradas posibles]))</f>
        <v>1.5</v>
      </c>
      <c r="X33">
        <f>AVERAGEIFS(dataIntentos[Paradas realizadas],dataIntentos[Nivel],A33,dataIntentos[Intento],B33)</f>
        <v>1</v>
      </c>
      <c r="Y33" cm="1">
        <f t="array" ref="Y33">_xlfn.STDEV.P(IF((dataIntentos[Nivel]=A33)*(dataIntentos[Intento]=B33),dataIntentos[Paradas realizadas]))</f>
        <v>1</v>
      </c>
      <c r="Z33">
        <f>AVERAGEIFS(dataIntentos[Errores parada por tiempo excedido],dataIntentos[Nivel],A33,dataIntentos[Intento],B33)</f>
        <v>0</v>
      </c>
      <c r="AA33" cm="1">
        <f t="array" ref="AA33">_xlfn.STDEV.P(IF((dataIntentos[Nivel]=A33)*(dataIntentos[Intento]=B33),dataIntentos[Errores parada por tiempo excedido]))</f>
        <v>0</v>
      </c>
      <c r="AB33">
        <f>AVERAGEIFS(dataIntentos[Num errores por tiempo excedido],dataIntentos[Nivel],A33,dataIntentos[Intento],B33)</f>
        <v>0</v>
      </c>
      <c r="AC33" cm="1">
        <f t="array" ref="AC33">_xlfn.STDEV.P(IF((dataIntentos[Nivel]=A33)*(dataIntentos[Intento]=B33),dataIntentos[Num errores por tiempo excedido]))</f>
        <v>0</v>
      </c>
      <c r="AD33">
        <f>AVERAGEIFS(dataIntentos[Tiempo duracion],dataIntentos[Nivel],A33,dataIntentos[Intento],B33)</f>
        <v>138.39949999999999</v>
      </c>
      <c r="AE33" cm="1">
        <f t="array" ref="AE33">_xlfn.STDEV.P(IF((dataIntentos[Nivel]=A33)*(dataIntentos[Intento]=B33),dataIntentos[Tiempo duracion]))</f>
        <v>62.781500000000044</v>
      </c>
      <c r="AF33">
        <f>AVERAGEIFS(dataIntentos[%Reglas respetadas ejecucion],dataIntentos[Nivel],A33,dataIntentos[Intento],B33)</f>
        <v>100</v>
      </c>
      <c r="AG33" cm="1">
        <f t="array" ref="AG33">_xlfn.STDEV.P(IF((dataIntentos[Nivel]=A33)*(dataIntentos[Intento]=B33),dataIntentos[%Reglas respetadas ejecucion]))</f>
        <v>0</v>
      </c>
      <c r="AH33">
        <f>COUNTIFS(dataIntentos[Nivel],A33,dataIntentos[Intento],B33,dataIntentos[Reglas planificacion cumplidas],"VERDADERO")</f>
        <v>0</v>
      </c>
      <c r="AI33">
        <f>COUNTIFS(dataIntentos[Nivel],A33,dataIntentos[Intento],B33,dataIntentos[Completado],"VERDADERO")</f>
        <v>0</v>
      </c>
    </row>
    <row r="34" spans="1:35" x14ac:dyDescent="0.3">
      <c r="A34">
        <v>2</v>
      </c>
      <c r="B34">
        <v>16</v>
      </c>
      <c r="C34">
        <f>COUNTIFS(dataIntentos[Nivel],A34,dataIntentos[Intento],B34)</f>
        <v>1</v>
      </c>
      <c r="D34">
        <f>AVERAGEIFS(dataIntentos[Pasos planificados],dataIntentos[Nivel],A34,dataIntentos[Intento],B34)</f>
        <v>2</v>
      </c>
      <c r="E34" cm="1">
        <f t="array" ref="E34">_xlfn.STDEV.P(IF((dataIntentos[Nivel]=A34)*(dataIntentos[Intento]=B34),dataIntentos[Pasos planificados]))</f>
        <v>0</v>
      </c>
      <c r="F34">
        <f>AVERAGEIFS(dataIntentos[Pasos ejecutados],dataIntentos[Nivel],A34,dataIntentos[Intento],B34)</f>
        <v>2</v>
      </c>
      <c r="G34" cm="1">
        <f t="array" ref="G34">_xlfn.STDEV.P(IF((dataIntentos[Nivel]=A34)*(dataIntentos[Intento]=B34),dataIntentos[Pasos ejecutados]))</f>
        <v>0</v>
      </c>
      <c r="H34">
        <f>AVERAGEIFS(dataIntentos[Errores ejecucion],dataIntentos[Nivel],A34,dataIntentos[Intento],B34)</f>
        <v>0</v>
      </c>
      <c r="I34" cm="1">
        <f t="array" ref="I34">_xlfn.STDEV.P(IF((dataIntentos[Nivel]=A34)*(dataIntentos[Intento]=B34),dataIntentos[Errores ejecucion]))</f>
        <v>0</v>
      </c>
      <c r="J34">
        <f>AVERAGEIFS(dataIntentos[Num dormir planificado],dataIntentos[Nivel],A34,dataIntentos[Intento],B34)</f>
        <v>1</v>
      </c>
      <c r="K34" cm="1">
        <f t="array" ref="K34">_xlfn.STDEV.P(IF((dataIntentos[Nivel]=A34)*(dataIntentos[Intento]=B34),dataIntentos[Num dormir planificado]))</f>
        <v>0</v>
      </c>
      <c r="L34">
        <f>AVERAGEIFS(dataIntentos[Correctos dormir],dataIntentos[Nivel],A34,dataIntentos[Intento],B34)</f>
        <v>1</v>
      </c>
      <c r="M34" cm="1">
        <f t="array" ref="M34">_xlfn.STDEV.P(IF((dataIntentos[Nivel]=A34)*(dataIntentos[Intento]=B34),dataIntentos[Correctos dormir]))</f>
        <v>0</v>
      </c>
      <c r="N34">
        <f>AVERAGEIFS(dataIntentos[Errores dormir],dataIntentos[Nivel],A34,dataIntentos[Intento],B34)</f>
        <v>0</v>
      </c>
      <c r="O34" cm="1">
        <f t="array" ref="O34">_xlfn.STDEV.P(IF((dataIntentos[Nivel]=A34)*(dataIntentos[Intento]=B34),dataIntentos[Errores dormir]))</f>
        <v>0</v>
      </c>
      <c r="P34">
        <f>AVERAGEIFS(dataIntentos[Num ubicacion planificado],dataIntentos[Nivel],A34,dataIntentos[Intento],B34)</f>
        <v>1</v>
      </c>
      <c r="Q34" cm="1">
        <f t="array" ref="Q34">_xlfn.STDEV.P(IF((dataIntentos[Nivel]=A34)*(dataIntentos[Intento]=B34),dataIntentos[Num ubicacion planificado]))</f>
        <v>0</v>
      </c>
      <c r="R34">
        <f>AVERAGEIFS(dataIntentos[Correctos ubicacion],dataIntentos[Nivel],A34,dataIntentos[Intento],B34)</f>
        <v>1</v>
      </c>
      <c r="S34" cm="1">
        <f t="array" ref="S34">_xlfn.STDEV.P(IF((dataIntentos[Nivel]=A34)*(dataIntentos[Intento]=B34),dataIntentos[Correctos ubicacion]))</f>
        <v>0</v>
      </c>
      <c r="T34">
        <f>AVERAGEIFS(dataIntentos[Errores ubicacion],dataIntentos[Nivel],A34,dataIntentos[Intento],B34)</f>
        <v>0</v>
      </c>
      <c r="U34" cm="1">
        <f t="array" ref="U34">_xlfn.STDEV.P(IF((dataIntentos[Nivel]=A34)*(dataIntentos[Intento]=B34),dataIntentos[Errores ubicacion]))</f>
        <v>0</v>
      </c>
      <c r="V34">
        <f>AVERAGEIFS(dataIntentos[Paradas posibles],dataIntentos[Nivel],A34,dataIntentos[Intento],B34)</f>
        <v>4</v>
      </c>
      <c r="W34" cm="1">
        <f t="array" ref="W34">_xlfn.STDEV.P(IF((dataIntentos[Nivel]=A34)*(dataIntentos[Intento]=B34),dataIntentos[Paradas posibles]))</f>
        <v>0</v>
      </c>
      <c r="X34">
        <f>AVERAGEIFS(dataIntentos[Paradas realizadas],dataIntentos[Nivel],A34,dataIntentos[Intento],B34)</f>
        <v>2</v>
      </c>
      <c r="Y34" cm="1">
        <f t="array" ref="Y34">_xlfn.STDEV.P(IF((dataIntentos[Nivel]=A34)*(dataIntentos[Intento]=B34),dataIntentos[Paradas realizadas]))</f>
        <v>0</v>
      </c>
      <c r="Z34">
        <f>AVERAGEIFS(dataIntentos[Errores parada por tiempo excedido],dataIntentos[Nivel],A34,dataIntentos[Intento],B34)</f>
        <v>0</v>
      </c>
      <c r="AA34" cm="1">
        <f t="array" ref="AA34">_xlfn.STDEV.P(IF((dataIntentos[Nivel]=A34)*(dataIntentos[Intento]=B34),dataIntentos[Errores parada por tiempo excedido]))</f>
        <v>0</v>
      </c>
      <c r="AB34">
        <f>AVERAGEIFS(dataIntentos[Num errores por tiempo excedido],dataIntentos[Nivel],A34,dataIntentos[Intento],B34)</f>
        <v>0</v>
      </c>
      <c r="AC34" cm="1">
        <f t="array" ref="AC34">_xlfn.STDEV.P(IF((dataIntentos[Nivel]=A34)*(dataIntentos[Intento]=B34),dataIntentos[Num errores por tiempo excedido]))</f>
        <v>0</v>
      </c>
      <c r="AD34">
        <f>AVERAGEIFS(dataIntentos[Tiempo duracion],dataIntentos[Nivel],A34,dataIntentos[Intento],B34)</f>
        <v>221.636</v>
      </c>
      <c r="AE34" cm="1">
        <f t="array" ref="AE34">_xlfn.STDEV.P(IF((dataIntentos[Nivel]=A34)*(dataIntentos[Intento]=B34),dataIntentos[Tiempo duracion]))</f>
        <v>0</v>
      </c>
      <c r="AF34">
        <f>AVERAGEIFS(dataIntentos[%Reglas respetadas ejecucion],dataIntentos[Nivel],A34,dataIntentos[Intento],B34)</f>
        <v>100</v>
      </c>
      <c r="AG34" cm="1">
        <f t="array" ref="AG34">_xlfn.STDEV.P(IF((dataIntentos[Nivel]=A34)*(dataIntentos[Intento]=B34),dataIntentos[%Reglas respetadas ejecucion]))</f>
        <v>0</v>
      </c>
      <c r="AH34">
        <f>COUNTIFS(dataIntentos[Nivel],A34,dataIntentos[Intento],B34,dataIntentos[Reglas planificacion cumplidas],"VERDADERO")</f>
        <v>0</v>
      </c>
      <c r="AI34">
        <f>COUNTIFS(dataIntentos[Nivel],A34,dataIntentos[Intento],B34,dataIntentos[Completado],"VERDADERO")</f>
        <v>0</v>
      </c>
    </row>
    <row r="35" spans="1:35" x14ac:dyDescent="0.3">
      <c r="A35">
        <v>2</v>
      </c>
      <c r="B35">
        <v>17</v>
      </c>
      <c r="C35">
        <f>COUNTIFS(dataIntentos[Nivel],A35,dataIntentos[Intento],B35)</f>
        <v>1</v>
      </c>
      <c r="D35">
        <f>AVERAGEIFS(dataIntentos[Pasos planificados],dataIntentos[Nivel],A35,dataIntentos[Intento],B35)</f>
        <v>0</v>
      </c>
      <c r="E35" cm="1">
        <f t="array" ref="E35">_xlfn.STDEV.P(IF((dataIntentos[Nivel]=A35)*(dataIntentos[Intento]=B35),dataIntentos[Pasos planificados]))</f>
        <v>0</v>
      </c>
      <c r="F35">
        <f>AVERAGEIFS(dataIntentos[Pasos ejecutados],dataIntentos[Nivel],A35,dataIntentos[Intento],B35)</f>
        <v>0</v>
      </c>
      <c r="G35" cm="1">
        <f t="array" ref="G35">_xlfn.STDEV.P(IF((dataIntentos[Nivel]=A35)*(dataIntentos[Intento]=B35),dataIntentos[Pasos ejecutados]))</f>
        <v>0</v>
      </c>
      <c r="H35">
        <f>AVERAGEIFS(dataIntentos[Errores ejecucion],dataIntentos[Nivel],A35,dataIntentos[Intento],B35)</f>
        <v>0</v>
      </c>
      <c r="I35" cm="1">
        <f t="array" ref="I35">_xlfn.STDEV.P(IF((dataIntentos[Nivel]=A35)*(dataIntentos[Intento]=B35),dataIntentos[Errores ejecucion]))</f>
        <v>0</v>
      </c>
      <c r="J35">
        <f>AVERAGEIFS(dataIntentos[Num dormir planificado],dataIntentos[Nivel],A35,dataIntentos[Intento],B35)</f>
        <v>0</v>
      </c>
      <c r="K35" cm="1">
        <f t="array" ref="K35">_xlfn.STDEV.P(IF((dataIntentos[Nivel]=A35)*(dataIntentos[Intento]=B35),dataIntentos[Num dormir planificado]))</f>
        <v>0</v>
      </c>
      <c r="L35">
        <f>AVERAGEIFS(dataIntentos[Correctos dormir],dataIntentos[Nivel],A35,dataIntentos[Intento],B35)</f>
        <v>0</v>
      </c>
      <c r="M35" cm="1">
        <f t="array" ref="M35">_xlfn.STDEV.P(IF((dataIntentos[Nivel]=A35)*(dataIntentos[Intento]=B35),dataIntentos[Correctos dormir]))</f>
        <v>0</v>
      </c>
      <c r="N35">
        <f>AVERAGEIFS(dataIntentos[Errores dormir],dataIntentos[Nivel],A35,dataIntentos[Intento],B35)</f>
        <v>0</v>
      </c>
      <c r="O35" cm="1">
        <f t="array" ref="O35">_xlfn.STDEV.P(IF((dataIntentos[Nivel]=A35)*(dataIntentos[Intento]=B35),dataIntentos[Errores dormir]))</f>
        <v>0</v>
      </c>
      <c r="P35">
        <f>AVERAGEIFS(dataIntentos[Num ubicacion planificado],dataIntentos[Nivel],A35,dataIntentos[Intento],B35)</f>
        <v>0</v>
      </c>
      <c r="Q35" cm="1">
        <f t="array" ref="Q35">_xlfn.STDEV.P(IF((dataIntentos[Nivel]=A35)*(dataIntentos[Intento]=B35),dataIntentos[Num ubicacion planificado]))</f>
        <v>0</v>
      </c>
      <c r="R35">
        <f>AVERAGEIFS(dataIntentos[Correctos ubicacion],dataIntentos[Nivel],A35,dataIntentos[Intento],B35)</f>
        <v>0</v>
      </c>
      <c r="S35" cm="1">
        <f t="array" ref="S35">_xlfn.STDEV.P(IF((dataIntentos[Nivel]=A35)*(dataIntentos[Intento]=B35),dataIntentos[Correctos ubicacion]))</f>
        <v>0</v>
      </c>
      <c r="T35">
        <f>AVERAGEIFS(dataIntentos[Errores ubicacion],dataIntentos[Nivel],A35,dataIntentos[Intento],B35)</f>
        <v>0</v>
      </c>
      <c r="U35" cm="1">
        <f t="array" ref="U35">_xlfn.STDEV.P(IF((dataIntentos[Nivel]=A35)*(dataIntentos[Intento]=B35),dataIntentos[Errores ubicacion]))</f>
        <v>0</v>
      </c>
      <c r="V35">
        <f>AVERAGEIFS(dataIntentos[Paradas posibles],dataIntentos[Nivel],A35,dataIntentos[Intento],B35)</f>
        <v>0</v>
      </c>
      <c r="W35" cm="1">
        <f t="array" ref="W35">_xlfn.STDEV.P(IF((dataIntentos[Nivel]=A35)*(dataIntentos[Intento]=B35),dataIntentos[Paradas posibles]))</f>
        <v>0</v>
      </c>
      <c r="X35">
        <f>AVERAGEIFS(dataIntentos[Paradas realizadas],dataIntentos[Nivel],A35,dataIntentos[Intento],B35)</f>
        <v>0</v>
      </c>
      <c r="Y35" cm="1">
        <f t="array" ref="Y35">_xlfn.STDEV.P(IF((dataIntentos[Nivel]=A35)*(dataIntentos[Intento]=B35),dataIntentos[Paradas realizadas]))</f>
        <v>0</v>
      </c>
      <c r="Z35">
        <f>AVERAGEIFS(dataIntentos[Errores parada por tiempo excedido],dataIntentos[Nivel],A35,dataIntentos[Intento],B35)</f>
        <v>0</v>
      </c>
      <c r="AA35" cm="1">
        <f t="array" ref="AA35">_xlfn.STDEV.P(IF((dataIntentos[Nivel]=A35)*(dataIntentos[Intento]=B35),dataIntentos[Errores parada por tiempo excedido]))</f>
        <v>0</v>
      </c>
      <c r="AB35">
        <f>AVERAGEIFS(dataIntentos[Num errores por tiempo excedido],dataIntentos[Nivel],A35,dataIntentos[Intento],B35)</f>
        <v>0</v>
      </c>
      <c r="AC35" cm="1">
        <f t="array" ref="AC35">_xlfn.STDEV.P(IF((dataIntentos[Nivel]=A35)*(dataIntentos[Intento]=B35),dataIntentos[Num errores por tiempo excedido]))</f>
        <v>0</v>
      </c>
      <c r="AD35">
        <f>AVERAGEIFS(dataIntentos[Tiempo duracion],dataIntentos[Nivel],A35,dataIntentos[Intento],B35)</f>
        <v>73.715000000000003</v>
      </c>
      <c r="AE35" cm="1">
        <f t="array" ref="AE35">_xlfn.STDEV.P(IF((dataIntentos[Nivel]=A35)*(dataIntentos[Intento]=B35),dataIntentos[Tiempo duracion]))</f>
        <v>0</v>
      </c>
      <c r="AF35">
        <f>AVERAGEIFS(dataIntentos[%Reglas respetadas ejecucion],dataIntentos[Nivel],A35,dataIntentos[Intento],B35)</f>
        <v>100</v>
      </c>
      <c r="AG35" cm="1">
        <f t="array" ref="AG35">_xlfn.STDEV.P(IF((dataIntentos[Nivel]=A35)*(dataIntentos[Intento]=B35),dataIntentos[%Reglas respetadas ejecucion]))</f>
        <v>0</v>
      </c>
      <c r="AH35">
        <f>COUNTIFS(dataIntentos[Nivel],A35,dataIntentos[Intento],B35,dataIntentos[Reglas planificacion cumplidas],"VERDADERO")</f>
        <v>0</v>
      </c>
      <c r="AI35">
        <f>COUNTIFS(dataIntentos[Nivel],A35,dataIntentos[Intento],B35,dataIntentos[Completado],"VERDADERO")</f>
        <v>0</v>
      </c>
    </row>
    <row r="36" spans="1:35" x14ac:dyDescent="0.3">
      <c r="A36">
        <v>2</v>
      </c>
      <c r="B36">
        <v>18</v>
      </c>
      <c r="C36">
        <f>COUNTIFS(dataIntentos[Nivel],A36,dataIntentos[Intento],B36)</f>
        <v>1</v>
      </c>
      <c r="D36">
        <f>AVERAGEIFS(dataIntentos[Pasos planificados],dataIntentos[Nivel],A36,dataIntentos[Intento],B36)</f>
        <v>0</v>
      </c>
      <c r="E36" cm="1">
        <f t="array" ref="E36">_xlfn.STDEV.P(IF((dataIntentos[Nivel]=A36)*(dataIntentos[Intento]=B36),dataIntentos[Pasos planificados]))</f>
        <v>0</v>
      </c>
      <c r="F36">
        <f>AVERAGEIFS(dataIntentos[Pasos ejecutados],dataIntentos[Nivel],A36,dataIntentos[Intento],B36)</f>
        <v>0</v>
      </c>
      <c r="G36" cm="1">
        <f t="array" ref="G36">_xlfn.STDEV.P(IF((dataIntentos[Nivel]=A36)*(dataIntentos[Intento]=B36),dataIntentos[Pasos ejecutados]))</f>
        <v>0</v>
      </c>
      <c r="H36">
        <f>AVERAGEIFS(dataIntentos[Errores ejecucion],dataIntentos[Nivel],A36,dataIntentos[Intento],B36)</f>
        <v>0</v>
      </c>
      <c r="I36" cm="1">
        <f t="array" ref="I36">_xlfn.STDEV.P(IF((dataIntentos[Nivel]=A36)*(dataIntentos[Intento]=B36),dataIntentos[Errores ejecucion]))</f>
        <v>0</v>
      </c>
      <c r="J36">
        <f>AVERAGEIFS(dataIntentos[Num dormir planificado],dataIntentos[Nivel],A36,dataIntentos[Intento],B36)</f>
        <v>0</v>
      </c>
      <c r="K36" cm="1">
        <f t="array" ref="K36">_xlfn.STDEV.P(IF((dataIntentos[Nivel]=A36)*(dataIntentos[Intento]=B36),dataIntentos[Num dormir planificado]))</f>
        <v>0</v>
      </c>
      <c r="L36">
        <f>AVERAGEIFS(dataIntentos[Correctos dormir],dataIntentos[Nivel],A36,dataIntentos[Intento],B36)</f>
        <v>0</v>
      </c>
      <c r="M36" cm="1">
        <f t="array" ref="M36">_xlfn.STDEV.P(IF((dataIntentos[Nivel]=A36)*(dataIntentos[Intento]=B36),dataIntentos[Correctos dormir]))</f>
        <v>0</v>
      </c>
      <c r="N36">
        <f>AVERAGEIFS(dataIntentos[Errores dormir],dataIntentos[Nivel],A36,dataIntentos[Intento],B36)</f>
        <v>0</v>
      </c>
      <c r="O36" cm="1">
        <f t="array" ref="O36">_xlfn.STDEV.P(IF((dataIntentos[Nivel]=A36)*(dataIntentos[Intento]=B36),dataIntentos[Errores dormir]))</f>
        <v>0</v>
      </c>
      <c r="P36">
        <f>AVERAGEIFS(dataIntentos[Num ubicacion planificado],dataIntentos[Nivel],A36,dataIntentos[Intento],B36)</f>
        <v>0</v>
      </c>
      <c r="Q36" cm="1">
        <f t="array" ref="Q36">_xlfn.STDEV.P(IF((dataIntentos[Nivel]=A36)*(dataIntentos[Intento]=B36),dataIntentos[Num ubicacion planificado]))</f>
        <v>0</v>
      </c>
      <c r="R36">
        <f>AVERAGEIFS(dataIntentos[Correctos ubicacion],dataIntentos[Nivel],A36,dataIntentos[Intento],B36)</f>
        <v>0</v>
      </c>
      <c r="S36" cm="1">
        <f t="array" ref="S36">_xlfn.STDEV.P(IF((dataIntentos[Nivel]=A36)*(dataIntentos[Intento]=B36),dataIntentos[Correctos ubicacion]))</f>
        <v>0</v>
      </c>
      <c r="T36">
        <f>AVERAGEIFS(dataIntentos[Errores ubicacion],dataIntentos[Nivel],A36,dataIntentos[Intento],B36)</f>
        <v>0</v>
      </c>
      <c r="U36" cm="1">
        <f t="array" ref="U36">_xlfn.STDEV.P(IF((dataIntentos[Nivel]=A36)*(dataIntentos[Intento]=B36),dataIntentos[Errores ubicacion]))</f>
        <v>0</v>
      </c>
      <c r="V36">
        <f>AVERAGEIFS(dataIntentos[Paradas posibles],dataIntentos[Nivel],A36,dataIntentos[Intento],B36)</f>
        <v>1</v>
      </c>
      <c r="W36" cm="1">
        <f t="array" ref="W36">_xlfn.STDEV.P(IF((dataIntentos[Nivel]=A36)*(dataIntentos[Intento]=B36),dataIntentos[Paradas posibles]))</f>
        <v>0</v>
      </c>
      <c r="X36">
        <f>AVERAGEIFS(dataIntentos[Paradas realizadas],dataIntentos[Nivel],A36,dataIntentos[Intento],B36)</f>
        <v>0</v>
      </c>
      <c r="Y36" cm="1">
        <f t="array" ref="Y36">_xlfn.STDEV.P(IF((dataIntentos[Nivel]=A36)*(dataIntentos[Intento]=B36),dataIntentos[Paradas realizadas]))</f>
        <v>0</v>
      </c>
      <c r="Z36">
        <f>AVERAGEIFS(dataIntentos[Errores parada por tiempo excedido],dataIntentos[Nivel],A36,dataIntentos[Intento],B36)</f>
        <v>1</v>
      </c>
      <c r="AA36" cm="1">
        <f t="array" ref="AA36">_xlfn.STDEV.P(IF((dataIntentos[Nivel]=A36)*(dataIntentos[Intento]=B36),dataIntentos[Errores parada por tiempo excedido]))</f>
        <v>0</v>
      </c>
      <c r="AB36">
        <f>AVERAGEIFS(dataIntentos[Num errores por tiempo excedido],dataIntentos[Nivel],A36,dataIntentos[Intento],B36)</f>
        <v>1</v>
      </c>
      <c r="AC36" cm="1">
        <f t="array" ref="AC36">_xlfn.STDEV.P(IF((dataIntentos[Nivel]=A36)*(dataIntentos[Intento]=B36),dataIntentos[Num errores por tiempo excedido]))</f>
        <v>0</v>
      </c>
      <c r="AD36">
        <f>AVERAGEIFS(dataIntentos[Tiempo duracion],dataIntentos[Nivel],A36,dataIntentos[Intento],B36)</f>
        <v>59.942</v>
      </c>
      <c r="AE36" cm="1">
        <f t="array" ref="AE36">_xlfn.STDEV.P(IF((dataIntentos[Nivel]=A36)*(dataIntentos[Intento]=B36),dataIntentos[Tiempo duracion]))</f>
        <v>0</v>
      </c>
      <c r="AF36">
        <f>AVERAGEIFS(dataIntentos[%Reglas respetadas ejecucion],dataIntentos[Nivel],A36,dataIntentos[Intento],B36)</f>
        <v>75</v>
      </c>
      <c r="AG36" cm="1">
        <f t="array" ref="AG36">_xlfn.STDEV.P(IF((dataIntentos[Nivel]=A36)*(dataIntentos[Intento]=B36),dataIntentos[%Reglas respetadas ejecucion]))</f>
        <v>0</v>
      </c>
      <c r="AH36">
        <f>COUNTIFS(dataIntentos[Nivel],A36,dataIntentos[Intento],B36,dataIntentos[Reglas planificacion cumplidas],"VERDADERO")</f>
        <v>0</v>
      </c>
      <c r="AI36">
        <f>COUNTIFS(dataIntentos[Nivel],A36,dataIntentos[Intento],B36,dataIntentos[Completado],"VERDADERO")</f>
        <v>0</v>
      </c>
    </row>
    <row r="37" spans="1:35" x14ac:dyDescent="0.3">
      <c r="A37">
        <v>2</v>
      </c>
      <c r="B37">
        <v>19</v>
      </c>
      <c r="C37">
        <f>COUNTIFS(dataIntentos[Nivel],A37,dataIntentos[Intento],B37)</f>
        <v>1</v>
      </c>
      <c r="D37">
        <f>AVERAGEIFS(dataIntentos[Pasos planificados],dataIntentos[Nivel],A37,dataIntentos[Intento],B37)</f>
        <v>2</v>
      </c>
      <c r="E37" cm="1">
        <f t="array" ref="E37">_xlfn.STDEV.P(IF((dataIntentos[Nivel]=A37)*(dataIntentos[Intento]=B37),dataIntentos[Pasos planificados]))</f>
        <v>0</v>
      </c>
      <c r="F37">
        <f>AVERAGEIFS(dataIntentos[Pasos ejecutados],dataIntentos[Nivel],A37,dataIntentos[Intento],B37)</f>
        <v>1</v>
      </c>
      <c r="G37" cm="1">
        <f t="array" ref="G37">_xlfn.STDEV.P(IF((dataIntentos[Nivel]=A37)*(dataIntentos[Intento]=B37),dataIntentos[Pasos ejecutados]))</f>
        <v>0</v>
      </c>
      <c r="H37">
        <f>AVERAGEIFS(dataIntentos[Errores ejecucion],dataIntentos[Nivel],A37,dataIntentos[Intento],B37)</f>
        <v>1</v>
      </c>
      <c r="I37" cm="1">
        <f t="array" ref="I37">_xlfn.STDEV.P(IF((dataIntentos[Nivel]=A37)*(dataIntentos[Intento]=B37),dataIntentos[Errores ejecucion]))</f>
        <v>0</v>
      </c>
      <c r="J37">
        <f>AVERAGEIFS(dataIntentos[Num dormir planificado],dataIntentos[Nivel],A37,dataIntentos[Intento],B37)</f>
        <v>1</v>
      </c>
      <c r="K37" cm="1">
        <f t="array" ref="K37">_xlfn.STDEV.P(IF((dataIntentos[Nivel]=A37)*(dataIntentos[Intento]=B37),dataIntentos[Num dormir planificado]))</f>
        <v>0</v>
      </c>
      <c r="L37">
        <f>AVERAGEIFS(dataIntentos[Correctos dormir],dataIntentos[Nivel],A37,dataIntentos[Intento],B37)</f>
        <v>1</v>
      </c>
      <c r="M37" cm="1">
        <f t="array" ref="M37">_xlfn.STDEV.P(IF((dataIntentos[Nivel]=A37)*(dataIntentos[Intento]=B37),dataIntentos[Correctos dormir]))</f>
        <v>0</v>
      </c>
      <c r="N37">
        <f>AVERAGEIFS(dataIntentos[Errores dormir],dataIntentos[Nivel],A37,dataIntentos[Intento],B37)</f>
        <v>0</v>
      </c>
      <c r="O37" cm="1">
        <f t="array" ref="O37">_xlfn.STDEV.P(IF((dataIntentos[Nivel]=A37)*(dataIntentos[Intento]=B37),dataIntentos[Errores dormir]))</f>
        <v>0</v>
      </c>
      <c r="P37">
        <f>AVERAGEIFS(dataIntentos[Num ubicacion planificado],dataIntentos[Nivel],A37,dataIntentos[Intento],B37)</f>
        <v>1</v>
      </c>
      <c r="Q37" cm="1">
        <f t="array" ref="Q37">_xlfn.STDEV.P(IF((dataIntentos[Nivel]=A37)*(dataIntentos[Intento]=B37),dataIntentos[Num ubicacion planificado]))</f>
        <v>0</v>
      </c>
      <c r="R37">
        <f>AVERAGEIFS(dataIntentos[Correctos ubicacion],dataIntentos[Nivel],A37,dataIntentos[Intento],B37)</f>
        <v>0</v>
      </c>
      <c r="S37" cm="1">
        <f t="array" ref="S37">_xlfn.STDEV.P(IF((dataIntentos[Nivel]=A37)*(dataIntentos[Intento]=B37),dataIntentos[Correctos ubicacion]))</f>
        <v>0</v>
      </c>
      <c r="T37">
        <f>AVERAGEIFS(dataIntentos[Errores ubicacion],dataIntentos[Nivel],A37,dataIntentos[Intento],B37)</f>
        <v>1</v>
      </c>
      <c r="U37" cm="1">
        <f t="array" ref="U37">_xlfn.STDEV.P(IF((dataIntentos[Nivel]=A37)*(dataIntentos[Intento]=B37),dataIntentos[Errores ubicacion]))</f>
        <v>0</v>
      </c>
      <c r="V37">
        <f>AVERAGEIFS(dataIntentos[Paradas posibles],dataIntentos[Nivel],A37,dataIntentos[Intento],B37)</f>
        <v>3</v>
      </c>
      <c r="W37" cm="1">
        <f t="array" ref="W37">_xlfn.STDEV.P(IF((dataIntentos[Nivel]=A37)*(dataIntentos[Intento]=B37),dataIntentos[Paradas posibles]))</f>
        <v>0</v>
      </c>
      <c r="X37">
        <f>AVERAGEIFS(dataIntentos[Paradas realizadas],dataIntentos[Nivel],A37,dataIntentos[Intento],B37)</f>
        <v>3</v>
      </c>
      <c r="Y37" cm="1">
        <f t="array" ref="Y37">_xlfn.STDEV.P(IF((dataIntentos[Nivel]=A37)*(dataIntentos[Intento]=B37),dataIntentos[Paradas realizadas]))</f>
        <v>0</v>
      </c>
      <c r="Z37">
        <f>AVERAGEIFS(dataIntentos[Errores parada por tiempo excedido],dataIntentos[Nivel],A37,dataIntentos[Intento],B37)</f>
        <v>0</v>
      </c>
      <c r="AA37" cm="1">
        <f t="array" ref="AA37">_xlfn.STDEV.P(IF((dataIntentos[Nivel]=A37)*(dataIntentos[Intento]=B37),dataIntentos[Errores parada por tiempo excedido]))</f>
        <v>0</v>
      </c>
      <c r="AB37">
        <f>AVERAGEIFS(dataIntentos[Num errores por tiempo excedido],dataIntentos[Nivel],A37,dataIntentos[Intento],B37)</f>
        <v>0</v>
      </c>
      <c r="AC37" cm="1">
        <f t="array" ref="AC37">_xlfn.STDEV.P(IF((dataIntentos[Nivel]=A37)*(dataIntentos[Intento]=B37),dataIntentos[Num errores por tiempo excedido]))</f>
        <v>0</v>
      </c>
      <c r="AD37">
        <f>AVERAGEIFS(dataIntentos[Tiempo duracion],dataIntentos[Nivel],A37,dataIntentos[Intento],B37)</f>
        <v>136.792</v>
      </c>
      <c r="AE37" cm="1">
        <f t="array" ref="AE37">_xlfn.STDEV.P(IF((dataIntentos[Nivel]=A37)*(dataIntentos[Intento]=B37),dataIntentos[Tiempo duracion]))</f>
        <v>0</v>
      </c>
      <c r="AF37">
        <f>AVERAGEIFS(dataIntentos[%Reglas respetadas ejecucion],dataIntentos[Nivel],A37,dataIntentos[Intento],B37)</f>
        <v>75</v>
      </c>
      <c r="AG37" cm="1">
        <f t="array" ref="AG37">_xlfn.STDEV.P(IF((dataIntentos[Nivel]=A37)*(dataIntentos[Intento]=B37),dataIntentos[%Reglas respetadas ejecucion]))</f>
        <v>0</v>
      </c>
      <c r="AH37">
        <f>COUNTIFS(dataIntentos[Nivel],A37,dataIntentos[Intento],B37,dataIntentos[Reglas planificacion cumplidas],"VERDADERO")</f>
        <v>0</v>
      </c>
      <c r="AI37">
        <f>COUNTIFS(dataIntentos[Nivel],A37,dataIntentos[Intento],B37,dataIntentos[Completado],"VERDADERO")</f>
        <v>0</v>
      </c>
    </row>
    <row r="38" spans="1:35" x14ac:dyDescent="0.3">
      <c r="A38">
        <v>2</v>
      </c>
      <c r="B38">
        <v>20</v>
      </c>
      <c r="C38">
        <f>COUNTIFS(dataIntentos[Nivel],A38,dataIntentos[Intento],B38)</f>
        <v>1</v>
      </c>
      <c r="D38">
        <f>AVERAGEIFS(dataIntentos[Pasos planificados],dataIntentos[Nivel],A38,dataIntentos[Intento],B38)</f>
        <v>2</v>
      </c>
      <c r="E38" cm="1">
        <f t="array" ref="E38">_xlfn.STDEV.P(IF((dataIntentos[Nivel]=A38)*(dataIntentos[Intento]=B38),dataIntentos[Pasos planificados]))</f>
        <v>0</v>
      </c>
      <c r="F38">
        <f>AVERAGEIFS(dataIntentos[Pasos ejecutados],dataIntentos[Nivel],A38,dataIntentos[Intento],B38)</f>
        <v>2</v>
      </c>
      <c r="G38" cm="1">
        <f t="array" ref="G38">_xlfn.STDEV.P(IF((dataIntentos[Nivel]=A38)*(dataIntentos[Intento]=B38),dataIntentos[Pasos ejecutados]))</f>
        <v>0</v>
      </c>
      <c r="H38">
        <f>AVERAGEIFS(dataIntentos[Errores ejecucion],dataIntentos[Nivel],A38,dataIntentos[Intento],B38)</f>
        <v>0</v>
      </c>
      <c r="I38" cm="1">
        <f t="array" ref="I38">_xlfn.STDEV.P(IF((dataIntentos[Nivel]=A38)*(dataIntentos[Intento]=B38),dataIntentos[Errores ejecucion]))</f>
        <v>0</v>
      </c>
      <c r="J38">
        <f>AVERAGEIFS(dataIntentos[Num dormir planificado],dataIntentos[Nivel],A38,dataIntentos[Intento],B38)</f>
        <v>1</v>
      </c>
      <c r="K38" cm="1">
        <f t="array" ref="K38">_xlfn.STDEV.P(IF((dataIntentos[Nivel]=A38)*(dataIntentos[Intento]=B38),dataIntentos[Num dormir planificado]))</f>
        <v>0</v>
      </c>
      <c r="L38">
        <f>AVERAGEIFS(dataIntentos[Correctos dormir],dataIntentos[Nivel],A38,dataIntentos[Intento],B38)</f>
        <v>1</v>
      </c>
      <c r="M38" cm="1">
        <f t="array" ref="M38">_xlfn.STDEV.P(IF((dataIntentos[Nivel]=A38)*(dataIntentos[Intento]=B38),dataIntentos[Correctos dormir]))</f>
        <v>0</v>
      </c>
      <c r="N38">
        <f>AVERAGEIFS(dataIntentos[Errores dormir],dataIntentos[Nivel],A38,dataIntentos[Intento],B38)</f>
        <v>0</v>
      </c>
      <c r="O38" cm="1">
        <f t="array" ref="O38">_xlfn.STDEV.P(IF((dataIntentos[Nivel]=A38)*(dataIntentos[Intento]=B38),dataIntentos[Errores dormir]))</f>
        <v>0</v>
      </c>
      <c r="P38">
        <f>AVERAGEIFS(dataIntentos[Num ubicacion planificado],dataIntentos[Nivel],A38,dataIntentos[Intento],B38)</f>
        <v>1</v>
      </c>
      <c r="Q38" cm="1">
        <f t="array" ref="Q38">_xlfn.STDEV.P(IF((dataIntentos[Nivel]=A38)*(dataIntentos[Intento]=B38),dataIntentos[Num ubicacion planificado]))</f>
        <v>0</v>
      </c>
      <c r="R38">
        <f>AVERAGEIFS(dataIntentos[Correctos ubicacion],dataIntentos[Nivel],A38,dataIntentos[Intento],B38)</f>
        <v>1</v>
      </c>
      <c r="S38" cm="1">
        <f t="array" ref="S38">_xlfn.STDEV.P(IF((dataIntentos[Nivel]=A38)*(dataIntentos[Intento]=B38),dataIntentos[Correctos ubicacion]))</f>
        <v>0</v>
      </c>
      <c r="T38">
        <f>AVERAGEIFS(dataIntentos[Errores ubicacion],dataIntentos[Nivel],A38,dataIntentos[Intento],B38)</f>
        <v>0</v>
      </c>
      <c r="U38" cm="1">
        <f t="array" ref="U38">_xlfn.STDEV.P(IF((dataIntentos[Nivel]=A38)*(dataIntentos[Intento]=B38),dataIntentos[Errores ubicacion]))</f>
        <v>0</v>
      </c>
      <c r="V38">
        <f>AVERAGEIFS(dataIntentos[Paradas posibles],dataIntentos[Nivel],A38,dataIntentos[Intento],B38)</f>
        <v>4</v>
      </c>
      <c r="W38" cm="1">
        <f t="array" ref="W38">_xlfn.STDEV.P(IF((dataIntentos[Nivel]=A38)*(dataIntentos[Intento]=B38),dataIntentos[Paradas posibles]))</f>
        <v>0</v>
      </c>
      <c r="X38">
        <f>AVERAGEIFS(dataIntentos[Paradas realizadas],dataIntentos[Nivel],A38,dataIntentos[Intento],B38)</f>
        <v>2</v>
      </c>
      <c r="Y38" cm="1">
        <f t="array" ref="Y38">_xlfn.STDEV.P(IF((dataIntentos[Nivel]=A38)*(dataIntentos[Intento]=B38),dataIntentos[Paradas realizadas]))</f>
        <v>0</v>
      </c>
      <c r="Z38">
        <f>AVERAGEIFS(dataIntentos[Errores parada por tiempo excedido],dataIntentos[Nivel],A38,dataIntentos[Intento],B38)</f>
        <v>0</v>
      </c>
      <c r="AA38" cm="1">
        <f t="array" ref="AA38">_xlfn.STDEV.P(IF((dataIntentos[Nivel]=A38)*(dataIntentos[Intento]=B38),dataIntentos[Errores parada por tiempo excedido]))</f>
        <v>0</v>
      </c>
      <c r="AB38">
        <f>AVERAGEIFS(dataIntentos[Num errores por tiempo excedido],dataIntentos[Nivel],A38,dataIntentos[Intento],B38)</f>
        <v>0</v>
      </c>
      <c r="AC38" cm="1">
        <f t="array" ref="AC38">_xlfn.STDEV.P(IF((dataIntentos[Nivel]=A38)*(dataIntentos[Intento]=B38),dataIntentos[Num errores por tiempo excedido]))</f>
        <v>0</v>
      </c>
      <c r="AD38">
        <f>AVERAGEIFS(dataIntentos[Tiempo duracion],dataIntentos[Nivel],A38,dataIntentos[Intento],B38)</f>
        <v>167.624</v>
      </c>
      <c r="AE38" cm="1">
        <f t="array" ref="AE38">_xlfn.STDEV.P(IF((dataIntentos[Nivel]=A38)*(dataIntentos[Intento]=B38),dataIntentos[Tiempo duracion]))</f>
        <v>0</v>
      </c>
      <c r="AF38">
        <f>AVERAGEIFS(dataIntentos[%Reglas respetadas ejecucion],dataIntentos[Nivel],A38,dataIntentos[Intento],B38)</f>
        <v>100</v>
      </c>
      <c r="AG38" cm="1">
        <f t="array" ref="AG38">_xlfn.STDEV.P(IF((dataIntentos[Nivel]=A38)*(dataIntentos[Intento]=B38),dataIntentos[%Reglas respetadas ejecucion]))</f>
        <v>0</v>
      </c>
      <c r="AH38">
        <f>COUNTIFS(dataIntentos[Nivel],A38,dataIntentos[Intento],B38,dataIntentos[Reglas planificacion cumplidas],"VERDADERO")</f>
        <v>0</v>
      </c>
      <c r="AI38">
        <f>COUNTIFS(dataIntentos[Nivel],A38,dataIntentos[Intento],B38,dataIntentos[Completado],"VERDADERO")</f>
        <v>0</v>
      </c>
    </row>
    <row r="39" spans="1:35" x14ac:dyDescent="0.3">
      <c r="A39">
        <v>2</v>
      </c>
      <c r="B39">
        <v>21</v>
      </c>
      <c r="C39">
        <f>COUNTIFS(dataIntentos[Nivel],A39,dataIntentos[Intento],B39)</f>
        <v>1</v>
      </c>
      <c r="D39">
        <f>AVERAGEIFS(dataIntentos[Pasos planificados],dataIntentos[Nivel],A39,dataIntentos[Intento],B39)</f>
        <v>1</v>
      </c>
      <c r="E39" cm="1">
        <f t="array" ref="E39">_xlfn.STDEV.P(IF((dataIntentos[Nivel]=A39)*(dataIntentos[Intento]=B39),dataIntentos[Pasos planificados]))</f>
        <v>0</v>
      </c>
      <c r="F39">
        <f>AVERAGEIFS(dataIntentos[Pasos ejecutados],dataIntentos[Nivel],A39,dataIntentos[Intento],B39)</f>
        <v>1</v>
      </c>
      <c r="G39" cm="1">
        <f t="array" ref="G39">_xlfn.STDEV.P(IF((dataIntentos[Nivel]=A39)*(dataIntentos[Intento]=B39),dataIntentos[Pasos ejecutados]))</f>
        <v>0</v>
      </c>
      <c r="H39">
        <f>AVERAGEIFS(dataIntentos[Errores ejecucion],dataIntentos[Nivel],A39,dataIntentos[Intento],B39)</f>
        <v>0</v>
      </c>
      <c r="I39" cm="1">
        <f t="array" ref="I39">_xlfn.STDEV.P(IF((dataIntentos[Nivel]=A39)*(dataIntentos[Intento]=B39),dataIntentos[Errores ejecucion]))</f>
        <v>0</v>
      </c>
      <c r="J39">
        <f>AVERAGEIFS(dataIntentos[Num dormir planificado],dataIntentos[Nivel],A39,dataIntentos[Intento],B39)</f>
        <v>1</v>
      </c>
      <c r="K39" cm="1">
        <f t="array" ref="K39">_xlfn.STDEV.P(IF((dataIntentos[Nivel]=A39)*(dataIntentos[Intento]=B39),dataIntentos[Num dormir planificado]))</f>
        <v>0</v>
      </c>
      <c r="L39">
        <f>AVERAGEIFS(dataIntentos[Correctos dormir],dataIntentos[Nivel],A39,dataIntentos[Intento],B39)</f>
        <v>1</v>
      </c>
      <c r="M39" cm="1">
        <f t="array" ref="M39">_xlfn.STDEV.P(IF((dataIntentos[Nivel]=A39)*(dataIntentos[Intento]=B39),dataIntentos[Correctos dormir]))</f>
        <v>0</v>
      </c>
      <c r="N39">
        <f>AVERAGEIFS(dataIntentos[Errores dormir],dataIntentos[Nivel],A39,dataIntentos[Intento],B39)</f>
        <v>0</v>
      </c>
      <c r="O39" cm="1">
        <f t="array" ref="O39">_xlfn.STDEV.P(IF((dataIntentos[Nivel]=A39)*(dataIntentos[Intento]=B39),dataIntentos[Errores dormir]))</f>
        <v>0</v>
      </c>
      <c r="P39">
        <f>AVERAGEIFS(dataIntentos[Num ubicacion planificado],dataIntentos[Nivel],A39,dataIntentos[Intento],B39)</f>
        <v>0</v>
      </c>
      <c r="Q39" cm="1">
        <f t="array" ref="Q39">_xlfn.STDEV.P(IF((dataIntentos[Nivel]=A39)*(dataIntentos[Intento]=B39),dataIntentos[Num ubicacion planificado]))</f>
        <v>0</v>
      </c>
      <c r="R39">
        <f>AVERAGEIFS(dataIntentos[Correctos ubicacion],dataIntentos[Nivel],A39,dataIntentos[Intento],B39)</f>
        <v>0</v>
      </c>
      <c r="S39" cm="1">
        <f t="array" ref="S39">_xlfn.STDEV.P(IF((dataIntentos[Nivel]=A39)*(dataIntentos[Intento]=B39),dataIntentos[Correctos ubicacion]))</f>
        <v>0</v>
      </c>
      <c r="T39">
        <f>AVERAGEIFS(dataIntentos[Errores ubicacion],dataIntentos[Nivel],A39,dataIntentos[Intento],B39)</f>
        <v>0</v>
      </c>
      <c r="U39" cm="1">
        <f t="array" ref="U39">_xlfn.STDEV.P(IF((dataIntentos[Nivel]=A39)*(dataIntentos[Intento]=B39),dataIntentos[Errores ubicacion]))</f>
        <v>0</v>
      </c>
      <c r="V39">
        <f>AVERAGEIFS(dataIntentos[Paradas posibles],dataIntentos[Nivel],A39,dataIntentos[Intento],B39)</f>
        <v>4</v>
      </c>
      <c r="W39" cm="1">
        <f t="array" ref="W39">_xlfn.STDEV.P(IF((dataIntentos[Nivel]=A39)*(dataIntentos[Intento]=B39),dataIntentos[Paradas posibles]))</f>
        <v>0</v>
      </c>
      <c r="X39">
        <f>AVERAGEIFS(dataIntentos[Paradas realizadas],dataIntentos[Nivel],A39,dataIntentos[Intento],B39)</f>
        <v>2</v>
      </c>
      <c r="Y39" cm="1">
        <f t="array" ref="Y39">_xlfn.STDEV.P(IF((dataIntentos[Nivel]=A39)*(dataIntentos[Intento]=B39),dataIntentos[Paradas realizadas]))</f>
        <v>0</v>
      </c>
      <c r="Z39">
        <f>AVERAGEIFS(dataIntentos[Errores parada por tiempo excedido],dataIntentos[Nivel],A39,dataIntentos[Intento],B39)</f>
        <v>1</v>
      </c>
      <c r="AA39" cm="1">
        <f t="array" ref="AA39">_xlfn.STDEV.P(IF((dataIntentos[Nivel]=A39)*(dataIntentos[Intento]=B39),dataIntentos[Errores parada por tiempo excedido]))</f>
        <v>0</v>
      </c>
      <c r="AB39">
        <f>AVERAGEIFS(dataIntentos[Num errores por tiempo excedido],dataIntentos[Nivel],A39,dataIntentos[Intento],B39)</f>
        <v>1</v>
      </c>
      <c r="AC39" cm="1">
        <f t="array" ref="AC39">_xlfn.STDEV.P(IF((dataIntentos[Nivel]=A39)*(dataIntentos[Intento]=B39),dataIntentos[Num errores por tiempo excedido]))</f>
        <v>0</v>
      </c>
      <c r="AD39">
        <f>AVERAGEIFS(dataIntentos[Tiempo duracion],dataIntentos[Nivel],A39,dataIntentos[Intento],B39)</f>
        <v>222.68199999999999</v>
      </c>
      <c r="AE39" cm="1">
        <f t="array" ref="AE39">_xlfn.STDEV.P(IF((dataIntentos[Nivel]=A39)*(dataIntentos[Intento]=B39),dataIntentos[Tiempo duracion]))</f>
        <v>0</v>
      </c>
      <c r="AF39">
        <f>AVERAGEIFS(dataIntentos[%Reglas respetadas ejecucion],dataIntentos[Nivel],A39,dataIntentos[Intento],B39)</f>
        <v>75</v>
      </c>
      <c r="AG39" cm="1">
        <f t="array" ref="AG39">_xlfn.STDEV.P(IF((dataIntentos[Nivel]=A39)*(dataIntentos[Intento]=B39),dataIntentos[%Reglas respetadas ejecucion]))</f>
        <v>0</v>
      </c>
      <c r="AH39">
        <f>COUNTIFS(dataIntentos[Nivel],A39,dataIntentos[Intento],B39,dataIntentos[Reglas planificacion cumplidas],"VERDADERO")</f>
        <v>0</v>
      </c>
      <c r="AI39">
        <f>COUNTIFS(dataIntentos[Nivel],A39,dataIntentos[Intento],B39,dataIntentos[Completado],"VERDADERO")</f>
        <v>0</v>
      </c>
    </row>
    <row r="40" spans="1:35" x14ac:dyDescent="0.3">
      <c r="A40">
        <v>3</v>
      </c>
      <c r="B40">
        <v>1</v>
      </c>
      <c r="C40">
        <f>COUNTIFS(dataIntentos[Nivel],A40,dataIntentos[Intento],B40)</f>
        <v>49</v>
      </c>
      <c r="D40">
        <f>AVERAGEIFS(dataIntentos[Pasos planificados],dataIntentos[Nivel],A40,dataIntentos[Intento],B40)</f>
        <v>2.9591836734693877</v>
      </c>
      <c r="E40" cm="1">
        <f t="array" ref="E40">_xlfn.STDEV.P(IF((dataIntentos[Nivel]=A40)*(dataIntentos[Intento]=B40),dataIntentos[Pasos planificados]))</f>
        <v>2.1755523218345192</v>
      </c>
      <c r="F40">
        <f>AVERAGEIFS(dataIntentos[Pasos ejecutados],dataIntentos[Nivel],A40,dataIntentos[Intento],B40)</f>
        <v>2.3877551020408165</v>
      </c>
      <c r="G40" cm="1">
        <f t="array" ref="G40">_xlfn.STDEV.P(IF((dataIntentos[Nivel]=A40)*(dataIntentos[Intento]=B40),dataIntentos[Pasos ejecutados]))</f>
        <v>1.9253022718482864</v>
      </c>
      <c r="H40">
        <f>AVERAGEIFS(dataIntentos[Errores ejecucion],dataIntentos[Nivel],A40,dataIntentos[Intento],B40)</f>
        <v>0.5714285714285714</v>
      </c>
      <c r="I40" cm="1">
        <f t="array" ref="I40">_xlfn.STDEV.P(IF((dataIntentos[Nivel]=A40)*(dataIntentos[Intento]=B40),dataIntentos[Errores ejecucion]))</f>
        <v>0.7559289460184544</v>
      </c>
      <c r="J40">
        <f>AVERAGEIFS(dataIntentos[Num dormir planificado],dataIntentos[Nivel],A40,dataIntentos[Intento],B40)</f>
        <v>1.4081632653061225</v>
      </c>
      <c r="K40" cm="1">
        <f t="array" ref="K40">_xlfn.STDEV.P(IF((dataIntentos[Nivel]=A40)*(dataIntentos[Intento]=B40),dataIntentos[Num dormir planificado]))</f>
        <v>0.85519701386763114</v>
      </c>
      <c r="L40">
        <f>AVERAGEIFS(dataIntentos[Correctos dormir],dataIntentos[Nivel],A40,dataIntentos[Intento],B40)</f>
        <v>1.346938775510204</v>
      </c>
      <c r="M40" cm="1">
        <f t="array" ref="M40">_xlfn.STDEV.P(IF((dataIntentos[Nivel]=A40)*(dataIntentos[Intento]=B40),dataIntentos[Correctos dormir]))</f>
        <v>0.87016349409501403</v>
      </c>
      <c r="N40">
        <f>AVERAGEIFS(dataIntentos[Errores dormir],dataIntentos[Nivel],A40,dataIntentos[Intento],B40)</f>
        <v>6.1224489795918366E-2</v>
      </c>
      <c r="O40" cm="1">
        <f t="array" ref="O40">_xlfn.STDEV.P(IF((dataIntentos[Nivel]=A40)*(dataIntentos[Intento]=B40),dataIntentos[Errores dormir]))</f>
        <v>0.23974163519328021</v>
      </c>
      <c r="P40">
        <f>AVERAGEIFS(dataIntentos[Num ubicacion planificado],dataIntentos[Nivel],A40,dataIntentos[Intento],B40)</f>
        <v>1.5510204081632653</v>
      </c>
      <c r="Q40" cm="1">
        <f t="array" ref="Q40">_xlfn.STDEV.P(IF((dataIntentos[Nivel]=A40)*(dataIntentos[Intento]=B40),dataIntentos[Num ubicacion planificado]))</f>
        <v>1.591575070068999</v>
      </c>
      <c r="R40">
        <f>AVERAGEIFS(dataIntentos[Correctos ubicacion],dataIntentos[Nivel],A40,dataIntentos[Intento],B40)</f>
        <v>1.0408163265306123</v>
      </c>
      <c r="S40" cm="1">
        <f t="array" ref="S40">_xlfn.STDEV.P(IF((dataIntentos[Nivel]=A40)*(dataIntentos[Intento]=B40),dataIntentos[Correctos ubicacion]))</f>
        <v>1.3546470836960074</v>
      </c>
      <c r="T40">
        <f>AVERAGEIFS(dataIntentos[Errores ubicacion],dataIntentos[Nivel],A40,dataIntentos[Intento],B40)</f>
        <v>0.51020408163265307</v>
      </c>
      <c r="U40" cm="1">
        <f t="array" ref="U40">_xlfn.STDEV.P(IF((dataIntentos[Nivel]=A40)*(dataIntentos[Intento]=B40),dataIntentos[Errores ubicacion]))</f>
        <v>0.73185392151188189</v>
      </c>
      <c r="V40">
        <f>AVERAGEIFS(dataIntentos[Paradas posibles],dataIntentos[Nivel],A40,dataIntentos[Intento],B40)</f>
        <v>2.9183673469387754</v>
      </c>
      <c r="W40" cm="1">
        <f t="array" ref="W40">_xlfn.STDEV.P(IF((dataIntentos[Nivel]=A40)*(dataIntentos[Intento]=B40),dataIntentos[Paradas posibles]))</f>
        <v>1.5096524088903616</v>
      </c>
      <c r="X40">
        <f>AVERAGEIFS(dataIntentos[Paradas realizadas],dataIntentos[Nivel],A40,dataIntentos[Intento],B40)</f>
        <v>2.3265306122448979</v>
      </c>
      <c r="Y40" cm="1">
        <f t="array" ref="Y40">_xlfn.STDEV.P(IF((dataIntentos[Nivel]=A40)*(dataIntentos[Intento]=B40),dataIntentos[Paradas realizadas]))</f>
        <v>1.4053506367907607</v>
      </c>
      <c r="Z40">
        <f>AVERAGEIFS(dataIntentos[Errores parada por tiempo excedido],dataIntentos[Nivel],A40,dataIntentos[Intento],B40)</f>
        <v>0</v>
      </c>
      <c r="AA40" cm="1">
        <f t="array" ref="AA40">_xlfn.STDEV.P(IF((dataIntentos[Nivel]=A40)*(dataIntentos[Intento]=B40),dataIntentos[Errores parada por tiempo excedido]))</f>
        <v>0</v>
      </c>
      <c r="AB40">
        <f>AVERAGEIFS(dataIntentos[Num errores por tiempo excedido],dataIntentos[Nivel],A40,dataIntentos[Intento],B40)</f>
        <v>4.0816326530612242E-2</v>
      </c>
      <c r="AC40" cm="1">
        <f t="array" ref="AC40">_xlfn.STDEV.P(IF((dataIntentos[Nivel]=A40)*(dataIntentos[Intento]=B40),dataIntentos[Num errores por tiempo excedido]))</f>
        <v>0.1978644839761767</v>
      </c>
      <c r="AD40">
        <f>AVERAGEIFS(dataIntentos[Tiempo duracion],dataIntentos[Nivel],A40,dataIntentos[Intento],B40)</f>
        <v>174.17599999999996</v>
      </c>
      <c r="AE40" cm="1">
        <f t="array" ref="AE40">_xlfn.STDEV.P(IF((dataIntentos[Nivel]=A40)*(dataIntentos[Intento]=B40),dataIntentos[Tiempo duracion]))</f>
        <v>87.309995741657104</v>
      </c>
      <c r="AF40">
        <f>AVERAGEIFS(dataIntentos[%Reglas respetadas ejecucion],dataIntentos[Nivel],A40,dataIntentos[Intento],B40)</f>
        <v>88.775510204081627</v>
      </c>
      <c r="AG40" cm="1">
        <f t="array" ref="AG40">_xlfn.STDEV.P(IF((dataIntentos[Nivel]=A40)*(dataIntentos[Intento]=B40),dataIntentos[%Reglas respetadas ejecucion]))</f>
        <v>13.42137391629174</v>
      </c>
      <c r="AH40">
        <f>COUNTIFS(dataIntentos[Nivel],A40,dataIntentos[Intento],B40,dataIntentos[Reglas planificacion cumplidas],"VERDADERO")</f>
        <v>27</v>
      </c>
      <c r="AI40">
        <f>COUNTIFS(dataIntentos[Nivel],A40,dataIntentos[Intento],B40,dataIntentos[Completado],"VERDADERO")</f>
        <v>10</v>
      </c>
    </row>
    <row r="41" spans="1:35" x14ac:dyDescent="0.3">
      <c r="A41">
        <v>3</v>
      </c>
      <c r="B41">
        <v>2</v>
      </c>
      <c r="C41">
        <f>COUNTIFS(dataIntentos[Nivel],A41,dataIntentos[Intento],B41)</f>
        <v>35</v>
      </c>
      <c r="D41">
        <f>AVERAGEIFS(dataIntentos[Pasos planificados],dataIntentos[Nivel],A41,dataIntentos[Intento],B41)</f>
        <v>3.5428571428571427</v>
      </c>
      <c r="E41" cm="1">
        <f t="array" ref="E41">_xlfn.STDEV.P(IF((dataIntentos[Nivel]=A41)*(dataIntentos[Intento]=B41),dataIntentos[Pasos planificados]))</f>
        <v>3.4997375994931565</v>
      </c>
      <c r="F41">
        <f>AVERAGEIFS(dataIntentos[Pasos ejecutados],dataIntentos[Nivel],A41,dataIntentos[Intento],B41)</f>
        <v>3.0285714285714285</v>
      </c>
      <c r="G41" cm="1">
        <f t="array" ref="G41">_xlfn.STDEV.P(IF((dataIntentos[Nivel]=A41)*(dataIntentos[Intento]=B41),dataIntentos[Pasos ejecutados]))</f>
        <v>2.8534261539991763</v>
      </c>
      <c r="H41">
        <f>AVERAGEIFS(dataIntentos[Errores ejecucion],dataIntentos[Nivel],A41,dataIntentos[Intento],B41)</f>
        <v>0.51428571428571423</v>
      </c>
      <c r="I41" cm="1">
        <f t="array" ref="I41">_xlfn.STDEV.P(IF((dataIntentos[Nivel]=A41)*(dataIntentos[Intento]=B41),dataIntentos[Errores ejecucion]))</f>
        <v>1.1050902631893551</v>
      </c>
      <c r="J41">
        <f>AVERAGEIFS(dataIntentos[Num dormir planificado],dataIntentos[Nivel],A41,dataIntentos[Intento],B41)</f>
        <v>1.4</v>
      </c>
      <c r="K41" cm="1">
        <f t="array" ref="K41">_xlfn.STDEV.P(IF((dataIntentos[Nivel]=A41)*(dataIntentos[Intento]=B41),dataIntentos[Num dormir planificado]))</f>
        <v>1.1006491591004699</v>
      </c>
      <c r="L41">
        <f>AVERAGEIFS(dataIntentos[Correctos dormir],dataIntentos[Nivel],A41,dataIntentos[Intento],B41)</f>
        <v>1.4</v>
      </c>
      <c r="M41" cm="1">
        <f t="array" ref="M41">_xlfn.STDEV.P(IF((dataIntentos[Nivel]=A41)*(dataIntentos[Intento]=B41),dataIntentos[Correctos dormir]))</f>
        <v>1.1006491591004699</v>
      </c>
      <c r="N41">
        <f>AVERAGEIFS(dataIntentos[Errores dormir],dataIntentos[Nivel],A41,dataIntentos[Intento],B41)</f>
        <v>0</v>
      </c>
      <c r="O41" cm="1">
        <f t="array" ref="O41">_xlfn.STDEV.P(IF((dataIntentos[Nivel]=A41)*(dataIntentos[Intento]=B41),dataIntentos[Errores dormir]))</f>
        <v>0</v>
      </c>
      <c r="P41">
        <f>AVERAGEIFS(dataIntentos[Num ubicacion planificado],dataIntentos[Nivel],A41,dataIntentos[Intento],B41)</f>
        <v>2.1428571428571428</v>
      </c>
      <c r="Q41" cm="1">
        <f t="array" ref="Q41">_xlfn.STDEV.P(IF((dataIntentos[Nivel]=A41)*(dataIntentos[Intento]=B41),dataIntentos[Num ubicacion planificado]))</f>
        <v>2.6954231805876012</v>
      </c>
      <c r="R41">
        <f>AVERAGEIFS(dataIntentos[Correctos ubicacion],dataIntentos[Nivel],A41,dataIntentos[Intento],B41)</f>
        <v>1.6285714285714286</v>
      </c>
      <c r="S41" cm="1">
        <f t="array" ref="S41">_xlfn.STDEV.P(IF((dataIntentos[Nivel]=A41)*(dataIntentos[Intento]=B41),dataIntentos[Correctos ubicacion]))</f>
        <v>2.152549508781413</v>
      </c>
      <c r="T41">
        <f>AVERAGEIFS(dataIntentos[Errores ubicacion],dataIntentos[Nivel],A41,dataIntentos[Intento],B41)</f>
        <v>0.51428571428571423</v>
      </c>
      <c r="U41" cm="1">
        <f t="array" ref="U41">_xlfn.STDEV.P(IF((dataIntentos[Nivel]=A41)*(dataIntentos[Intento]=B41),dataIntentos[Errores ubicacion]))</f>
        <v>1.1050902631893551</v>
      </c>
      <c r="V41">
        <f>AVERAGEIFS(dataIntentos[Paradas posibles],dataIntentos[Nivel],A41,dataIntentos[Intento],B41)</f>
        <v>2.6857142857142855</v>
      </c>
      <c r="W41" cm="1">
        <f t="array" ref="W41">_xlfn.STDEV.P(IF((dataIntentos[Nivel]=A41)*(dataIntentos[Intento]=B41),dataIntentos[Paradas posibles]))</f>
        <v>1.7365224456025994</v>
      </c>
      <c r="X41">
        <f>AVERAGEIFS(dataIntentos[Paradas realizadas],dataIntentos[Nivel],A41,dataIntentos[Intento],B41)</f>
        <v>2.0857142857142859</v>
      </c>
      <c r="Y41" cm="1">
        <f t="array" ref="Y41">_xlfn.STDEV.P(IF((dataIntentos[Nivel]=A41)*(dataIntentos[Intento]=B41),dataIntentos[Paradas realizadas]))</f>
        <v>1.4613384974336481</v>
      </c>
      <c r="Z41">
        <f>AVERAGEIFS(dataIntentos[Errores parada por tiempo excedido],dataIntentos[Nivel],A41,dataIntentos[Intento],B41)</f>
        <v>2.8571428571428571E-2</v>
      </c>
      <c r="AA41" cm="1">
        <f t="array" ref="AA41">_xlfn.STDEV.P(IF((dataIntentos[Nivel]=A41)*(dataIntentos[Intento]=B41),dataIntentos[Errores parada por tiempo excedido]))</f>
        <v>0.16659862556700858</v>
      </c>
      <c r="AB41">
        <f>AVERAGEIFS(dataIntentos[Num errores por tiempo excedido],dataIntentos[Nivel],A41,dataIntentos[Intento],B41)</f>
        <v>2.8571428571428571E-2</v>
      </c>
      <c r="AC41" cm="1">
        <f t="array" ref="AC41">_xlfn.STDEV.P(IF((dataIntentos[Nivel]=A41)*(dataIntentos[Intento]=B41),dataIntentos[Num errores por tiempo excedido]))</f>
        <v>0.16659862556700858</v>
      </c>
      <c r="AD41">
        <f>AVERAGEIFS(dataIntentos[Tiempo duracion],dataIntentos[Nivel],A41,dataIntentos[Intento],B41)</f>
        <v>139.69280000000001</v>
      </c>
      <c r="AE41" cm="1">
        <f t="array" ref="AE41">_xlfn.STDEV.P(IF((dataIntentos[Nivel]=A41)*(dataIntentos[Intento]=B41),dataIntentos[Tiempo duracion]))</f>
        <v>99.840032660766212</v>
      </c>
      <c r="AF41">
        <f>AVERAGEIFS(dataIntentos[%Reglas respetadas ejecucion],dataIntentos[Nivel],A41,dataIntentos[Intento],B41)</f>
        <v>91.428571428571431</v>
      </c>
      <c r="AG41" cm="1">
        <f t="array" ref="AG41">_xlfn.STDEV.P(IF((dataIntentos[Nivel]=A41)*(dataIntentos[Intento]=B41),dataIntentos[%Reglas respetadas ejecucion]))</f>
        <v>13.286482312670195</v>
      </c>
      <c r="AH41">
        <f>COUNTIFS(dataIntentos[Nivel],A41,dataIntentos[Intento],B41,dataIntentos[Reglas planificacion cumplidas],"VERDADERO")</f>
        <v>15</v>
      </c>
      <c r="AI41">
        <f>COUNTIFS(dataIntentos[Nivel],A41,dataIntentos[Intento],B41,dataIntentos[Completado],"VERDADERO")</f>
        <v>10</v>
      </c>
    </row>
    <row r="42" spans="1:35" x14ac:dyDescent="0.3">
      <c r="A42">
        <v>3</v>
      </c>
      <c r="B42">
        <v>3</v>
      </c>
      <c r="C42">
        <f>COUNTIFS(dataIntentos[Nivel],A42,dataIntentos[Intento],B42)</f>
        <v>19</v>
      </c>
      <c r="D42">
        <f>AVERAGEIFS(dataIntentos[Pasos planificados],dataIntentos[Nivel],A42,dataIntentos[Intento],B42)</f>
        <v>2.263157894736842</v>
      </c>
      <c r="E42" cm="1">
        <f t="array" ref="E42">_xlfn.STDEV.P(IF((dataIntentos[Nivel]=A42)*(dataIntentos[Intento]=B42),dataIntentos[Pasos planificados]))</f>
        <v>1.9423833776048351</v>
      </c>
      <c r="F42">
        <f>AVERAGEIFS(dataIntentos[Pasos ejecutados],dataIntentos[Nivel],A42,dataIntentos[Intento],B42)</f>
        <v>1.8421052631578947</v>
      </c>
      <c r="G42" cm="1">
        <f t="array" ref="G42">_xlfn.STDEV.P(IF((dataIntentos[Nivel]=A42)*(dataIntentos[Intento]=B42),dataIntentos[Pasos ejecutados]))</f>
        <v>1.6626914735717173</v>
      </c>
      <c r="H42">
        <f>AVERAGEIFS(dataIntentos[Errores ejecucion],dataIntentos[Nivel],A42,dataIntentos[Intento],B42)</f>
        <v>0.42105263157894735</v>
      </c>
      <c r="I42" cm="1">
        <f t="array" ref="I42">_xlfn.STDEV.P(IF((dataIntentos[Nivel]=A42)*(dataIntentos[Intento]=B42),dataIntentos[Errores ejecucion]))</f>
        <v>0.59078800843799073</v>
      </c>
      <c r="J42">
        <f>AVERAGEIFS(dataIntentos[Num dormir planificado],dataIntentos[Nivel],A42,dataIntentos[Intento],B42)</f>
        <v>1.1578947368421053</v>
      </c>
      <c r="K42" cm="1">
        <f t="array" ref="K42">_xlfn.STDEV.P(IF((dataIntentos[Nivel]=A42)*(dataIntentos[Intento]=B42),dataIntentos[Num dormir planificado]))</f>
        <v>0.87438145925453425</v>
      </c>
      <c r="L42">
        <f>AVERAGEIFS(dataIntentos[Correctos dormir],dataIntentos[Nivel],A42,dataIntentos[Intento],B42)</f>
        <v>1.1052631578947369</v>
      </c>
      <c r="M42" cm="1">
        <f t="array" ref="M42">_xlfn.STDEV.P(IF((dataIntentos[Nivel]=A42)*(dataIntentos[Intento]=B42),dataIntentos[Correctos dormir]))</f>
        <v>0.91160568819414589</v>
      </c>
      <c r="N42">
        <f>AVERAGEIFS(dataIntentos[Errores dormir],dataIntentos[Nivel],A42,dataIntentos[Intento],B42)</f>
        <v>5.2631578947368418E-2</v>
      </c>
      <c r="O42" cm="1">
        <f t="array" ref="O42">_xlfn.STDEV.P(IF((dataIntentos[Nivel]=A42)*(dataIntentos[Intento]=B42),dataIntentos[Errores dormir]))</f>
        <v>0.22329687826943606</v>
      </c>
      <c r="P42">
        <f>AVERAGEIFS(dataIntentos[Num ubicacion planificado],dataIntentos[Nivel],A42,dataIntentos[Intento],B42)</f>
        <v>1.1052631578947369</v>
      </c>
      <c r="Q42" cm="1">
        <f t="array" ref="Q42">_xlfn.STDEV.P(IF((dataIntentos[Nivel]=A42)*(dataIntentos[Intento]=B42),dataIntentos[Num ubicacion planificado]))</f>
        <v>1.1650496642725607</v>
      </c>
      <c r="R42">
        <f>AVERAGEIFS(dataIntentos[Correctos ubicacion],dataIntentos[Nivel],A42,dataIntentos[Intento],B42)</f>
        <v>0.73684210526315785</v>
      </c>
      <c r="S42" cm="1">
        <f t="array" ref="S42">_xlfn.STDEV.P(IF((dataIntentos[Nivel]=A42)*(dataIntentos[Intento]=B42),dataIntentos[Correctos ubicacion]))</f>
        <v>0.90856192113852996</v>
      </c>
      <c r="T42">
        <f>AVERAGEIFS(dataIntentos[Errores ubicacion],dataIntentos[Nivel],A42,dataIntentos[Intento],B42)</f>
        <v>0.36842105263157893</v>
      </c>
      <c r="U42" cm="1">
        <f t="array" ref="U42">_xlfn.STDEV.P(IF((dataIntentos[Nivel]=A42)*(dataIntentos[Intento]=B42),dataIntentos[Errores ubicacion]))</f>
        <v>0.58133479037827684</v>
      </c>
      <c r="V42">
        <f>AVERAGEIFS(dataIntentos[Paradas posibles],dataIntentos[Nivel],A42,dataIntentos[Intento],B42)</f>
        <v>2.8421052631578947</v>
      </c>
      <c r="W42" cm="1">
        <f t="array" ref="W42">_xlfn.STDEV.P(IF((dataIntentos[Nivel]=A42)*(dataIntentos[Intento]=B42),dataIntentos[Paradas posibles]))</f>
        <v>1.598129100072524</v>
      </c>
      <c r="X42">
        <f>AVERAGEIFS(dataIntentos[Paradas realizadas],dataIntentos[Nivel],A42,dataIntentos[Intento],B42)</f>
        <v>2.1578947368421053</v>
      </c>
      <c r="Y42" cm="1">
        <f t="array" ref="Y42">_xlfn.STDEV.P(IF((dataIntentos[Nivel]=A42)*(dataIntentos[Intento]=B42),dataIntentos[Paradas realizadas]))</f>
        <v>1.2675362714518206</v>
      </c>
      <c r="Z42">
        <f>AVERAGEIFS(dataIntentos[Errores parada por tiempo excedido],dataIntentos[Nivel],A42,dataIntentos[Intento],B42)</f>
        <v>5.2631578947368418E-2</v>
      </c>
      <c r="AA42" cm="1">
        <f t="array" ref="AA42">_xlfn.STDEV.P(IF((dataIntentos[Nivel]=A42)*(dataIntentos[Intento]=B42),dataIntentos[Errores parada por tiempo excedido]))</f>
        <v>0.22329687826943606</v>
      </c>
      <c r="AB42">
        <f>AVERAGEIFS(dataIntentos[Num errores por tiempo excedido],dataIntentos[Nivel],A42,dataIntentos[Intento],B42)</f>
        <v>0.10526315789473684</v>
      </c>
      <c r="AC42" cm="1">
        <f t="array" ref="AC42">_xlfn.STDEV.P(IF((dataIntentos[Nivel]=A42)*(dataIntentos[Intento]=B42),dataIntentos[Num errores por tiempo excedido]))</f>
        <v>0.44659375653887212</v>
      </c>
      <c r="AD42">
        <f>AVERAGEIFS(dataIntentos[Tiempo duracion],dataIntentos[Nivel],A42,dataIntentos[Intento],B42)</f>
        <v>177.63136842105263</v>
      </c>
      <c r="AE42" cm="1">
        <f t="array" ref="AE42">_xlfn.STDEV.P(IF((dataIntentos[Nivel]=A42)*(dataIntentos[Intento]=B42),dataIntentos[Tiempo duracion]))</f>
        <v>214.16858412947067</v>
      </c>
      <c r="AF42">
        <f>AVERAGEIFS(dataIntentos[%Reglas respetadas ejecucion],dataIntentos[Nivel],A42,dataIntentos[Intento],B42)</f>
        <v>89.473684210526315</v>
      </c>
      <c r="AG42" cm="1">
        <f t="array" ref="AG42">_xlfn.STDEV.P(IF((dataIntentos[Nivel]=A42)*(dataIntentos[Intento]=B42),dataIntentos[%Reglas respetadas ejecucion]))</f>
        <v>14.769700210949768</v>
      </c>
      <c r="AH42">
        <f>COUNTIFS(dataIntentos[Nivel],A42,dataIntentos[Intento],B42,dataIntentos[Reglas planificacion cumplidas],"VERDADERO")</f>
        <v>9</v>
      </c>
      <c r="AI42">
        <f>COUNTIFS(dataIntentos[Nivel],A42,dataIntentos[Intento],B42,dataIntentos[Completado],"VERDADERO")</f>
        <v>4</v>
      </c>
    </row>
    <row r="43" spans="1:35" x14ac:dyDescent="0.3">
      <c r="A43">
        <v>3</v>
      </c>
      <c r="B43">
        <v>4</v>
      </c>
      <c r="C43">
        <f>COUNTIFS(dataIntentos[Nivel],A43,dataIntentos[Intento],B43)</f>
        <v>12</v>
      </c>
      <c r="D43">
        <f>AVERAGEIFS(dataIntentos[Pasos planificados],dataIntentos[Nivel],A43,dataIntentos[Intento],B43)</f>
        <v>3.75</v>
      </c>
      <c r="E43" cm="1">
        <f t="array" ref="E43">_xlfn.STDEV.P(IF((dataIntentos[Nivel]=A43)*(dataIntentos[Intento]=B43),dataIntentos[Pasos planificados]))</f>
        <v>3.897114317029974</v>
      </c>
      <c r="F43">
        <f>AVERAGEIFS(dataIntentos[Pasos ejecutados],dataIntentos[Nivel],A43,dataIntentos[Intento],B43)</f>
        <v>3.0833333333333335</v>
      </c>
      <c r="G43" cm="1">
        <f t="array" ref="G43">_xlfn.STDEV.P(IF((dataIntentos[Nivel]=A43)*(dataIntentos[Intento]=B43),dataIntentos[Pasos ejecutados]))</f>
        <v>2.92854723180093</v>
      </c>
      <c r="H43">
        <f>AVERAGEIFS(dataIntentos[Errores ejecucion],dataIntentos[Nivel],A43,dataIntentos[Intento],B43)</f>
        <v>0.66666666666666663</v>
      </c>
      <c r="I43" cm="1">
        <f t="array" ref="I43">_xlfn.STDEV.P(IF((dataIntentos[Nivel]=A43)*(dataIntentos[Intento]=B43),dataIntentos[Errores ejecucion]))</f>
        <v>1.1055415967851334</v>
      </c>
      <c r="J43">
        <f>AVERAGEIFS(dataIntentos[Num dormir planificado],dataIntentos[Nivel],A43,dataIntentos[Intento],B43)</f>
        <v>1.4166666666666667</v>
      </c>
      <c r="K43" cm="1">
        <f t="array" ref="K43">_xlfn.STDEV.P(IF((dataIntentos[Nivel]=A43)*(dataIntentos[Intento]=B43),dataIntentos[Num dormir planificado]))</f>
        <v>1.1873172373979173</v>
      </c>
      <c r="L43">
        <f>AVERAGEIFS(dataIntentos[Correctos dormir],dataIntentos[Nivel],A43,dataIntentos[Intento],B43)</f>
        <v>1.4166666666666667</v>
      </c>
      <c r="M43" cm="1">
        <f t="array" ref="M43">_xlfn.STDEV.P(IF((dataIntentos[Nivel]=A43)*(dataIntentos[Intento]=B43),dataIntentos[Correctos dormir]))</f>
        <v>1.1873172373979173</v>
      </c>
      <c r="N43">
        <f>AVERAGEIFS(dataIntentos[Errores dormir],dataIntentos[Nivel],A43,dataIntentos[Intento],B43)</f>
        <v>0</v>
      </c>
      <c r="O43" cm="1">
        <f t="array" ref="O43">_xlfn.STDEV.P(IF((dataIntentos[Nivel]=A43)*(dataIntentos[Intento]=B43),dataIntentos[Errores dormir]))</f>
        <v>0</v>
      </c>
      <c r="P43">
        <f>AVERAGEIFS(dataIntentos[Num ubicacion planificado],dataIntentos[Nivel],A43,dataIntentos[Intento],B43)</f>
        <v>2.3333333333333335</v>
      </c>
      <c r="Q43" cm="1">
        <f t="array" ref="Q43">_xlfn.STDEV.P(IF((dataIntentos[Nivel]=A43)*(dataIntentos[Intento]=B43),dataIntentos[Num ubicacion planificado]))</f>
        <v>2.8674417556808756</v>
      </c>
      <c r="R43">
        <f>AVERAGEIFS(dataIntentos[Correctos ubicacion],dataIntentos[Nivel],A43,dataIntentos[Intento],B43)</f>
        <v>1.6666666666666667</v>
      </c>
      <c r="S43" cm="1">
        <f t="array" ref="S43">_xlfn.STDEV.P(IF((dataIntentos[Nivel]=A43)*(dataIntentos[Intento]=B43),dataIntentos[Correctos ubicacion]))</f>
        <v>1.9293061504650375</v>
      </c>
      <c r="T43">
        <f>AVERAGEIFS(dataIntentos[Errores ubicacion],dataIntentos[Nivel],A43,dataIntentos[Intento],B43)</f>
        <v>0.66666666666666663</v>
      </c>
      <c r="U43" cm="1">
        <f t="array" ref="U43">_xlfn.STDEV.P(IF((dataIntentos[Nivel]=A43)*(dataIntentos[Intento]=B43),dataIntentos[Errores ubicacion]))</f>
        <v>1.1055415967851334</v>
      </c>
      <c r="V43">
        <f>AVERAGEIFS(dataIntentos[Paradas posibles],dataIntentos[Nivel],A43,dataIntentos[Intento],B43)</f>
        <v>3</v>
      </c>
      <c r="W43" cm="1">
        <f t="array" ref="W43">_xlfn.STDEV.P(IF((dataIntentos[Nivel]=A43)*(dataIntentos[Intento]=B43),dataIntentos[Paradas posibles]))</f>
        <v>1.5811388300841898</v>
      </c>
      <c r="X43">
        <f>AVERAGEIFS(dataIntentos[Paradas realizadas],dataIntentos[Nivel],A43,dataIntentos[Intento],B43)</f>
        <v>2.3333333333333335</v>
      </c>
      <c r="Y43" cm="1">
        <f t="array" ref="Y43">_xlfn.STDEV.P(IF((dataIntentos[Nivel]=A43)*(dataIntentos[Intento]=B43),dataIntentos[Paradas realizadas]))</f>
        <v>1.4337208778404378</v>
      </c>
      <c r="Z43">
        <f>AVERAGEIFS(dataIntentos[Errores parada por tiempo excedido],dataIntentos[Nivel],A43,dataIntentos[Intento],B43)</f>
        <v>0</v>
      </c>
      <c r="AA43" cm="1">
        <f t="array" ref="AA43">_xlfn.STDEV.P(IF((dataIntentos[Nivel]=A43)*(dataIntentos[Intento]=B43),dataIntentos[Errores parada por tiempo excedido]))</f>
        <v>0</v>
      </c>
      <c r="AB43">
        <f>AVERAGEIFS(dataIntentos[Num errores por tiempo excedido],dataIntentos[Nivel],A43,dataIntentos[Intento],B43)</f>
        <v>0</v>
      </c>
      <c r="AC43" cm="1">
        <f t="array" ref="AC43">_xlfn.STDEV.P(IF((dataIntentos[Nivel]=A43)*(dataIntentos[Intento]=B43),dataIntentos[Num errores por tiempo excedido]))</f>
        <v>0</v>
      </c>
      <c r="AD43">
        <f>AVERAGEIFS(dataIntentos[Tiempo duracion],dataIntentos[Nivel],A43,dataIntentos[Intento],B43)</f>
        <v>140.45508333333333</v>
      </c>
      <c r="AE43" cm="1">
        <f t="array" ref="AE43">_xlfn.STDEV.P(IF((dataIntentos[Nivel]=A43)*(dataIntentos[Intento]=B43),dataIntentos[Tiempo duracion]))</f>
        <v>69.236190126573646</v>
      </c>
      <c r="AF43">
        <f>AVERAGEIFS(dataIntentos[%Reglas respetadas ejecucion],dataIntentos[Nivel],A43,dataIntentos[Intento],B43)</f>
        <v>89.583333333333329</v>
      </c>
      <c r="AG43" cm="1">
        <f t="array" ref="AG43">_xlfn.STDEV.P(IF((dataIntentos[Nivel]=A43)*(dataIntentos[Intento]=B43),dataIntentos[%Reglas respetadas ejecucion]))</f>
        <v>12.325166214790867</v>
      </c>
      <c r="AH43">
        <f>COUNTIFS(dataIntentos[Nivel],A43,dataIntentos[Intento],B43,dataIntentos[Reglas planificacion cumplidas],"VERDADERO")</f>
        <v>4</v>
      </c>
      <c r="AI43">
        <f>COUNTIFS(dataIntentos[Nivel],A43,dataIntentos[Intento],B43,dataIntentos[Completado],"VERDADERO")</f>
        <v>2</v>
      </c>
    </row>
    <row r="44" spans="1:35" x14ac:dyDescent="0.3">
      <c r="A44">
        <v>3</v>
      </c>
      <c r="B44">
        <v>5</v>
      </c>
      <c r="C44">
        <f>COUNTIFS(dataIntentos[Nivel],A44,dataIntentos[Intento],B44)</f>
        <v>6</v>
      </c>
      <c r="D44">
        <f>AVERAGEIFS(dataIntentos[Pasos planificados],dataIntentos[Nivel],A44,dataIntentos[Intento],B44)</f>
        <v>2.1666666666666665</v>
      </c>
      <c r="E44" cm="1">
        <f t="array" ref="E44">_xlfn.STDEV.P(IF((dataIntentos[Nivel]=A44)*(dataIntentos[Intento]=B44),dataIntentos[Pasos planificados]))</f>
        <v>1.6749792701868149</v>
      </c>
      <c r="F44">
        <f>AVERAGEIFS(dataIntentos[Pasos ejecutados],dataIntentos[Nivel],A44,dataIntentos[Intento],B44)</f>
        <v>2</v>
      </c>
      <c r="G44" cm="1">
        <f t="array" ref="G44">_xlfn.STDEV.P(IF((dataIntentos[Nivel]=A44)*(dataIntentos[Intento]=B44),dataIntentos[Pasos ejecutados]))</f>
        <v>1.5275252316519468</v>
      </c>
      <c r="H44">
        <f>AVERAGEIFS(dataIntentos[Errores ejecucion],dataIntentos[Nivel],A44,dataIntentos[Intento],B44)</f>
        <v>0.16666666666666666</v>
      </c>
      <c r="I44" cm="1">
        <f t="array" ref="I44">_xlfn.STDEV.P(IF((dataIntentos[Nivel]=A44)*(dataIntentos[Intento]=B44),dataIntentos[Errores ejecucion]))</f>
        <v>0.37267799624996495</v>
      </c>
      <c r="J44">
        <f>AVERAGEIFS(dataIntentos[Num dormir planificado],dataIntentos[Nivel],A44,dataIntentos[Intento],B44)</f>
        <v>1</v>
      </c>
      <c r="K44" cm="1">
        <f t="array" ref="K44">_xlfn.STDEV.P(IF((dataIntentos[Nivel]=A44)*(dataIntentos[Intento]=B44),dataIntentos[Num dormir planificado]))</f>
        <v>0.81649658092772603</v>
      </c>
      <c r="L44">
        <f>AVERAGEIFS(dataIntentos[Correctos dormir],dataIntentos[Nivel],A44,dataIntentos[Intento],B44)</f>
        <v>1</v>
      </c>
      <c r="M44" cm="1">
        <f t="array" ref="M44">_xlfn.STDEV.P(IF((dataIntentos[Nivel]=A44)*(dataIntentos[Intento]=B44),dataIntentos[Correctos dormir]))</f>
        <v>0.81649658092772603</v>
      </c>
      <c r="N44">
        <f>AVERAGEIFS(dataIntentos[Errores dormir],dataIntentos[Nivel],A44,dataIntentos[Intento],B44)</f>
        <v>0</v>
      </c>
      <c r="O44" cm="1">
        <f t="array" ref="O44">_xlfn.STDEV.P(IF((dataIntentos[Nivel]=A44)*(dataIntentos[Intento]=B44),dataIntentos[Errores dormir]))</f>
        <v>0</v>
      </c>
      <c r="P44">
        <f>AVERAGEIFS(dataIntentos[Num ubicacion planificado],dataIntentos[Nivel],A44,dataIntentos[Intento],B44)</f>
        <v>1.1666666666666667</v>
      </c>
      <c r="Q44" cm="1">
        <f t="array" ref="Q44">_xlfn.STDEV.P(IF((dataIntentos[Nivel]=A44)*(dataIntentos[Intento]=B44),dataIntentos[Num ubicacion planificado]))</f>
        <v>0.89752746785575066</v>
      </c>
      <c r="R44">
        <f>AVERAGEIFS(dataIntentos[Correctos ubicacion],dataIntentos[Nivel],A44,dataIntentos[Intento],B44)</f>
        <v>1</v>
      </c>
      <c r="S44" cm="1">
        <f t="array" ref="S44">_xlfn.STDEV.P(IF((dataIntentos[Nivel]=A44)*(dataIntentos[Intento]=B44),dataIntentos[Correctos ubicacion]))</f>
        <v>0.81649658092772603</v>
      </c>
      <c r="T44">
        <f>AVERAGEIFS(dataIntentos[Errores ubicacion],dataIntentos[Nivel],A44,dataIntentos[Intento],B44)</f>
        <v>0.16666666666666666</v>
      </c>
      <c r="U44" cm="1">
        <f t="array" ref="U44">_xlfn.STDEV.P(IF((dataIntentos[Nivel]=A44)*(dataIntentos[Intento]=B44),dataIntentos[Errores ubicacion]))</f>
        <v>0.37267799624996495</v>
      </c>
      <c r="V44">
        <f>AVERAGEIFS(dataIntentos[Paradas posibles],dataIntentos[Nivel],A44,dataIntentos[Intento],B44)</f>
        <v>2.6666666666666665</v>
      </c>
      <c r="W44" cm="1">
        <f t="array" ref="W44">_xlfn.STDEV.P(IF((dataIntentos[Nivel]=A44)*(dataIntentos[Intento]=B44),dataIntentos[Paradas posibles]))</f>
        <v>1.8856180831641267</v>
      </c>
      <c r="X44">
        <f>AVERAGEIFS(dataIntentos[Paradas realizadas],dataIntentos[Nivel],A44,dataIntentos[Intento],B44)</f>
        <v>2.1666666666666665</v>
      </c>
      <c r="Y44" cm="1">
        <f t="array" ref="Y44">_xlfn.STDEV.P(IF((dataIntentos[Nivel]=A44)*(dataIntentos[Intento]=B44),dataIntentos[Paradas realizadas]))</f>
        <v>1.5723301886761007</v>
      </c>
      <c r="Z44">
        <f>AVERAGEIFS(dataIntentos[Errores parada por tiempo excedido],dataIntentos[Nivel],A44,dataIntentos[Intento],B44)</f>
        <v>0</v>
      </c>
      <c r="AA44" cm="1">
        <f t="array" ref="AA44">_xlfn.STDEV.P(IF((dataIntentos[Nivel]=A44)*(dataIntentos[Intento]=B44),dataIntentos[Errores parada por tiempo excedido]))</f>
        <v>0</v>
      </c>
      <c r="AB44">
        <f>AVERAGEIFS(dataIntentos[Num errores por tiempo excedido],dataIntentos[Nivel],A44,dataIntentos[Intento],B44)</f>
        <v>0</v>
      </c>
      <c r="AC44" cm="1">
        <f t="array" ref="AC44">_xlfn.STDEV.P(IF((dataIntentos[Nivel]=A44)*(dataIntentos[Intento]=B44),dataIntentos[Num errores por tiempo excedido]))</f>
        <v>0</v>
      </c>
      <c r="AD44">
        <f>AVERAGEIFS(dataIntentos[Tiempo duracion],dataIntentos[Nivel],A44,dataIntentos[Intento],B44)</f>
        <v>409.03916666666669</v>
      </c>
      <c r="AE44" cm="1">
        <f t="array" ref="AE44">_xlfn.STDEV.P(IF((dataIntentos[Nivel]=A44)*(dataIntentos[Intento]=B44),dataIntentos[Tiempo duracion]))</f>
        <v>401.07811870981635</v>
      </c>
      <c r="AF44">
        <f>AVERAGEIFS(dataIntentos[%Reglas respetadas ejecucion],dataIntentos[Nivel],A44,dataIntentos[Intento],B44)</f>
        <v>95.833333333333329</v>
      </c>
      <c r="AG44" cm="1">
        <f t="array" ref="AG44">_xlfn.STDEV.P(IF((dataIntentos[Nivel]=A44)*(dataIntentos[Intento]=B44),dataIntentos[%Reglas respetadas ejecucion]))</f>
        <v>9.316949906249123</v>
      </c>
      <c r="AH44">
        <f>COUNTIFS(dataIntentos[Nivel],A44,dataIntentos[Intento],B44,dataIntentos[Reglas planificacion cumplidas],"VERDADERO")</f>
        <v>1</v>
      </c>
      <c r="AI44">
        <f>COUNTIFS(dataIntentos[Nivel],A44,dataIntentos[Intento],B44,dataIntentos[Completado],"VERDADERO")</f>
        <v>1</v>
      </c>
    </row>
    <row r="45" spans="1:35" x14ac:dyDescent="0.3">
      <c r="A45">
        <v>3</v>
      </c>
      <c r="B45">
        <v>6</v>
      </c>
      <c r="C45">
        <f>COUNTIFS(dataIntentos[Nivel],A45,dataIntentos[Intento],B45)</f>
        <v>6</v>
      </c>
      <c r="D45">
        <f>AVERAGEIFS(dataIntentos[Pasos planificados],dataIntentos[Nivel],A45,dataIntentos[Intento],B45)</f>
        <v>5.166666666666667</v>
      </c>
      <c r="E45" cm="1">
        <f t="array" ref="E45">_xlfn.STDEV.P(IF((dataIntentos[Nivel]=A45)*(dataIntentos[Intento]=B45),dataIntentos[Pasos planificados]))</f>
        <v>6.2294105303435856</v>
      </c>
      <c r="F45">
        <f>AVERAGEIFS(dataIntentos[Pasos ejecutados],dataIntentos[Nivel],A45,dataIntentos[Intento],B45)</f>
        <v>4</v>
      </c>
      <c r="G45" cm="1">
        <f t="array" ref="G45">_xlfn.STDEV.P(IF((dataIntentos[Nivel]=A45)*(dataIntentos[Intento]=B45),dataIntentos[Pasos ejecutados]))</f>
        <v>4.7258156262526079</v>
      </c>
      <c r="H45">
        <f>AVERAGEIFS(dataIntentos[Errores ejecucion],dataIntentos[Nivel],A45,dataIntentos[Intento],B45)</f>
        <v>1.1666666666666667</v>
      </c>
      <c r="I45" cm="1">
        <f t="array" ref="I45">_xlfn.STDEV.P(IF((dataIntentos[Nivel]=A45)*(dataIntentos[Intento]=B45),dataIntentos[Errores ejecucion]))</f>
        <v>2.1921577396609844</v>
      </c>
      <c r="J45">
        <f>AVERAGEIFS(dataIntentos[Num dormir planificado],dataIntentos[Nivel],A45,dataIntentos[Intento],B45)</f>
        <v>1.5</v>
      </c>
      <c r="K45" cm="1">
        <f t="array" ref="K45">_xlfn.STDEV.P(IF((dataIntentos[Nivel]=A45)*(dataIntentos[Intento]=B45),dataIntentos[Num dormir planificado]))</f>
        <v>1.8027756377319946</v>
      </c>
      <c r="L45">
        <f>AVERAGEIFS(dataIntentos[Correctos dormir],dataIntentos[Nivel],A45,dataIntentos[Intento],B45)</f>
        <v>1.5</v>
      </c>
      <c r="M45" cm="1">
        <f t="array" ref="M45">_xlfn.STDEV.P(IF((dataIntentos[Nivel]=A45)*(dataIntentos[Intento]=B45),dataIntentos[Correctos dormir]))</f>
        <v>1.8027756377319946</v>
      </c>
      <c r="N45">
        <f>AVERAGEIFS(dataIntentos[Errores dormir],dataIntentos[Nivel],A45,dataIntentos[Intento],B45)</f>
        <v>0</v>
      </c>
      <c r="O45" cm="1">
        <f t="array" ref="O45">_xlfn.STDEV.P(IF((dataIntentos[Nivel]=A45)*(dataIntentos[Intento]=B45),dataIntentos[Errores dormir]))</f>
        <v>0</v>
      </c>
      <c r="P45">
        <f>AVERAGEIFS(dataIntentos[Num ubicacion planificado],dataIntentos[Nivel],A45,dataIntentos[Intento],B45)</f>
        <v>3.6666666666666665</v>
      </c>
      <c r="Q45" cm="1">
        <f t="array" ref="Q45">_xlfn.STDEV.P(IF((dataIntentos[Nivel]=A45)*(dataIntentos[Intento]=B45),dataIntentos[Num ubicacion planificado]))</f>
        <v>4.5704364002673632</v>
      </c>
      <c r="R45">
        <f>AVERAGEIFS(dataIntentos[Correctos ubicacion],dataIntentos[Nivel],A45,dataIntentos[Intento],B45)</f>
        <v>2.5</v>
      </c>
      <c r="S45" cm="1">
        <f t="array" ref="S45">_xlfn.STDEV.P(IF((dataIntentos[Nivel]=A45)*(dataIntentos[Intento]=B45),dataIntentos[Correctos ubicacion]))</f>
        <v>3.4034296427770228</v>
      </c>
      <c r="T45">
        <f>AVERAGEIFS(dataIntentos[Errores ubicacion],dataIntentos[Nivel],A45,dataIntentos[Intento],B45)</f>
        <v>1.1666666666666667</v>
      </c>
      <c r="U45" cm="1">
        <f t="array" ref="U45">_xlfn.STDEV.P(IF((dataIntentos[Nivel]=A45)*(dataIntentos[Intento]=B45),dataIntentos[Errores ubicacion]))</f>
        <v>2.1921577396609844</v>
      </c>
      <c r="V45">
        <f>AVERAGEIFS(dataIntentos[Paradas posibles],dataIntentos[Nivel],A45,dataIntentos[Intento],B45)</f>
        <v>2</v>
      </c>
      <c r="W45" cm="1">
        <f t="array" ref="W45">_xlfn.STDEV.P(IF((dataIntentos[Nivel]=A45)*(dataIntentos[Intento]=B45),dataIntentos[Paradas posibles]))</f>
        <v>1.6329931618554521</v>
      </c>
      <c r="X45">
        <f>AVERAGEIFS(dataIntentos[Paradas realizadas],dataIntentos[Nivel],A45,dataIntentos[Intento],B45)</f>
        <v>1.6666666666666667</v>
      </c>
      <c r="Y45" cm="1">
        <f t="array" ref="Y45">_xlfn.STDEV.P(IF((dataIntentos[Nivel]=A45)*(dataIntentos[Intento]=B45),dataIntentos[Paradas realizadas]))</f>
        <v>1.247219128924647</v>
      </c>
      <c r="Z45">
        <f>AVERAGEIFS(dataIntentos[Errores parada por tiempo excedido],dataIntentos[Nivel],A45,dataIntentos[Intento],B45)</f>
        <v>0</v>
      </c>
      <c r="AA45" cm="1">
        <f t="array" ref="AA45">_xlfn.STDEV.P(IF((dataIntentos[Nivel]=A45)*(dataIntentos[Intento]=B45),dataIntentos[Errores parada por tiempo excedido]))</f>
        <v>0</v>
      </c>
      <c r="AB45">
        <f>AVERAGEIFS(dataIntentos[Num errores por tiempo excedido],dataIntentos[Nivel],A45,dataIntentos[Intento],B45)</f>
        <v>0</v>
      </c>
      <c r="AC45" cm="1">
        <f t="array" ref="AC45">_xlfn.STDEV.P(IF((dataIntentos[Nivel]=A45)*(dataIntentos[Intento]=B45),dataIntentos[Num errores por tiempo excedido]))</f>
        <v>0</v>
      </c>
      <c r="AD45">
        <f>AVERAGEIFS(dataIntentos[Tiempo duracion],dataIntentos[Nivel],A45,dataIntentos[Intento],B45)</f>
        <v>250.36616666666669</v>
      </c>
      <c r="AE45" cm="1">
        <f t="array" ref="AE45">_xlfn.STDEV.P(IF((dataIntentos[Nivel]=A45)*(dataIntentos[Intento]=B45),dataIntentos[Tiempo duracion]))</f>
        <v>184.75887804506777</v>
      </c>
      <c r="AF45">
        <f>AVERAGEIFS(dataIntentos[%Reglas respetadas ejecucion],dataIntentos[Nivel],A45,dataIntentos[Intento],B45)</f>
        <v>91.666666666666671</v>
      </c>
      <c r="AG45" cm="1">
        <f t="array" ref="AG45">_xlfn.STDEV.P(IF((dataIntentos[Nivel]=A45)*(dataIntentos[Intento]=B45),dataIntentos[%Reglas respetadas ejecucion]))</f>
        <v>11.785113019775793</v>
      </c>
      <c r="AH45">
        <f>COUNTIFS(dataIntentos[Nivel],A45,dataIntentos[Intento],B45,dataIntentos[Reglas planificacion cumplidas],"VERDADERO")</f>
        <v>1</v>
      </c>
      <c r="AI45">
        <f>COUNTIFS(dataIntentos[Nivel],A45,dataIntentos[Intento],B45,dataIntentos[Completado],"VERDADERO")</f>
        <v>1</v>
      </c>
    </row>
    <row r="46" spans="1:35" x14ac:dyDescent="0.3">
      <c r="A46">
        <v>3</v>
      </c>
      <c r="B46">
        <v>7</v>
      </c>
      <c r="C46">
        <f>COUNTIFS(dataIntentos[Nivel],A46,dataIntentos[Intento],B46)</f>
        <v>3</v>
      </c>
      <c r="D46">
        <f>AVERAGEIFS(dataIntentos[Pasos planificados],dataIntentos[Nivel],A46,dataIntentos[Intento],B46)</f>
        <v>2.6666666666666665</v>
      </c>
      <c r="E46" cm="1">
        <f t="array" ref="E46">_xlfn.STDEV.P(IF((dataIntentos[Nivel]=A46)*(dataIntentos[Intento]=B46),dataIntentos[Pasos planificados]))</f>
        <v>2.0548046676563256</v>
      </c>
      <c r="F46">
        <f>AVERAGEIFS(dataIntentos[Pasos ejecutados],dataIntentos[Nivel],A46,dataIntentos[Intento],B46)</f>
        <v>2.3333333333333335</v>
      </c>
      <c r="G46" cm="1">
        <f t="array" ref="G46">_xlfn.STDEV.P(IF((dataIntentos[Nivel]=A46)*(dataIntentos[Intento]=B46),dataIntentos[Pasos ejecutados]))</f>
        <v>1.699673171197595</v>
      </c>
      <c r="H46">
        <f>AVERAGEIFS(dataIntentos[Errores ejecucion],dataIntentos[Nivel],A46,dataIntentos[Intento],B46)</f>
        <v>0.33333333333333331</v>
      </c>
      <c r="I46" cm="1">
        <f t="array" ref="I46">_xlfn.STDEV.P(IF((dataIntentos[Nivel]=A46)*(dataIntentos[Intento]=B46),dataIntentos[Errores ejecucion]))</f>
        <v>0.47140452079103168</v>
      </c>
      <c r="J46">
        <f>AVERAGEIFS(dataIntentos[Num dormir planificado],dataIntentos[Nivel],A46,dataIntentos[Intento],B46)</f>
        <v>1.3333333333333333</v>
      </c>
      <c r="K46" cm="1">
        <f t="array" ref="K46">_xlfn.STDEV.P(IF((dataIntentos[Nivel]=A46)*(dataIntentos[Intento]=B46),dataIntentos[Num dormir planificado]))</f>
        <v>0.94280904158206336</v>
      </c>
      <c r="L46">
        <f>AVERAGEIFS(dataIntentos[Correctos dormir],dataIntentos[Nivel],A46,dataIntentos[Intento],B46)</f>
        <v>1.3333333333333333</v>
      </c>
      <c r="M46" cm="1">
        <f t="array" ref="M46">_xlfn.STDEV.P(IF((dataIntentos[Nivel]=A46)*(dataIntentos[Intento]=B46),dataIntentos[Correctos dormir]))</f>
        <v>0.94280904158206336</v>
      </c>
      <c r="N46">
        <f>AVERAGEIFS(dataIntentos[Errores dormir],dataIntentos[Nivel],A46,dataIntentos[Intento],B46)</f>
        <v>0</v>
      </c>
      <c r="O46" cm="1">
        <f t="array" ref="O46">_xlfn.STDEV.P(IF((dataIntentos[Nivel]=A46)*(dataIntentos[Intento]=B46),dataIntentos[Errores dormir]))</f>
        <v>0</v>
      </c>
      <c r="P46">
        <f>AVERAGEIFS(dataIntentos[Num ubicacion planificado],dataIntentos[Nivel],A46,dataIntentos[Intento],B46)</f>
        <v>1.3333333333333333</v>
      </c>
      <c r="Q46" cm="1">
        <f t="array" ref="Q46">_xlfn.STDEV.P(IF((dataIntentos[Nivel]=A46)*(dataIntentos[Intento]=B46),dataIntentos[Num ubicacion planificado]))</f>
        <v>1.247219128924647</v>
      </c>
      <c r="R46">
        <f>AVERAGEIFS(dataIntentos[Correctos ubicacion],dataIntentos[Nivel],A46,dataIntentos[Intento],B46)</f>
        <v>1</v>
      </c>
      <c r="S46" cm="1">
        <f t="array" ref="S46">_xlfn.STDEV.P(IF((dataIntentos[Nivel]=A46)*(dataIntentos[Intento]=B46),dataIntentos[Correctos ubicacion]))</f>
        <v>0.81649658092772603</v>
      </c>
      <c r="T46">
        <f>AVERAGEIFS(dataIntentos[Errores ubicacion],dataIntentos[Nivel],A46,dataIntentos[Intento],B46)</f>
        <v>0.33333333333333331</v>
      </c>
      <c r="U46" cm="1">
        <f t="array" ref="U46">_xlfn.STDEV.P(IF((dataIntentos[Nivel]=A46)*(dataIntentos[Intento]=B46),dataIntentos[Errores ubicacion]))</f>
        <v>0.47140452079103168</v>
      </c>
      <c r="V46">
        <f>AVERAGEIFS(dataIntentos[Paradas posibles],dataIntentos[Nivel],A46,dataIntentos[Intento],B46)</f>
        <v>3</v>
      </c>
      <c r="W46" cm="1">
        <f t="array" ref="W46">_xlfn.STDEV.P(IF((dataIntentos[Nivel]=A46)*(dataIntentos[Intento]=B46),dataIntentos[Paradas posibles]))</f>
        <v>1.4142135623730951</v>
      </c>
      <c r="X46">
        <f>AVERAGEIFS(dataIntentos[Paradas realizadas],dataIntentos[Nivel],A46,dataIntentos[Intento],B46)</f>
        <v>2.6666666666666665</v>
      </c>
      <c r="Y46" cm="1">
        <f t="array" ref="Y46">_xlfn.STDEV.P(IF((dataIntentos[Nivel]=A46)*(dataIntentos[Intento]=B46),dataIntentos[Paradas realizadas]))</f>
        <v>1.247219128924647</v>
      </c>
      <c r="Z46">
        <f>AVERAGEIFS(dataIntentos[Errores parada por tiempo excedido],dataIntentos[Nivel],A46,dataIntentos[Intento],B46)</f>
        <v>0</v>
      </c>
      <c r="AA46" cm="1">
        <f t="array" ref="AA46">_xlfn.STDEV.P(IF((dataIntentos[Nivel]=A46)*(dataIntentos[Intento]=B46),dataIntentos[Errores parada por tiempo excedido]))</f>
        <v>0</v>
      </c>
      <c r="AB46">
        <f>AVERAGEIFS(dataIntentos[Num errores por tiempo excedido],dataIntentos[Nivel],A46,dataIntentos[Intento],B46)</f>
        <v>0</v>
      </c>
      <c r="AC46" cm="1">
        <f t="array" ref="AC46">_xlfn.STDEV.P(IF((dataIntentos[Nivel]=A46)*(dataIntentos[Intento]=B46),dataIntentos[Num errores por tiempo excedido]))</f>
        <v>0</v>
      </c>
      <c r="AD46">
        <f>AVERAGEIFS(dataIntentos[Tiempo duracion],dataIntentos[Nivel],A46,dataIntentos[Intento],B46)</f>
        <v>-5619.7179999999998</v>
      </c>
      <c r="AE46" cm="1">
        <f t="array" ref="AE46">_xlfn.STDEV.P(IF((dataIntentos[Nivel]=A46)*(dataIntentos[Intento]=B46),dataIntentos[Tiempo duracion]))</f>
        <v>8122.4309904958873</v>
      </c>
      <c r="AF46">
        <f>AVERAGEIFS(dataIntentos[%Reglas respetadas ejecucion],dataIntentos[Nivel],A46,dataIntentos[Intento],B46)</f>
        <v>91.666666666666671</v>
      </c>
      <c r="AG46" cm="1">
        <f t="array" ref="AG46">_xlfn.STDEV.P(IF((dataIntentos[Nivel]=A46)*(dataIntentos[Intento]=B46),dataIntentos[%Reglas respetadas ejecucion]))</f>
        <v>11.785113019775793</v>
      </c>
      <c r="AH46">
        <f>COUNTIFS(dataIntentos[Nivel],A46,dataIntentos[Intento],B46,dataIntentos[Reglas planificacion cumplidas],"VERDADERO")</f>
        <v>1</v>
      </c>
      <c r="AI46">
        <f>COUNTIFS(dataIntentos[Nivel],A46,dataIntentos[Intento],B46,dataIntentos[Completado],"VERDADERO")</f>
        <v>0</v>
      </c>
    </row>
    <row r="47" spans="1:35" x14ac:dyDescent="0.3">
      <c r="A47">
        <v>3</v>
      </c>
      <c r="B47">
        <v>8</v>
      </c>
      <c r="C47">
        <f>COUNTIFS(dataIntentos[Nivel],A47,dataIntentos[Intento],B47)</f>
        <v>2</v>
      </c>
      <c r="D47">
        <f>AVERAGEIFS(dataIntentos[Pasos planificados],dataIntentos[Nivel],A47,dataIntentos[Intento],B47)</f>
        <v>0</v>
      </c>
      <c r="E47" cm="1">
        <f t="array" ref="E47">_xlfn.STDEV.P(IF((dataIntentos[Nivel]=A47)*(dataIntentos[Intento]=B47),dataIntentos[Pasos planificados]))</f>
        <v>0</v>
      </c>
      <c r="F47">
        <f>AVERAGEIFS(dataIntentos[Pasos ejecutados],dataIntentos[Nivel],A47,dataIntentos[Intento],B47)</f>
        <v>0</v>
      </c>
      <c r="G47" cm="1">
        <f t="array" ref="G47">_xlfn.STDEV.P(IF((dataIntentos[Nivel]=A47)*(dataIntentos[Intento]=B47),dataIntentos[Pasos ejecutados]))</f>
        <v>0</v>
      </c>
      <c r="H47">
        <f>AVERAGEIFS(dataIntentos[Errores ejecucion],dataIntentos[Nivel],A47,dataIntentos[Intento],B47)</f>
        <v>0</v>
      </c>
      <c r="I47" cm="1">
        <f t="array" ref="I47">_xlfn.STDEV.P(IF((dataIntentos[Nivel]=A47)*(dataIntentos[Intento]=B47),dataIntentos[Errores ejecucion]))</f>
        <v>0</v>
      </c>
      <c r="J47">
        <f>AVERAGEIFS(dataIntentos[Num dormir planificado],dataIntentos[Nivel],A47,dataIntentos[Intento],B47)</f>
        <v>0</v>
      </c>
      <c r="K47" cm="1">
        <f t="array" ref="K47">_xlfn.STDEV.P(IF((dataIntentos[Nivel]=A47)*(dataIntentos[Intento]=B47),dataIntentos[Num dormir planificado]))</f>
        <v>0</v>
      </c>
      <c r="L47">
        <f>AVERAGEIFS(dataIntentos[Correctos dormir],dataIntentos[Nivel],A47,dataIntentos[Intento],B47)</f>
        <v>0</v>
      </c>
      <c r="M47" cm="1">
        <f t="array" ref="M47">_xlfn.STDEV.P(IF((dataIntentos[Nivel]=A47)*(dataIntentos[Intento]=B47),dataIntentos[Correctos dormir]))</f>
        <v>0</v>
      </c>
      <c r="N47">
        <f>AVERAGEIFS(dataIntentos[Errores dormir],dataIntentos[Nivel],A47,dataIntentos[Intento],B47)</f>
        <v>0</v>
      </c>
      <c r="O47" cm="1">
        <f t="array" ref="O47">_xlfn.STDEV.P(IF((dataIntentos[Nivel]=A47)*(dataIntentos[Intento]=B47),dataIntentos[Errores dormir]))</f>
        <v>0</v>
      </c>
      <c r="P47">
        <f>AVERAGEIFS(dataIntentos[Num ubicacion planificado],dataIntentos[Nivel],A47,dataIntentos[Intento],B47)</f>
        <v>0</v>
      </c>
      <c r="Q47" cm="1">
        <f t="array" ref="Q47">_xlfn.STDEV.P(IF((dataIntentos[Nivel]=A47)*(dataIntentos[Intento]=B47),dataIntentos[Num ubicacion planificado]))</f>
        <v>0</v>
      </c>
      <c r="R47">
        <f>AVERAGEIFS(dataIntentos[Correctos ubicacion],dataIntentos[Nivel],A47,dataIntentos[Intento],B47)</f>
        <v>0</v>
      </c>
      <c r="S47" cm="1">
        <f t="array" ref="S47">_xlfn.STDEV.P(IF((dataIntentos[Nivel]=A47)*(dataIntentos[Intento]=B47),dataIntentos[Correctos ubicacion]))</f>
        <v>0</v>
      </c>
      <c r="T47">
        <f>AVERAGEIFS(dataIntentos[Errores ubicacion],dataIntentos[Nivel],A47,dataIntentos[Intento],B47)</f>
        <v>0</v>
      </c>
      <c r="U47" cm="1">
        <f t="array" ref="U47">_xlfn.STDEV.P(IF((dataIntentos[Nivel]=A47)*(dataIntentos[Intento]=B47),dataIntentos[Errores ubicacion]))</f>
        <v>0</v>
      </c>
      <c r="V47">
        <f>AVERAGEIFS(dataIntentos[Paradas posibles],dataIntentos[Nivel],A47,dataIntentos[Intento],B47)</f>
        <v>1</v>
      </c>
      <c r="W47" cm="1">
        <f t="array" ref="W47">_xlfn.STDEV.P(IF((dataIntentos[Nivel]=A47)*(dataIntentos[Intento]=B47),dataIntentos[Paradas posibles]))</f>
        <v>1</v>
      </c>
      <c r="X47">
        <f>AVERAGEIFS(dataIntentos[Paradas realizadas],dataIntentos[Nivel],A47,dataIntentos[Intento],B47)</f>
        <v>0.5</v>
      </c>
      <c r="Y47" cm="1">
        <f t="array" ref="Y47">_xlfn.STDEV.P(IF((dataIntentos[Nivel]=A47)*(dataIntentos[Intento]=B47),dataIntentos[Paradas realizadas]))</f>
        <v>0.5</v>
      </c>
      <c r="Z47">
        <f>AVERAGEIFS(dataIntentos[Errores parada por tiempo excedido],dataIntentos[Nivel],A47,dataIntentos[Intento],B47)</f>
        <v>0</v>
      </c>
      <c r="AA47" cm="1">
        <f t="array" ref="AA47">_xlfn.STDEV.P(IF((dataIntentos[Nivel]=A47)*(dataIntentos[Intento]=B47),dataIntentos[Errores parada por tiempo excedido]))</f>
        <v>0</v>
      </c>
      <c r="AB47">
        <f>AVERAGEIFS(dataIntentos[Num errores por tiempo excedido],dataIntentos[Nivel],A47,dataIntentos[Intento],B47)</f>
        <v>0</v>
      </c>
      <c r="AC47" cm="1">
        <f t="array" ref="AC47">_xlfn.STDEV.P(IF((dataIntentos[Nivel]=A47)*(dataIntentos[Intento]=B47),dataIntentos[Num errores por tiempo excedido]))</f>
        <v>0</v>
      </c>
      <c r="AD47">
        <f>AVERAGEIFS(dataIntentos[Tiempo duracion],dataIntentos[Nivel],A47,dataIntentos[Intento],B47)</f>
        <v>31.497999999999998</v>
      </c>
      <c r="AE47" cm="1">
        <f t="array" ref="AE47">_xlfn.STDEV.P(IF((dataIntentos[Nivel]=A47)*(dataIntentos[Intento]=B47),dataIntentos[Tiempo duracion]))</f>
        <v>31.493999999999996</v>
      </c>
      <c r="AF47">
        <f>AVERAGEIFS(dataIntentos[%Reglas respetadas ejecucion],dataIntentos[Nivel],A47,dataIntentos[Intento],B47)</f>
        <v>100</v>
      </c>
      <c r="AG47" cm="1">
        <f t="array" ref="AG47">_xlfn.STDEV.P(IF((dataIntentos[Nivel]=A47)*(dataIntentos[Intento]=B47),dataIntentos[%Reglas respetadas ejecucion]))</f>
        <v>0</v>
      </c>
      <c r="AH47">
        <f>COUNTIFS(dataIntentos[Nivel],A47,dataIntentos[Intento],B47,dataIntentos[Reglas planificacion cumplidas],"VERDADERO")</f>
        <v>1</v>
      </c>
      <c r="AI47">
        <f>COUNTIFS(dataIntentos[Nivel],A47,dataIntentos[Intento],B47,dataIntentos[Completado],"VERDADERO")</f>
        <v>1</v>
      </c>
    </row>
    <row r="48" spans="1:35" x14ac:dyDescent="0.3">
      <c r="A48">
        <v>3</v>
      </c>
      <c r="B48">
        <v>9</v>
      </c>
      <c r="C48">
        <f>COUNTIFS(dataIntentos[Nivel],A48,dataIntentos[Intento],B48)</f>
        <v>1</v>
      </c>
      <c r="D48">
        <f>AVERAGEIFS(dataIntentos[Pasos planificados],dataIntentos[Nivel],A48,dataIntentos[Intento],B48)</f>
        <v>0</v>
      </c>
      <c r="E48" cm="1">
        <f t="array" ref="E48">_xlfn.STDEV.P(IF((dataIntentos[Nivel]=A48)*(dataIntentos[Intento]=B48),dataIntentos[Pasos planificados]))</f>
        <v>0</v>
      </c>
      <c r="F48">
        <f>AVERAGEIFS(dataIntentos[Pasos ejecutados],dataIntentos[Nivel],A48,dataIntentos[Intento],B48)</f>
        <v>0</v>
      </c>
      <c r="G48" cm="1">
        <f t="array" ref="G48">_xlfn.STDEV.P(IF((dataIntentos[Nivel]=A48)*(dataIntentos[Intento]=B48),dataIntentos[Pasos ejecutados]))</f>
        <v>0</v>
      </c>
      <c r="H48">
        <f>AVERAGEIFS(dataIntentos[Errores ejecucion],dataIntentos[Nivel],A48,dataIntentos[Intento],B48)</f>
        <v>0</v>
      </c>
      <c r="I48" cm="1">
        <f t="array" ref="I48">_xlfn.STDEV.P(IF((dataIntentos[Nivel]=A48)*(dataIntentos[Intento]=B48),dataIntentos[Errores ejecucion]))</f>
        <v>0</v>
      </c>
      <c r="J48">
        <f>AVERAGEIFS(dataIntentos[Num dormir planificado],dataIntentos[Nivel],A48,dataIntentos[Intento],B48)</f>
        <v>0</v>
      </c>
      <c r="K48" cm="1">
        <f t="array" ref="K48">_xlfn.STDEV.P(IF((dataIntentos[Nivel]=A48)*(dataIntentos[Intento]=B48),dataIntentos[Num dormir planificado]))</f>
        <v>0</v>
      </c>
      <c r="L48">
        <f>AVERAGEIFS(dataIntentos[Correctos dormir],dataIntentos[Nivel],A48,dataIntentos[Intento],B48)</f>
        <v>0</v>
      </c>
      <c r="M48" cm="1">
        <f t="array" ref="M48">_xlfn.STDEV.P(IF((dataIntentos[Nivel]=A48)*(dataIntentos[Intento]=B48),dataIntentos[Correctos dormir]))</f>
        <v>0</v>
      </c>
      <c r="N48">
        <f>AVERAGEIFS(dataIntentos[Errores dormir],dataIntentos[Nivel],A48,dataIntentos[Intento],B48)</f>
        <v>0</v>
      </c>
      <c r="O48" cm="1">
        <f t="array" ref="O48">_xlfn.STDEV.P(IF((dataIntentos[Nivel]=A48)*(dataIntentos[Intento]=B48),dataIntentos[Errores dormir]))</f>
        <v>0</v>
      </c>
      <c r="P48">
        <f>AVERAGEIFS(dataIntentos[Num ubicacion planificado],dataIntentos[Nivel],A48,dataIntentos[Intento],B48)</f>
        <v>0</v>
      </c>
      <c r="Q48" cm="1">
        <f t="array" ref="Q48">_xlfn.STDEV.P(IF((dataIntentos[Nivel]=A48)*(dataIntentos[Intento]=B48),dataIntentos[Num ubicacion planificado]))</f>
        <v>0</v>
      </c>
      <c r="R48">
        <f>AVERAGEIFS(dataIntentos[Correctos ubicacion],dataIntentos[Nivel],A48,dataIntentos[Intento],B48)</f>
        <v>0</v>
      </c>
      <c r="S48" cm="1">
        <f t="array" ref="S48">_xlfn.STDEV.P(IF((dataIntentos[Nivel]=A48)*(dataIntentos[Intento]=B48),dataIntentos[Correctos ubicacion]))</f>
        <v>0</v>
      </c>
      <c r="T48">
        <f>AVERAGEIFS(dataIntentos[Errores ubicacion],dataIntentos[Nivel],A48,dataIntentos[Intento],B48)</f>
        <v>0</v>
      </c>
      <c r="U48" cm="1">
        <f t="array" ref="U48">_xlfn.STDEV.P(IF((dataIntentos[Nivel]=A48)*(dataIntentos[Intento]=B48),dataIntentos[Errores ubicacion]))</f>
        <v>0</v>
      </c>
      <c r="V48">
        <f>AVERAGEIFS(dataIntentos[Paradas posibles],dataIntentos[Nivel],A48,dataIntentos[Intento],B48)</f>
        <v>2</v>
      </c>
      <c r="W48" cm="1">
        <f t="array" ref="W48">_xlfn.STDEV.P(IF((dataIntentos[Nivel]=A48)*(dataIntentos[Intento]=B48),dataIntentos[Paradas posibles]))</f>
        <v>0</v>
      </c>
      <c r="X48">
        <f>AVERAGEIFS(dataIntentos[Paradas realizadas],dataIntentos[Nivel],A48,dataIntentos[Intento],B48)</f>
        <v>1</v>
      </c>
      <c r="Y48" cm="1">
        <f t="array" ref="Y48">_xlfn.STDEV.P(IF((dataIntentos[Nivel]=A48)*(dataIntentos[Intento]=B48),dataIntentos[Paradas realizadas]))</f>
        <v>0</v>
      </c>
      <c r="Z48">
        <f>AVERAGEIFS(dataIntentos[Errores parada por tiempo excedido],dataIntentos[Nivel],A48,dataIntentos[Intento],B48)</f>
        <v>0</v>
      </c>
      <c r="AA48" cm="1">
        <f t="array" ref="AA48">_xlfn.STDEV.P(IF((dataIntentos[Nivel]=A48)*(dataIntentos[Intento]=B48),dataIntentos[Errores parada por tiempo excedido]))</f>
        <v>0</v>
      </c>
      <c r="AB48">
        <f>AVERAGEIFS(dataIntentos[Num errores por tiempo excedido],dataIntentos[Nivel],A48,dataIntentos[Intento],B48)</f>
        <v>0</v>
      </c>
      <c r="AC48" cm="1">
        <f t="array" ref="AC48">_xlfn.STDEV.P(IF((dataIntentos[Nivel]=A48)*(dataIntentos[Intento]=B48),dataIntentos[Num errores por tiempo excedido]))</f>
        <v>0</v>
      </c>
      <c r="AD48">
        <f>AVERAGEIFS(dataIntentos[Tiempo duracion],dataIntentos[Nivel],A48,dataIntentos[Intento],B48)</f>
        <v>51.606999999999999</v>
      </c>
      <c r="AE48" cm="1">
        <f t="array" ref="AE48">_xlfn.STDEV.P(IF((dataIntentos[Nivel]=A48)*(dataIntentos[Intento]=B48),dataIntentos[Tiempo duracion]))</f>
        <v>0</v>
      </c>
      <c r="AF48">
        <f>AVERAGEIFS(dataIntentos[%Reglas respetadas ejecucion],dataIntentos[Nivel],A48,dataIntentos[Intento],B48)</f>
        <v>100</v>
      </c>
      <c r="AG48" cm="1">
        <f t="array" ref="AG48">_xlfn.STDEV.P(IF((dataIntentos[Nivel]=A48)*(dataIntentos[Intento]=B48),dataIntentos[%Reglas respetadas ejecucion]))</f>
        <v>0</v>
      </c>
      <c r="AH48">
        <f>COUNTIFS(dataIntentos[Nivel],A48,dataIntentos[Intento],B48,dataIntentos[Reglas planificacion cumplidas],"VERDADERO")</f>
        <v>1</v>
      </c>
      <c r="AI48">
        <f>COUNTIFS(dataIntentos[Nivel],A48,dataIntentos[Intento],B48,dataIntentos[Completado],"VERDADERO")</f>
        <v>1</v>
      </c>
    </row>
    <row r="49" spans="1:35" x14ac:dyDescent="0.3">
      <c r="A49">
        <v>3</v>
      </c>
      <c r="B49">
        <v>10</v>
      </c>
      <c r="C49">
        <f>COUNTIFS(dataIntentos[Nivel],A49,dataIntentos[Intento],B49)</f>
        <v>1</v>
      </c>
      <c r="D49">
        <f>AVERAGEIFS(dataIntentos[Pasos planificados],dataIntentos[Nivel],A49,dataIntentos[Intento],B49)</f>
        <v>3</v>
      </c>
      <c r="E49" cm="1">
        <f t="array" ref="E49">_xlfn.STDEV.P(IF((dataIntentos[Nivel]=A49)*(dataIntentos[Intento]=B49),dataIntentos[Pasos planificados]))</f>
        <v>0</v>
      </c>
      <c r="F49">
        <f>AVERAGEIFS(dataIntentos[Pasos ejecutados],dataIntentos[Nivel],A49,dataIntentos[Intento],B49)</f>
        <v>2</v>
      </c>
      <c r="G49" cm="1">
        <f t="array" ref="G49">_xlfn.STDEV.P(IF((dataIntentos[Nivel]=A49)*(dataIntentos[Intento]=B49),dataIntentos[Pasos ejecutados]))</f>
        <v>0</v>
      </c>
      <c r="H49">
        <f>AVERAGEIFS(dataIntentos[Errores ejecucion],dataIntentos[Nivel],A49,dataIntentos[Intento],B49)</f>
        <v>1</v>
      </c>
      <c r="I49" cm="1">
        <f t="array" ref="I49">_xlfn.STDEV.P(IF((dataIntentos[Nivel]=A49)*(dataIntentos[Intento]=B49),dataIntentos[Errores ejecucion]))</f>
        <v>0</v>
      </c>
      <c r="J49">
        <f>AVERAGEIFS(dataIntentos[Num dormir planificado],dataIntentos[Nivel],A49,dataIntentos[Intento],B49)</f>
        <v>2</v>
      </c>
      <c r="K49" cm="1">
        <f t="array" ref="K49">_xlfn.STDEV.P(IF((dataIntentos[Nivel]=A49)*(dataIntentos[Intento]=B49),dataIntentos[Num dormir planificado]))</f>
        <v>0</v>
      </c>
      <c r="L49">
        <f>AVERAGEIFS(dataIntentos[Correctos dormir],dataIntentos[Nivel],A49,dataIntentos[Intento],B49)</f>
        <v>2</v>
      </c>
      <c r="M49" cm="1">
        <f t="array" ref="M49">_xlfn.STDEV.P(IF((dataIntentos[Nivel]=A49)*(dataIntentos[Intento]=B49),dataIntentos[Correctos dormir]))</f>
        <v>0</v>
      </c>
      <c r="N49">
        <f>AVERAGEIFS(dataIntentos[Errores dormir],dataIntentos[Nivel],A49,dataIntentos[Intento],B49)</f>
        <v>0</v>
      </c>
      <c r="O49" cm="1">
        <f t="array" ref="O49">_xlfn.STDEV.P(IF((dataIntentos[Nivel]=A49)*(dataIntentos[Intento]=B49),dataIntentos[Errores dormir]))</f>
        <v>0</v>
      </c>
      <c r="P49">
        <f>AVERAGEIFS(dataIntentos[Num ubicacion planificado],dataIntentos[Nivel],A49,dataIntentos[Intento],B49)</f>
        <v>1</v>
      </c>
      <c r="Q49" cm="1">
        <f t="array" ref="Q49">_xlfn.STDEV.P(IF((dataIntentos[Nivel]=A49)*(dataIntentos[Intento]=B49),dataIntentos[Num ubicacion planificado]))</f>
        <v>0</v>
      </c>
      <c r="R49">
        <f>AVERAGEIFS(dataIntentos[Correctos ubicacion],dataIntentos[Nivel],A49,dataIntentos[Intento],B49)</f>
        <v>0</v>
      </c>
      <c r="S49" cm="1">
        <f t="array" ref="S49">_xlfn.STDEV.P(IF((dataIntentos[Nivel]=A49)*(dataIntentos[Intento]=B49),dataIntentos[Correctos ubicacion]))</f>
        <v>0</v>
      </c>
      <c r="T49">
        <f>AVERAGEIFS(dataIntentos[Errores ubicacion],dataIntentos[Nivel],A49,dataIntentos[Intento],B49)</f>
        <v>1</v>
      </c>
      <c r="U49" cm="1">
        <f t="array" ref="U49">_xlfn.STDEV.P(IF((dataIntentos[Nivel]=A49)*(dataIntentos[Intento]=B49),dataIntentos[Errores ubicacion]))</f>
        <v>0</v>
      </c>
      <c r="V49">
        <f>AVERAGEIFS(dataIntentos[Paradas posibles],dataIntentos[Nivel],A49,dataIntentos[Intento],B49)</f>
        <v>3</v>
      </c>
      <c r="W49" cm="1">
        <f t="array" ref="W49">_xlfn.STDEV.P(IF((dataIntentos[Nivel]=A49)*(dataIntentos[Intento]=B49),dataIntentos[Paradas posibles]))</f>
        <v>0</v>
      </c>
      <c r="X49">
        <f>AVERAGEIFS(dataIntentos[Paradas realizadas],dataIntentos[Nivel],A49,dataIntentos[Intento],B49)</f>
        <v>3</v>
      </c>
      <c r="Y49" cm="1">
        <f t="array" ref="Y49">_xlfn.STDEV.P(IF((dataIntentos[Nivel]=A49)*(dataIntentos[Intento]=B49),dataIntentos[Paradas realizadas]))</f>
        <v>0</v>
      </c>
      <c r="Z49">
        <f>AVERAGEIFS(dataIntentos[Errores parada por tiempo excedido],dataIntentos[Nivel],A49,dataIntentos[Intento],B49)</f>
        <v>0</v>
      </c>
      <c r="AA49" cm="1">
        <f t="array" ref="AA49">_xlfn.STDEV.P(IF((dataIntentos[Nivel]=A49)*(dataIntentos[Intento]=B49),dataIntentos[Errores parada por tiempo excedido]))</f>
        <v>0</v>
      </c>
      <c r="AB49">
        <f>AVERAGEIFS(dataIntentos[Num errores por tiempo excedido],dataIntentos[Nivel],A49,dataIntentos[Intento],B49)</f>
        <v>0</v>
      </c>
      <c r="AC49" cm="1">
        <f t="array" ref="AC49">_xlfn.STDEV.P(IF((dataIntentos[Nivel]=A49)*(dataIntentos[Intento]=B49),dataIntentos[Num errores por tiempo excedido]))</f>
        <v>0</v>
      </c>
      <c r="AD49">
        <f>AVERAGEIFS(dataIntentos[Tiempo duracion],dataIntentos[Nivel],A49,dataIntentos[Intento],B49)</f>
        <v>97.828000000000003</v>
      </c>
      <c r="AE49" cm="1">
        <f t="array" ref="AE49">_xlfn.STDEV.P(IF((dataIntentos[Nivel]=A49)*(dataIntentos[Intento]=B49),dataIntentos[Tiempo duracion]))</f>
        <v>0</v>
      </c>
      <c r="AF49">
        <f>AVERAGEIFS(dataIntentos[%Reglas respetadas ejecucion],dataIntentos[Nivel],A49,dataIntentos[Intento],B49)</f>
        <v>75</v>
      </c>
      <c r="AG49" cm="1">
        <f t="array" ref="AG49">_xlfn.STDEV.P(IF((dataIntentos[Nivel]=A49)*(dataIntentos[Intento]=B49),dataIntentos[%Reglas respetadas ejecucion]))</f>
        <v>0</v>
      </c>
      <c r="AH49">
        <f>COUNTIFS(dataIntentos[Nivel],A49,dataIntentos[Intento],B49,dataIntentos[Reglas planificacion cumplidas],"VERDADERO")</f>
        <v>1</v>
      </c>
      <c r="AI49">
        <f>COUNTIFS(dataIntentos[Nivel],A49,dataIntentos[Intento],B49,dataIntentos[Completado],"VERDADERO")</f>
        <v>0</v>
      </c>
    </row>
    <row r="50" spans="1:35" x14ac:dyDescent="0.3">
      <c r="A50">
        <v>3</v>
      </c>
      <c r="B50">
        <v>11</v>
      </c>
      <c r="C50">
        <f>COUNTIFS(dataIntentos[Nivel],A50,dataIntentos[Intento],B50)</f>
        <v>1</v>
      </c>
      <c r="D50">
        <f>AVERAGEIFS(dataIntentos[Pasos planificados],dataIntentos[Nivel],A50,dataIntentos[Intento],B50)</f>
        <v>5</v>
      </c>
      <c r="E50" cm="1">
        <f t="array" ref="E50">_xlfn.STDEV.P(IF((dataIntentos[Nivel]=A50)*(dataIntentos[Intento]=B50),dataIntentos[Pasos planificados]))</f>
        <v>0</v>
      </c>
      <c r="F50">
        <f>AVERAGEIFS(dataIntentos[Pasos ejecutados],dataIntentos[Nivel],A50,dataIntentos[Intento],B50)</f>
        <v>5</v>
      </c>
      <c r="G50" cm="1">
        <f t="array" ref="G50">_xlfn.STDEV.P(IF((dataIntentos[Nivel]=A50)*(dataIntentos[Intento]=B50),dataIntentos[Pasos ejecutados]))</f>
        <v>0</v>
      </c>
      <c r="H50">
        <f>AVERAGEIFS(dataIntentos[Errores ejecucion],dataIntentos[Nivel],A50,dataIntentos[Intento],B50)</f>
        <v>0</v>
      </c>
      <c r="I50" cm="1">
        <f t="array" ref="I50">_xlfn.STDEV.P(IF((dataIntentos[Nivel]=A50)*(dataIntentos[Intento]=B50),dataIntentos[Errores ejecucion]))</f>
        <v>0</v>
      </c>
      <c r="J50">
        <f>AVERAGEIFS(dataIntentos[Num dormir planificado],dataIntentos[Nivel],A50,dataIntentos[Intento],B50)</f>
        <v>2</v>
      </c>
      <c r="K50" cm="1">
        <f t="array" ref="K50">_xlfn.STDEV.P(IF((dataIntentos[Nivel]=A50)*(dataIntentos[Intento]=B50),dataIntentos[Num dormir planificado]))</f>
        <v>0</v>
      </c>
      <c r="L50">
        <f>AVERAGEIFS(dataIntentos[Correctos dormir],dataIntentos[Nivel],A50,dataIntentos[Intento],B50)</f>
        <v>2</v>
      </c>
      <c r="M50" cm="1">
        <f t="array" ref="M50">_xlfn.STDEV.P(IF((dataIntentos[Nivel]=A50)*(dataIntentos[Intento]=B50),dataIntentos[Correctos dormir]))</f>
        <v>0</v>
      </c>
      <c r="N50">
        <f>AVERAGEIFS(dataIntentos[Errores dormir],dataIntentos[Nivel],A50,dataIntentos[Intento],B50)</f>
        <v>0</v>
      </c>
      <c r="O50" cm="1">
        <f t="array" ref="O50">_xlfn.STDEV.P(IF((dataIntentos[Nivel]=A50)*(dataIntentos[Intento]=B50),dataIntentos[Errores dormir]))</f>
        <v>0</v>
      </c>
      <c r="P50">
        <f>AVERAGEIFS(dataIntentos[Num ubicacion planificado],dataIntentos[Nivel],A50,dataIntentos[Intento],B50)</f>
        <v>3</v>
      </c>
      <c r="Q50" cm="1">
        <f t="array" ref="Q50">_xlfn.STDEV.P(IF((dataIntentos[Nivel]=A50)*(dataIntentos[Intento]=B50),dataIntentos[Num ubicacion planificado]))</f>
        <v>0</v>
      </c>
      <c r="R50">
        <f>AVERAGEIFS(dataIntentos[Correctos ubicacion],dataIntentos[Nivel],A50,dataIntentos[Intento],B50)</f>
        <v>3</v>
      </c>
      <c r="S50" cm="1">
        <f t="array" ref="S50">_xlfn.STDEV.P(IF((dataIntentos[Nivel]=A50)*(dataIntentos[Intento]=B50),dataIntentos[Correctos ubicacion]))</f>
        <v>0</v>
      </c>
      <c r="T50">
        <f>AVERAGEIFS(dataIntentos[Errores ubicacion],dataIntentos[Nivel],A50,dataIntentos[Intento],B50)</f>
        <v>0</v>
      </c>
      <c r="U50" cm="1">
        <f t="array" ref="U50">_xlfn.STDEV.P(IF((dataIntentos[Nivel]=A50)*(dataIntentos[Intento]=B50),dataIntentos[Errores ubicacion]))</f>
        <v>0</v>
      </c>
      <c r="V50">
        <f>AVERAGEIFS(dataIntentos[Paradas posibles],dataIntentos[Nivel],A50,dataIntentos[Intento],B50)</f>
        <v>4</v>
      </c>
      <c r="W50" cm="1">
        <f t="array" ref="W50">_xlfn.STDEV.P(IF((dataIntentos[Nivel]=A50)*(dataIntentos[Intento]=B50),dataIntentos[Paradas posibles]))</f>
        <v>0</v>
      </c>
      <c r="X50">
        <f>AVERAGEIFS(dataIntentos[Paradas realizadas],dataIntentos[Nivel],A50,dataIntentos[Intento],B50)</f>
        <v>4</v>
      </c>
      <c r="Y50" cm="1">
        <f t="array" ref="Y50">_xlfn.STDEV.P(IF((dataIntentos[Nivel]=A50)*(dataIntentos[Intento]=B50),dataIntentos[Paradas realizadas]))</f>
        <v>0</v>
      </c>
      <c r="Z50">
        <f>AVERAGEIFS(dataIntentos[Errores parada por tiempo excedido],dataIntentos[Nivel],A50,dataIntentos[Intento],B50)</f>
        <v>0</v>
      </c>
      <c r="AA50" cm="1">
        <f t="array" ref="AA50">_xlfn.STDEV.P(IF((dataIntentos[Nivel]=A50)*(dataIntentos[Intento]=B50),dataIntentos[Errores parada por tiempo excedido]))</f>
        <v>0</v>
      </c>
      <c r="AB50">
        <f>AVERAGEIFS(dataIntentos[Num errores por tiempo excedido],dataIntentos[Nivel],A50,dataIntentos[Intento],B50)</f>
        <v>0</v>
      </c>
      <c r="AC50" cm="1">
        <f t="array" ref="AC50">_xlfn.STDEV.P(IF((dataIntentos[Nivel]=A50)*(dataIntentos[Intento]=B50),dataIntentos[Num errores por tiempo excedido]))</f>
        <v>0</v>
      </c>
      <c r="AD50">
        <f>AVERAGEIFS(dataIntentos[Tiempo duracion],dataIntentos[Nivel],A50,dataIntentos[Intento],B50)</f>
        <v>711.37</v>
      </c>
      <c r="AE50" cm="1">
        <f t="array" ref="AE50">_xlfn.STDEV.P(IF((dataIntentos[Nivel]=A50)*(dataIntentos[Intento]=B50),dataIntentos[Tiempo duracion]))</f>
        <v>0</v>
      </c>
      <c r="AF50">
        <f>AVERAGEIFS(dataIntentos[%Reglas respetadas ejecucion],dataIntentos[Nivel],A50,dataIntentos[Intento],B50)</f>
        <v>100</v>
      </c>
      <c r="AG50" cm="1">
        <f t="array" ref="AG50">_xlfn.STDEV.P(IF((dataIntentos[Nivel]=A50)*(dataIntentos[Intento]=B50),dataIntentos[%Reglas respetadas ejecucion]))</f>
        <v>0</v>
      </c>
      <c r="AH50">
        <f>COUNTIFS(dataIntentos[Nivel],A50,dataIntentos[Intento],B50,dataIntentos[Reglas planificacion cumplidas],"VERDADERO")</f>
        <v>1</v>
      </c>
      <c r="AI50">
        <f>COUNTIFS(dataIntentos[Nivel],A50,dataIntentos[Intento],B50,dataIntentos[Completado],"VERDADERO")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2026-07-07T19:22:25Z</dcterms:created>
  <dcterms:modified xsi:type="dcterms:W3CDTF">2026-07-16T12:03:22Z</dcterms:modified>
</cp:coreProperties>
</file>