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ED025CE0-03E4-4F97-8C7A-4BE6BBDF97B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Hoja1" sheetId="2" r:id="rId2"/>
    <sheet name="Hoja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3" l="1" a="1"/>
  <c r="AJ4" i="3" a="1"/>
  <c r="AJ2" i="3" a="1"/>
  <c r="AH3" i="3" a="1"/>
  <c r="AH4" i="3" a="1"/>
  <c r="AH2" i="3" a="1"/>
  <c r="AF3" i="3" a="1"/>
  <c r="AF4" i="3" a="1"/>
  <c r="AF2" i="3" a="1"/>
  <c r="AD3" i="3" a="1"/>
  <c r="AD4" i="3" a="1"/>
  <c r="AD2" i="3" a="1"/>
  <c r="AB3" i="3" a="1"/>
  <c r="AB4" i="3" a="1"/>
  <c r="AB2" i="3" a="1"/>
  <c r="Z3" i="3" a="1"/>
  <c r="Z4" i="3" a="1"/>
  <c r="Z2" i="3" a="1"/>
  <c r="X3" i="3" a="1"/>
  <c r="X4" i="3" a="1"/>
  <c r="X2" i="3" a="1"/>
  <c r="V3" i="3" a="1"/>
  <c r="V4" i="3" a="1"/>
  <c r="V2" i="3" a="1"/>
  <c r="T3" i="3" a="1"/>
  <c r="T4" i="3" a="1"/>
  <c r="T2" i="3" a="1"/>
  <c r="R3" i="3" a="1"/>
  <c r="R4" i="3" a="1"/>
  <c r="R2" i="3" a="1"/>
  <c r="P3" i="3" a="1"/>
  <c r="P4" i="3" a="1"/>
  <c r="P2" i="3" a="1"/>
  <c r="N3" i="3" a="1"/>
  <c r="N4" i="3" a="1"/>
  <c r="N2" i="3" a="1"/>
  <c r="L3" i="3" a="1"/>
  <c r="L4" i="3" a="1"/>
  <c r="L2" i="3" a="1"/>
  <c r="J3" i="3" a="1"/>
  <c r="J4" i="3" a="1"/>
  <c r="J2" i="3" a="1"/>
  <c r="H3" i="3" a="1"/>
  <c r="H4" i="3" a="1"/>
  <c r="H2" i="3" a="1"/>
  <c r="F3" i="3" a="1"/>
  <c r="F4" i="3" a="1"/>
  <c r="F2" i="3" a="1"/>
  <c r="D3" i="3" a="1"/>
  <c r="D4" i="3" a="1"/>
  <c r="D2" i="3" a="1"/>
  <c r="AM3" i="3"/>
  <c r="AM4" i="3"/>
  <c r="AM2" i="3"/>
  <c r="AN2" i="3" s="1"/>
  <c r="AK3" i="3"/>
  <c r="AK4" i="3"/>
  <c r="AK2" i="3"/>
  <c r="AI3" i="3"/>
  <c r="AI4" i="3"/>
  <c r="AI2" i="3"/>
  <c r="AG3" i="3"/>
  <c r="AG4" i="3"/>
  <c r="AG2" i="3"/>
  <c r="AE3" i="3"/>
  <c r="AE4" i="3"/>
  <c r="AE2" i="3"/>
  <c r="AC3" i="3"/>
  <c r="AC4" i="3"/>
  <c r="AC2" i="3"/>
  <c r="AA3" i="3"/>
  <c r="AA4" i="3"/>
  <c r="AA2" i="3"/>
  <c r="W4" i="3"/>
  <c r="Y3" i="3"/>
  <c r="Y4" i="3"/>
  <c r="Y2" i="3"/>
  <c r="W3" i="3"/>
  <c r="W2" i="3"/>
  <c r="U3" i="3"/>
  <c r="U4" i="3"/>
  <c r="U2" i="3"/>
  <c r="S3" i="3"/>
  <c r="S4" i="3"/>
  <c r="S2" i="3"/>
  <c r="Q3" i="3"/>
  <c r="Q4" i="3"/>
  <c r="Q2" i="3"/>
  <c r="O3" i="3"/>
  <c r="O4" i="3"/>
  <c r="O2" i="3"/>
  <c r="M3" i="3"/>
  <c r="M4" i="3"/>
  <c r="M2" i="3"/>
  <c r="K3" i="3"/>
  <c r="K4" i="3"/>
  <c r="K2" i="3"/>
  <c r="I3" i="3"/>
  <c r="I4" i="3"/>
  <c r="I2" i="3"/>
  <c r="G3" i="3"/>
  <c r="G4" i="3"/>
  <c r="G2" i="3"/>
  <c r="E3" i="3"/>
  <c r="E4" i="3"/>
  <c r="E2" i="3"/>
  <c r="C3" i="3"/>
  <c r="C4" i="3"/>
  <c r="C2" i="3"/>
  <c r="B3" i="3"/>
  <c r="B4" i="3"/>
  <c r="B2" i="3"/>
  <c r="J8" i="2"/>
  <c r="J9" i="2"/>
  <c r="J7" i="2"/>
  <c r="H8" i="2"/>
  <c r="H9" i="2"/>
  <c r="H7" i="2"/>
  <c r="I9" i="2"/>
  <c r="I8" i="2"/>
  <c r="I7" i="2"/>
  <c r="G8" i="2"/>
  <c r="G9" i="2"/>
  <c r="G7" i="2"/>
  <c r="AF3" i="2" a="1"/>
  <c r="AF4" i="2" a="1"/>
  <c r="AF2" i="2" a="1"/>
  <c r="AD3" i="2" a="1"/>
  <c r="AD4" i="2" a="1"/>
  <c r="AD2" i="2" a="1"/>
  <c r="AE3" i="2"/>
  <c r="AE4" i="2"/>
  <c r="AE2" i="2"/>
  <c r="AC3" i="2"/>
  <c r="AC4" i="2"/>
  <c r="AC2" i="2"/>
  <c r="AB3" i="2" a="1"/>
  <c r="AB4" i="2" a="1"/>
  <c r="AB2" i="2" a="1"/>
  <c r="AA3" i="2"/>
  <c r="AA4" i="2"/>
  <c r="AA2" i="2"/>
  <c r="Z3" i="2" a="1"/>
  <c r="Z4" i="2" a="1"/>
  <c r="Z2" i="2" a="1"/>
  <c r="Y3" i="2"/>
  <c r="Y4" i="2"/>
  <c r="Y2" i="2"/>
  <c r="X3" i="2" a="1"/>
  <c r="X4" i="2" a="1"/>
  <c r="X2" i="2" a="1"/>
  <c r="W3" i="2"/>
  <c r="W4" i="2"/>
  <c r="W2" i="2"/>
  <c r="V3" i="2" a="1"/>
  <c r="V4" i="2" a="1"/>
  <c r="V2" i="2" a="1"/>
  <c r="U3" i="2"/>
  <c r="U4" i="2"/>
  <c r="U2" i="2"/>
  <c r="T3" i="2" a="1"/>
  <c r="T4" i="2" a="1"/>
  <c r="T2" i="2" a="1"/>
  <c r="S3" i="2"/>
  <c r="S4" i="2"/>
  <c r="S2" i="2"/>
  <c r="R3" i="2" a="1"/>
  <c r="R4" i="2" a="1"/>
  <c r="R2" i="2" a="1"/>
  <c r="Q3" i="2"/>
  <c r="Q4" i="2"/>
  <c r="P4" i="2" a="1"/>
  <c r="P3" i="2" a="1"/>
  <c r="P2" i="2" a="1"/>
  <c r="Q2" i="2"/>
  <c r="O3" i="2"/>
  <c r="O4" i="2"/>
  <c r="O2" i="2"/>
  <c r="N3" i="2" a="1"/>
  <c r="N4" i="2" a="1"/>
  <c r="N2" i="2" a="1"/>
  <c r="M3" i="2"/>
  <c r="M4" i="2"/>
  <c r="M2" i="2"/>
  <c r="L3" i="2" a="1"/>
  <c r="L4" i="2" a="1"/>
  <c r="L2" i="2" a="1"/>
  <c r="K3" i="2"/>
  <c r="K4" i="2"/>
  <c r="K2" i="2"/>
  <c r="J3" i="2" a="1"/>
  <c r="J4" i="2" a="1"/>
  <c r="J2" i="2" a="1"/>
  <c r="I3" i="2"/>
  <c r="I4" i="2"/>
  <c r="I2" i="2"/>
  <c r="H3" i="2" a="1"/>
  <c r="H4" i="2" a="1"/>
  <c r="H2" i="2" a="1"/>
  <c r="G3" i="2"/>
  <c r="G4" i="2"/>
  <c r="G2" i="2"/>
  <c r="F3" i="2" a="1"/>
  <c r="F4" i="2" a="1"/>
  <c r="F2" i="2" a="1"/>
  <c r="E3" i="2"/>
  <c r="E4" i="2"/>
  <c r="E2" i="2"/>
  <c r="D3" i="2" a="1"/>
  <c r="D4" i="2" a="1"/>
  <c r="D2" i="2" a="1"/>
  <c r="C3" i="2"/>
  <c r="C4" i="2"/>
  <c r="C2" i="2"/>
  <c r="E8" i="2"/>
  <c r="E9" i="2"/>
  <c r="F8" i="2" a="1"/>
  <c r="F9" i="2" a="1"/>
  <c r="F7" i="2" a="1"/>
  <c r="E7" i="2"/>
  <c r="D9" i="2" a="1"/>
  <c r="D8" i="2" a="1"/>
  <c r="D7" i="2" a="1"/>
  <c r="C9" i="2"/>
  <c r="C8" i="2"/>
  <c r="C7" i="2"/>
  <c r="B3" i="2"/>
  <c r="B4" i="2"/>
  <c r="B2" i="2"/>
  <c r="AN4" i="3" l="1"/>
  <c r="AL4" i="3"/>
  <c r="AN3" i="3"/>
  <c r="AL3" i="3"/>
  <c r="AL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<sst xmlns="http://schemas.openxmlformats.org/spreadsheetml/2006/main" count="619" uniqueCount="351">
  <si>
    <t>ID</t>
  </si>
  <si>
    <t>Sesion</t>
  </si>
  <si>
    <t>Nivel</t>
  </si>
  <si>
    <t>Num intentos</t>
  </si>
  <si>
    <t>Tiempo inicio</t>
  </si>
  <si>
    <t>Tiempo final</t>
  </si>
  <si>
    <t>Tiempo duracion</t>
  </si>
  <si>
    <t>Completado</t>
  </si>
  <si>
    <t>Pasos planificados</t>
  </si>
  <si>
    <t>Pasos ejecutados</t>
  </si>
  <si>
    <t>Errores ejecucion</t>
  </si>
  <si>
    <t>Num dormir planificado</t>
  </si>
  <si>
    <t>Correctos dormir</t>
  </si>
  <si>
    <t>Errores dormir</t>
  </si>
  <si>
    <t>Num ubicacion planificado</t>
  </si>
  <si>
    <t>Correctos ubicacion</t>
  </si>
  <si>
    <t>Errores ubicacion</t>
  </si>
  <si>
    <t>Paradas posibles</t>
  </si>
  <si>
    <t>Paradas realizadas</t>
  </si>
  <si>
    <t>Errores parada por tiempo excedido</t>
  </si>
  <si>
    <t>Num errores por tiempo excedido</t>
  </si>
  <si>
    <t>15:04:04.517</t>
  </si>
  <si>
    <t>15:20:46.000</t>
  </si>
  <si>
    <t>14:15:08.014</t>
  </si>
  <si>
    <t>14:18:26.124</t>
  </si>
  <si>
    <t>14:33:17.624</t>
  </si>
  <si>
    <t>14:41:08.214</t>
  </si>
  <si>
    <t>14:41:36.785</t>
  </si>
  <si>
    <t>14:22:08.352</t>
  </si>
  <si>
    <t>14:33:47.295</t>
  </si>
  <si>
    <t>14:41:54.930</t>
  </si>
  <si>
    <t>14:45:59.368</t>
  </si>
  <si>
    <t>14:13:54.844</t>
  </si>
  <si>
    <t>14:20:12.099</t>
  </si>
  <si>
    <t>14:23:53.796</t>
  </si>
  <si>
    <t>14:29:18.329</t>
  </si>
  <si>
    <t>14:29:18.332</t>
  </si>
  <si>
    <t>14:19:57.019</t>
  </si>
  <si>
    <t>14:26:32.030</t>
  </si>
  <si>
    <t>14:30:43.155</t>
  </si>
  <si>
    <t>14:33:28.259</t>
  </si>
  <si>
    <t>14:15:31.568</t>
  </si>
  <si>
    <t>14:28:18.519</t>
  </si>
  <si>
    <t>14:35:10.769</t>
  </si>
  <si>
    <t>14:40:03.212</t>
  </si>
  <si>
    <t>15:03:20.042</t>
  </si>
  <si>
    <t>15:14:35.482</t>
  </si>
  <si>
    <t>15:20:07.463</t>
  </si>
  <si>
    <t>15:29:42.390</t>
  </si>
  <si>
    <t>15:40:07.396</t>
  </si>
  <si>
    <t>15:42:48.934</t>
  </si>
  <si>
    <t>15:46:00.232</t>
  </si>
  <si>
    <t>15:55:50.529</t>
  </si>
  <si>
    <t>15:00:03.742</t>
  </si>
  <si>
    <t>15:07:08.980</t>
  </si>
  <si>
    <t>15:15:43.972</t>
  </si>
  <si>
    <t>15:19:30.920</t>
  </si>
  <si>
    <t>15:23:30.830</t>
  </si>
  <si>
    <t>15:29:21.792</t>
  </si>
  <si>
    <t>15:36:46.952</t>
  </si>
  <si>
    <t>14:23:03.711</t>
  </si>
  <si>
    <t>14:40:03.021</t>
  </si>
  <si>
    <t>14:45:28.196</t>
  </si>
  <si>
    <t>14:47:23.112</t>
  </si>
  <si>
    <t>14:14:43.812</t>
  </si>
  <si>
    <t>14:31:57.052</t>
  </si>
  <si>
    <t>14:37:24.618</t>
  </si>
  <si>
    <t>14:43:56.411</t>
  </si>
  <si>
    <t>14:44:49.452</t>
  </si>
  <si>
    <t>14:41:30.786</t>
  </si>
  <si>
    <t>14:55:21.747</t>
  </si>
  <si>
    <t>14:56:41.369</t>
  </si>
  <si>
    <t>15:00:04.877</t>
  </si>
  <si>
    <t>15:04:05.779</t>
  </si>
  <si>
    <t>15:12:14.966</t>
  </si>
  <si>
    <t>15:06:50.654</t>
  </si>
  <si>
    <t>15:12:14.783</t>
  </si>
  <si>
    <t>15:19:02.477</t>
  </si>
  <si>
    <t>15:43:52.111</t>
  </si>
  <si>
    <t>15:43:52.114</t>
  </si>
  <si>
    <t>14:22:36.656</t>
  </si>
  <si>
    <t>14:43:21.606</t>
  </si>
  <si>
    <t>14:48:20.692</t>
  </si>
  <si>
    <t>14:50:51.188</t>
  </si>
  <si>
    <t>14:14:22.689</t>
  </si>
  <si>
    <t>14:19:59.749</t>
  </si>
  <si>
    <t>14:25:43.947</t>
  </si>
  <si>
    <t>14:32:03.553</t>
  </si>
  <si>
    <t>15:03:08.992</t>
  </si>
  <si>
    <t>15:10:19.897</t>
  </si>
  <si>
    <t>15:25:15.288</t>
  </si>
  <si>
    <t>15:38:19.551</t>
  </si>
  <si>
    <t>15:42:19.447</t>
  </si>
  <si>
    <t>15:51:25.871</t>
  </si>
  <si>
    <t>15:05:45.125</t>
  </si>
  <si>
    <t>15:13:24.558</t>
  </si>
  <si>
    <t>15:21:30.015</t>
  </si>
  <si>
    <t>15:51:06.616</t>
  </si>
  <si>
    <t>15:51:06.619</t>
  </si>
  <si>
    <t>15:16:10.840</t>
  </si>
  <si>
    <t>15:21:32.368</t>
  </si>
  <si>
    <t>15:38:46.956</t>
  </si>
  <si>
    <t>15:43:29.980</t>
  </si>
  <si>
    <t>14:59:31.381</t>
  </si>
  <si>
    <t>15:07:16.598</t>
  </si>
  <si>
    <t>15:53:03.221</t>
  </si>
  <si>
    <t>14:22:05.338</t>
  </si>
  <si>
    <t>14:51:11.307</t>
  </si>
  <si>
    <t>14:53:27.923</t>
  </si>
  <si>
    <t>15:10:23.032</t>
  </si>
  <si>
    <t>15:19:22.298</t>
  </si>
  <si>
    <t>15:29:19.230</t>
  </si>
  <si>
    <t>15:01:24.561</t>
  </si>
  <si>
    <t>15:19:31.478</t>
  </si>
  <si>
    <t>15:35:05.464</t>
  </si>
  <si>
    <t>15:51:01.360</t>
  </si>
  <si>
    <t>14:56:23.695</t>
  </si>
  <si>
    <t>15:13:30.278</t>
  </si>
  <si>
    <t>15:21:05.316</t>
  </si>
  <si>
    <t>15:22:58.894</t>
  </si>
  <si>
    <t>14:57:25.697</t>
  </si>
  <si>
    <t>15:03:06.598</t>
  </si>
  <si>
    <t>15:25:52.239</t>
  </si>
  <si>
    <t>14:57:14.600</t>
  </si>
  <si>
    <t>15:22:54.073</t>
  </si>
  <si>
    <t>15:25:56.336</t>
  </si>
  <si>
    <t>14:58:10.940</t>
  </si>
  <si>
    <t>15:07:48.682</t>
  </si>
  <si>
    <t>15:37:20.923</t>
  </si>
  <si>
    <t>15:40:59.178</t>
  </si>
  <si>
    <t>15:04:46.232</t>
  </si>
  <si>
    <t>15:18:54.053</t>
  </si>
  <si>
    <t>15:20:10.657</t>
  </si>
  <si>
    <t>15:07:30.039</t>
  </si>
  <si>
    <t>15:12:23.722</t>
  </si>
  <si>
    <t>15:38:52.809</t>
  </si>
  <si>
    <t>15:42:01.441</t>
  </si>
  <si>
    <t>15:44:04.289</t>
  </si>
  <si>
    <t>15:53:09.504</t>
  </si>
  <si>
    <t>14:19:54.532</t>
  </si>
  <si>
    <t>14:50:35.180</t>
  </si>
  <si>
    <t>14:55:04.984</t>
  </si>
  <si>
    <t>14:59:28.344</t>
  </si>
  <si>
    <t>15:05:56.110</t>
  </si>
  <si>
    <t>15:10:25.433</t>
  </si>
  <si>
    <t>15:29:11.613</t>
  </si>
  <si>
    <t>15:01:05.154</t>
  </si>
  <si>
    <t>15:06:32.230</t>
  </si>
  <si>
    <t>15:10:35.900</t>
  </si>
  <si>
    <t>15:35:37.780</t>
  </si>
  <si>
    <t>15:37:20.925</t>
  </si>
  <si>
    <t>15:42:28.525</t>
  </si>
  <si>
    <t>14:41:32.880</t>
  </si>
  <si>
    <t>14:51:59.233</t>
  </si>
  <si>
    <t>15:11:40.452</t>
  </si>
  <si>
    <t>14:59:05.674</t>
  </si>
  <si>
    <t>15:04:55.399</t>
  </si>
  <si>
    <t>15:53:16.524</t>
  </si>
  <si>
    <t>14:21:40.892</t>
  </si>
  <si>
    <t>14:44:31.489</t>
  </si>
  <si>
    <t>14:53:52.881</t>
  </si>
  <si>
    <t>14:13:26.721</t>
  </si>
  <si>
    <t>14:19:13.156</t>
  </si>
  <si>
    <t>14:24:31.487</t>
  </si>
  <si>
    <t>14:26:27.789</t>
  </si>
  <si>
    <t>16:03:16.528</t>
  </si>
  <si>
    <t>16:27:39.143</t>
  </si>
  <si>
    <t>14:42:08.696</t>
  </si>
  <si>
    <t>14:46:23.542</t>
  </si>
  <si>
    <t>15:01:47.913</t>
  </si>
  <si>
    <t>15:03:16.318</t>
  </si>
  <si>
    <t>15:57:13.889</t>
  </si>
  <si>
    <t>16:01:19.170</t>
  </si>
  <si>
    <t>16:05:13.392</t>
  </si>
  <si>
    <t>16:08:50.754</t>
  </si>
  <si>
    <t>16:28:39.035</t>
  </si>
  <si>
    <t>15:52:12.861</t>
  </si>
  <si>
    <t>16:08:27.307</t>
  </si>
  <si>
    <t>16:24:01.573</t>
  </si>
  <si>
    <t>16:32:40.948</t>
  </si>
  <si>
    <t>16:37:27.987</t>
  </si>
  <si>
    <t>16:41:42.621</t>
  </si>
  <si>
    <t>16:44:13.973</t>
  </si>
  <si>
    <t>15:55:15.139</t>
  </si>
  <si>
    <t>16:08:37.180</t>
  </si>
  <si>
    <t>16:12:52.336</t>
  </si>
  <si>
    <t>16:15:30.335</t>
  </si>
  <si>
    <t>16:22:20.979</t>
  </si>
  <si>
    <t>16:25:36.572</t>
  </si>
  <si>
    <t>16:28:02.631</t>
  </si>
  <si>
    <t>15:54:22.013</t>
  </si>
  <si>
    <t>16:01:18.875</t>
  </si>
  <si>
    <t>16:05:59.983</t>
  </si>
  <si>
    <t>16:09:42.515</t>
  </si>
  <si>
    <t>16:13:10.433</t>
  </si>
  <si>
    <t>16:20:28.972</t>
  </si>
  <si>
    <t>15:03:42.632</t>
  </si>
  <si>
    <t>15:03:42.639</t>
  </si>
  <si>
    <t>15:04:22.854</t>
  </si>
  <si>
    <t>15:10:42.429</t>
  </si>
  <si>
    <t>16:46:40.382</t>
  </si>
  <si>
    <t>16:52:42.370</t>
  </si>
  <si>
    <t>16:57:35.476</t>
  </si>
  <si>
    <t>17:06:26.436</t>
  </si>
  <si>
    <t>17:06:26.439</t>
  </si>
  <si>
    <t>15:04:10.152</t>
  </si>
  <si>
    <t>15:09:36.193</t>
  </si>
  <si>
    <t>15:22:58.870</t>
  </si>
  <si>
    <t>15:22:58.873</t>
  </si>
  <si>
    <t>15:49:17.343</t>
  </si>
  <si>
    <t>16:11:22.196</t>
  </si>
  <si>
    <t>15:27:15.739</t>
  </si>
  <si>
    <t>15:39:14.252</t>
  </si>
  <si>
    <t>15:43:24.946</t>
  </si>
  <si>
    <t>15:48:01.202</t>
  </si>
  <si>
    <t>15:41:43.128</t>
  </si>
  <si>
    <t>15:45:16.287</t>
  </si>
  <si>
    <t>15:54:07.877</t>
  </si>
  <si>
    <t>15:03:20.338</t>
  </si>
  <si>
    <t>15:14:48.851</t>
  </si>
  <si>
    <t>15:22:04.958</t>
  </si>
  <si>
    <t>14:53:45.380</t>
  </si>
  <si>
    <t>15:04:52.141</t>
  </si>
  <si>
    <t>15:32:58.880</t>
  </si>
  <si>
    <t>15:43:28.720</t>
  </si>
  <si>
    <t>15:22:11.115</t>
  </si>
  <si>
    <t>15:29:07.278</t>
  </si>
  <si>
    <t>15:30:50.876</t>
  </si>
  <si>
    <t>15:35:22.460</t>
  </si>
  <si>
    <t>15:48:24.729</t>
  </si>
  <si>
    <t>15:53:27.361</t>
  </si>
  <si>
    <t>14:57:49.153</t>
  </si>
  <si>
    <t>15:05:24.859</t>
  </si>
  <si>
    <t>15:36:54.356</t>
  </si>
  <si>
    <t>16:00:54.514</t>
  </si>
  <si>
    <t>16:28:05.381</t>
  </si>
  <si>
    <t>16:33:11.228</t>
  </si>
  <si>
    <t>16:37:52.924</t>
  </si>
  <si>
    <t>16:43:24.924</t>
  </si>
  <si>
    <t>16:47:27.069</t>
  </si>
  <si>
    <t>16:56:47.287</t>
  </si>
  <si>
    <t>17:01:27.938</t>
  </si>
  <si>
    <t>14:14:16.150</t>
  </si>
  <si>
    <t>14:45:57.823</t>
  </si>
  <si>
    <t>14:50:19.392</t>
  </si>
  <si>
    <t>15:22:37.565</t>
  </si>
  <si>
    <t>16:50:34.650</t>
  </si>
  <si>
    <t>17:12:38.100</t>
  </si>
  <si>
    <t>17:16:54.856</t>
  </si>
  <si>
    <t>17:17:48.165</t>
  </si>
  <si>
    <t>17:22:19.409</t>
  </si>
  <si>
    <t>14:22:36.481</t>
  </si>
  <si>
    <t>14:34:10.709</t>
  </si>
  <si>
    <t>14:42:55.001</t>
  </si>
  <si>
    <t>14:45:28.411</t>
  </si>
  <si>
    <t>14:14:40.795</t>
  </si>
  <si>
    <t>14:22:56.009</t>
  </si>
  <si>
    <t>14:27:09.338</t>
  </si>
  <si>
    <t>14:32:00.853</t>
  </si>
  <si>
    <t>14:21:08.325</t>
  </si>
  <si>
    <t>14:53:33.774</t>
  </si>
  <si>
    <t>14:34:23.248</t>
  </si>
  <si>
    <t>15:04:15.175</t>
  </si>
  <si>
    <t>15:13:51.057</t>
  </si>
  <si>
    <t>15:20:21.395</t>
  </si>
  <si>
    <t>14:20:39.906</t>
  </si>
  <si>
    <t>14:42:54.667</t>
  </si>
  <si>
    <t>15:41:36.914</t>
  </si>
  <si>
    <t>15:41:05.915</t>
  </si>
  <si>
    <t>15:43:22.538</t>
  </si>
  <si>
    <t>14:21:06.367</t>
  </si>
  <si>
    <t>14:41:19.309</t>
  </si>
  <si>
    <t>14:43:09.094</t>
  </si>
  <si>
    <t>14:50:28.467</t>
  </si>
  <si>
    <t>14:52:54.140</t>
  </si>
  <si>
    <t>14:58:29.878</t>
  </si>
  <si>
    <t>15:02:53.909</t>
  </si>
  <si>
    <t>15:07:47.070</t>
  </si>
  <si>
    <t>15:10:33.586</t>
  </si>
  <si>
    <t>15:13:32.209</t>
  </si>
  <si>
    <t>15:18:33.196</t>
  </si>
  <si>
    <t>15:04:56.808</t>
  </si>
  <si>
    <t>15:11:00.642</t>
  </si>
  <si>
    <t>15:16:07.535</t>
  </si>
  <si>
    <t>15:16:51.224</t>
  </si>
  <si>
    <t>15:20:16.102</t>
  </si>
  <si>
    <t>14:45:53.780</t>
  </si>
  <si>
    <t>14:46:26.956</t>
  </si>
  <si>
    <t>14:15:14.763</t>
  </si>
  <si>
    <t>14:38:49.040</t>
  </si>
  <si>
    <t>14:42:45.561</t>
  </si>
  <si>
    <t>14:42:45.564</t>
  </si>
  <si>
    <t>14:21:37.576</t>
  </si>
  <si>
    <t>14:30:18.748</t>
  </si>
  <si>
    <t>14:37:57.257</t>
  </si>
  <si>
    <t>14:40:18.233</t>
  </si>
  <si>
    <t>14:59:25.079</t>
  </si>
  <si>
    <t>14:13:42.166</t>
  </si>
  <si>
    <t>14:58:20.061</t>
  </si>
  <si>
    <t>15:19:07.753</t>
  </si>
  <si>
    <t>15:42:49.649</t>
  </si>
  <si>
    <t>15:49:09.643</t>
  </si>
  <si>
    <t>15:53:54.322</t>
  </si>
  <si>
    <t>16:01:37.196</t>
  </si>
  <si>
    <t>16:12:56.886</t>
  </si>
  <si>
    <t>16:16:52.592</t>
  </si>
  <si>
    <t>16:30:37.739</t>
  </si>
  <si>
    <t>Niveles</t>
  </si>
  <si>
    <t>Count</t>
  </si>
  <si>
    <t>Media planificados</t>
  </si>
  <si>
    <t>Stdev planificados</t>
  </si>
  <si>
    <t>Media ejecutados</t>
  </si>
  <si>
    <t>Stdev ejecutados</t>
  </si>
  <si>
    <t>Media errores</t>
  </si>
  <si>
    <t>Stdev errores</t>
  </si>
  <si>
    <t>Media dormir planificado</t>
  </si>
  <si>
    <t>Stdev dorm plan</t>
  </si>
  <si>
    <t>Media correctos dormir</t>
  </si>
  <si>
    <t>Stdev correctos dormir</t>
  </si>
  <si>
    <t>Media errores dormir</t>
  </si>
  <si>
    <t>Stdev errores dormir</t>
  </si>
  <si>
    <t>Media ubi planificado</t>
  </si>
  <si>
    <t>Stdev ubi planificado</t>
  </si>
  <si>
    <t>Media correctos ubi</t>
  </si>
  <si>
    <t>Stdev correctos ubi</t>
  </si>
  <si>
    <t>Media errores ubi</t>
  </si>
  <si>
    <t>Stdev errores ubi</t>
  </si>
  <si>
    <t>Media paradas posibles</t>
  </si>
  <si>
    <t>Stdev paradas posibles</t>
  </si>
  <si>
    <t>Media paradas realizadas</t>
  </si>
  <si>
    <t>Stdev paradas realizadas</t>
  </si>
  <si>
    <t>Media error parada tiempo exceido</t>
  </si>
  <si>
    <t>Stdev errores parada tiempo excedido</t>
  </si>
  <si>
    <t>Media errores tiempo excedido</t>
  </si>
  <si>
    <t>Stdev errores tiempo excedido</t>
  </si>
  <si>
    <t xml:space="preserve"> Media duracion</t>
  </si>
  <si>
    <t>Stdev duracion</t>
  </si>
  <si>
    <t>Media n intentos</t>
  </si>
  <si>
    <t>Stdev n intentos</t>
  </si>
  <si>
    <t>15:42:14.394</t>
  </si>
  <si>
    <t>% Aciertos</t>
  </si>
  <si>
    <t>% Mal</t>
  </si>
  <si>
    <t>0 planificado</t>
  </si>
  <si>
    <t>Media % aciertos</t>
  </si>
  <si>
    <t>Stdev % aciertos</t>
  </si>
  <si>
    <t>Media % errores</t>
  </si>
  <si>
    <t>Stdev % errores</t>
  </si>
  <si>
    <t>Num completados</t>
  </si>
  <si>
    <t>Num no completados</t>
  </si>
  <si>
    <t>% Completados</t>
  </si>
  <si>
    <t>% No completados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</si>
</sst>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F33C9-0D6E-4466-A947-979A97EAB1CA}" name="dataNiveles" displayName="dataNiveles" ref="A1:W213" totalsRowShown="0" headerRowDxfId="2" headerRowBorderDxfId="1" tableBorderDxfId="0">
  <autoFilter ref="A1:W213" xr:uid="{E64F33C9-0D6E-4466-A947-979A97EAB1CA}"/>
  <tableColumns count="23">
    <tableColumn id="1" xr3:uid="{0DF82F0A-802F-4E90-B194-6AF1DDF506EA}" name="ID"/>
    <tableColumn id="2" xr3:uid="{88AE4975-BA64-4005-B9D1-961ED97FEF8E}" name="Sesion"/>
    <tableColumn id="3" xr3:uid="{AD94318C-D82A-4BB8-8133-C3C07DC11584}" name="Nivel"/>
    <tableColumn id="4" xr3:uid="{2B4BBACB-569F-4EEC-8927-66D6A479C0E8}" name="Num intentos"/>
    <tableColumn id="5" xr3:uid="{BB9179BD-6BEA-46B3-BE0A-C5B58B39C1FC}" name="Tiempo inicio"/>
    <tableColumn id="6" xr3:uid="{40BFF2CF-2265-42CC-9CB8-B0959C859400}" name="Tiempo final"/>
    <tableColumn id="7" xr3:uid="{F3DF59DB-A423-4ABD-8F5D-99D112AE6630}" name="Tiempo duracion"/>
    <tableColumn id="8" xr3:uid="{FFAEC1F8-BB6D-4209-BBB5-E2BB907525CE}" name="Completado"/>
    <tableColumn id="9" xr3:uid="{539BDBF0-241D-4774-8A9E-A6F1826D4AE6}" name="Pasos planificados"/>
    <tableColumn id="10" xr3:uid="{141AB6AF-BE3D-4307-8E8B-1DC2D423F0A7}" name="Pasos ejecutados"/>
    <tableColumn id="11" xr3:uid="{9CD1E6C4-B05D-476A-8A86-8B7BB0F2711B}" name="Errores ejecucion"/>
    <tableColumn id="12" xr3:uid="{80B898EA-FBD9-4302-930B-E1D3082BDE34}" name="Num dormir planificado"/>
    <tableColumn id="13" xr3:uid="{403DB98C-D3D0-4615-87DE-C570A4EA2C0D}" name="Correctos dormir"/>
    <tableColumn id="14" xr3:uid="{D5695129-F682-4D62-96CE-5BAB8EF73ABD}" name="Errores dormir"/>
    <tableColumn id="15" xr3:uid="{F8041822-2228-41B3-AC40-FE3167FED52F}" name="Num ubicacion planificado"/>
    <tableColumn id="16" xr3:uid="{00D55FB0-7302-4446-902A-6E50C89EB5AE}" name="Correctos ubicacion"/>
    <tableColumn id="17" xr3:uid="{EAD0395E-366A-4B94-A123-9838673765E5}" name="Errores ubicacion"/>
    <tableColumn id="18" xr3:uid="{8766E59E-AB0E-4B08-9C76-D79770272519}" name="Paradas posibles"/>
    <tableColumn id="19" xr3:uid="{E007CE99-01AE-4726-9425-A3644589FE2C}" name="Paradas realizadas"/>
    <tableColumn id="20" xr3:uid="{394DC09F-0F38-4A14-A268-E7C08E60C741}" name="Errores parada por tiempo excedido"/>
    <tableColumn id="21" xr3:uid="{9945298E-8DC5-4CAD-A4E8-711FB82860B0}" name="Num errores por tiempo excedido"/>
    <tableColumn id="22" xr3:uid="{E9CFE53D-3AD7-431C-BCDA-B2435D56D455}" name="% Aciertos"/>
    <tableColumn id="23" xr3:uid="{04189E72-7631-4376-A357-3F6F8DE60B31}" name="% 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3"/>
  <sheetViews>
    <sheetView workbookViewId="0">
      <selection activeCell="X14" sqref="X14"/>
    </sheetView>
  </sheetViews>
  <sheetFormatPr baseColWidth="10" defaultColWidth="8.88671875" defaultRowHeight="14.4" x14ac:dyDescent="0.3"/>
  <cols>
    <col min="4" max="4" width="14.33203125" customWidth="1"/>
    <col min="5" max="5" width="14.109375" customWidth="1"/>
    <col min="6" max="6" width="13.33203125" customWidth="1"/>
    <col min="7" max="7" width="17.109375" customWidth="1"/>
    <col min="8" max="8" width="13.21875" customWidth="1"/>
    <col min="9" max="9" width="18.21875" customWidth="1"/>
    <col min="10" max="11" width="17.33203125" customWidth="1"/>
    <col min="12" max="12" width="22.88671875" customWidth="1"/>
    <col min="13" max="13" width="17" customWidth="1"/>
    <col min="14" max="14" width="14.88671875" customWidth="1"/>
    <col min="15" max="15" width="25.33203125" customWidth="1"/>
    <col min="16" max="16" width="19.44140625" customWidth="1"/>
    <col min="17" max="17" width="17.33203125" customWidth="1"/>
    <col min="18" max="18" width="16.77734375" customWidth="1"/>
    <col min="19" max="19" width="18.21875" customWidth="1"/>
    <col min="20" max="20" width="32.88671875" customWidth="1"/>
    <col min="21" max="21" width="31.109375" customWidth="1"/>
    <col min="22" max="23" width="18.66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340</v>
      </c>
      <c r="W1" s="1" t="s">
        <v>341</v>
      </c>
    </row>
    <row r="2" spans="1:24" x14ac:dyDescent="0.3">
      <c r="A2">
        <v>10</v>
      </c>
      <c r="B2">
        <v>1</v>
      </c>
      <c r="C2">
        <v>1</v>
      </c>
      <c r="D2">
        <v>7</v>
      </c>
      <c r="E2" t="s">
        <v>21</v>
      </c>
      <c r="F2" t="s">
        <v>22</v>
      </c>
      <c r="G2">
        <v>1001.4829999999999</v>
      </c>
      <c r="H2" t="b">
        <v>0</v>
      </c>
      <c r="I2">
        <v>14</v>
      </c>
      <c r="J2">
        <v>11</v>
      </c>
      <c r="K2">
        <v>3</v>
      </c>
      <c r="L2">
        <v>10</v>
      </c>
      <c r="M2">
        <v>9</v>
      </c>
      <c r="N2">
        <v>1</v>
      </c>
      <c r="O2">
        <v>4</v>
      </c>
      <c r="P2">
        <v>2</v>
      </c>
      <c r="Q2">
        <v>2</v>
      </c>
      <c r="R2">
        <v>12</v>
      </c>
      <c r="S2">
        <v>6</v>
      </c>
      <c r="T2">
        <v>0</v>
      </c>
      <c r="U2">
        <v>0</v>
      </c>
      <c r="V2">
        <v>78.571428571428498</v>
      </c>
      <c r="W2">
        <v>21.428571428571399</v>
      </c>
    </row>
    <row r="3" spans="1:24" x14ac:dyDescent="0.3">
      <c r="A3">
        <v>10</v>
      </c>
      <c r="B3">
        <v>3</v>
      </c>
      <c r="C3">
        <v>1</v>
      </c>
      <c r="D3">
        <v>1</v>
      </c>
      <c r="E3" t="s">
        <v>23</v>
      </c>
      <c r="F3" t="s">
        <v>24</v>
      </c>
      <c r="G3">
        <v>198.11</v>
      </c>
      <c r="H3" t="b">
        <v>1</v>
      </c>
      <c r="I3">
        <v>4</v>
      </c>
      <c r="J3">
        <v>4</v>
      </c>
      <c r="K3">
        <v>0</v>
      </c>
      <c r="L3">
        <v>2</v>
      </c>
      <c r="M3">
        <v>2</v>
      </c>
      <c r="N3">
        <v>0</v>
      </c>
      <c r="O3">
        <v>2</v>
      </c>
      <c r="P3">
        <v>2</v>
      </c>
      <c r="Q3">
        <v>0</v>
      </c>
      <c r="R3">
        <v>4</v>
      </c>
      <c r="S3">
        <v>3</v>
      </c>
      <c r="T3">
        <v>0</v>
      </c>
      <c r="U3">
        <v>0</v>
      </c>
      <c r="V3">
        <v>100</v>
      </c>
      <c r="W3">
        <v>0</v>
      </c>
    </row>
    <row r="4" spans="1:24" x14ac:dyDescent="0.3">
      <c r="A4">
        <v>10</v>
      </c>
      <c r="B4">
        <v>3</v>
      </c>
      <c r="C4">
        <v>2</v>
      </c>
      <c r="D4">
        <v>1</v>
      </c>
      <c r="E4" t="s">
        <v>24</v>
      </c>
      <c r="F4" t="s">
        <v>25</v>
      </c>
      <c r="G4">
        <v>891.5</v>
      </c>
      <c r="H4" t="b">
        <v>0</v>
      </c>
      <c r="I4">
        <v>4</v>
      </c>
      <c r="J4">
        <v>4</v>
      </c>
      <c r="K4">
        <v>0</v>
      </c>
      <c r="L4">
        <v>2</v>
      </c>
      <c r="M4">
        <v>2</v>
      </c>
      <c r="N4">
        <v>0</v>
      </c>
      <c r="O4">
        <v>2</v>
      </c>
      <c r="P4">
        <v>2</v>
      </c>
      <c r="Q4">
        <v>0</v>
      </c>
      <c r="R4">
        <v>4</v>
      </c>
      <c r="S4">
        <v>2</v>
      </c>
      <c r="T4">
        <v>1</v>
      </c>
      <c r="U4">
        <v>1</v>
      </c>
      <c r="V4">
        <v>100</v>
      </c>
      <c r="W4">
        <v>0</v>
      </c>
    </row>
    <row r="5" spans="1:24" x14ac:dyDescent="0.3">
      <c r="A5">
        <v>10</v>
      </c>
      <c r="B5">
        <v>3</v>
      </c>
      <c r="C5">
        <v>3</v>
      </c>
      <c r="D5">
        <v>4</v>
      </c>
      <c r="E5" t="s">
        <v>25</v>
      </c>
      <c r="F5" t="s">
        <v>26</v>
      </c>
      <c r="G5">
        <v>470.59</v>
      </c>
      <c r="H5" t="b">
        <v>1</v>
      </c>
      <c r="I5">
        <v>9</v>
      </c>
      <c r="J5">
        <v>7</v>
      </c>
      <c r="K5">
        <v>2</v>
      </c>
      <c r="L5">
        <v>5</v>
      </c>
      <c r="M5">
        <v>4</v>
      </c>
      <c r="N5">
        <v>1</v>
      </c>
      <c r="O5">
        <v>4</v>
      </c>
      <c r="P5">
        <v>3</v>
      </c>
      <c r="Q5">
        <v>1</v>
      </c>
      <c r="R5">
        <v>13</v>
      </c>
      <c r="S5">
        <v>9</v>
      </c>
      <c r="T5">
        <v>0</v>
      </c>
      <c r="U5">
        <v>1</v>
      </c>
      <c r="V5">
        <v>77.7777777777777</v>
      </c>
      <c r="W5">
        <v>22.2222222222222</v>
      </c>
    </row>
    <row r="6" spans="1:24" x14ac:dyDescent="0.3">
      <c r="A6">
        <v>10</v>
      </c>
      <c r="B6">
        <v>3</v>
      </c>
      <c r="C6">
        <v>1</v>
      </c>
      <c r="D6">
        <v>1</v>
      </c>
      <c r="E6" t="s">
        <v>26</v>
      </c>
      <c r="F6" t="s">
        <v>27</v>
      </c>
      <c r="G6">
        <v>28.571000000000002</v>
      </c>
      <c r="H6" t="b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342</v>
      </c>
      <c r="W6" t="s">
        <v>342</v>
      </c>
    </row>
    <row r="7" spans="1:24" x14ac:dyDescent="0.3">
      <c r="A7">
        <v>11</v>
      </c>
      <c r="B7">
        <v>1</v>
      </c>
      <c r="C7">
        <v>1</v>
      </c>
      <c r="D7">
        <v>6</v>
      </c>
      <c r="E7" t="s">
        <v>28</v>
      </c>
      <c r="F7" t="s">
        <v>29</v>
      </c>
      <c r="G7">
        <v>698.94299999999998</v>
      </c>
      <c r="H7" t="b">
        <v>1</v>
      </c>
      <c r="I7">
        <v>10</v>
      </c>
      <c r="J7">
        <v>8</v>
      </c>
      <c r="K7">
        <v>2</v>
      </c>
      <c r="L7">
        <v>6</v>
      </c>
      <c r="M7">
        <v>5</v>
      </c>
      <c r="N7">
        <v>1</v>
      </c>
      <c r="O7">
        <v>4</v>
      </c>
      <c r="P7">
        <v>3</v>
      </c>
      <c r="Q7">
        <v>1</v>
      </c>
      <c r="R7">
        <v>11</v>
      </c>
      <c r="S7">
        <v>8</v>
      </c>
      <c r="T7">
        <v>0</v>
      </c>
      <c r="U7">
        <v>0</v>
      </c>
      <c r="V7">
        <v>80</v>
      </c>
      <c r="W7">
        <v>20</v>
      </c>
    </row>
    <row r="8" spans="1:24" x14ac:dyDescent="0.3">
      <c r="A8">
        <v>11</v>
      </c>
      <c r="B8">
        <v>1</v>
      </c>
      <c r="C8">
        <v>2</v>
      </c>
      <c r="D8">
        <v>3</v>
      </c>
      <c r="E8" t="s">
        <v>29</v>
      </c>
      <c r="F8" t="s">
        <v>30</v>
      </c>
      <c r="G8">
        <v>487.63499999999999</v>
      </c>
      <c r="H8" t="b">
        <v>1</v>
      </c>
      <c r="I8">
        <v>10</v>
      </c>
      <c r="J8">
        <v>9</v>
      </c>
      <c r="K8">
        <v>1</v>
      </c>
      <c r="L8">
        <v>6</v>
      </c>
      <c r="M8">
        <v>6</v>
      </c>
      <c r="N8">
        <v>0</v>
      </c>
      <c r="O8">
        <v>4</v>
      </c>
      <c r="P8">
        <v>3</v>
      </c>
      <c r="Q8">
        <v>1</v>
      </c>
      <c r="R8">
        <v>10</v>
      </c>
      <c r="S8">
        <v>4</v>
      </c>
      <c r="T8">
        <v>1</v>
      </c>
      <c r="U8">
        <v>1</v>
      </c>
      <c r="V8">
        <v>90</v>
      </c>
      <c r="W8">
        <v>10</v>
      </c>
    </row>
    <row r="9" spans="1:24" x14ac:dyDescent="0.3">
      <c r="A9">
        <v>11</v>
      </c>
      <c r="B9">
        <v>1</v>
      </c>
      <c r="C9">
        <v>3</v>
      </c>
      <c r="D9">
        <v>2</v>
      </c>
      <c r="E9" t="s">
        <v>30</v>
      </c>
      <c r="F9" t="s">
        <v>31</v>
      </c>
      <c r="G9">
        <v>244.43799999999999</v>
      </c>
      <c r="H9" t="b">
        <v>1</v>
      </c>
      <c r="I9">
        <v>6</v>
      </c>
      <c r="J9">
        <v>5</v>
      </c>
      <c r="K9">
        <v>1</v>
      </c>
      <c r="L9">
        <v>3</v>
      </c>
      <c r="M9">
        <v>3</v>
      </c>
      <c r="N9">
        <v>0</v>
      </c>
      <c r="O9">
        <v>3</v>
      </c>
      <c r="P9">
        <v>2</v>
      </c>
      <c r="Q9">
        <v>1</v>
      </c>
      <c r="R9">
        <v>8</v>
      </c>
      <c r="S9">
        <v>6</v>
      </c>
      <c r="T9">
        <v>0</v>
      </c>
      <c r="U9">
        <v>0</v>
      </c>
      <c r="V9">
        <v>83.3333333333333</v>
      </c>
      <c r="W9">
        <v>16.6666666666666</v>
      </c>
      <c r="X9" s="2"/>
    </row>
    <row r="10" spans="1:24" x14ac:dyDescent="0.3">
      <c r="A10">
        <v>11</v>
      </c>
      <c r="B10">
        <v>3</v>
      </c>
      <c r="C10">
        <v>1</v>
      </c>
      <c r="D10">
        <v>3</v>
      </c>
      <c r="E10" t="s">
        <v>32</v>
      </c>
      <c r="F10" t="s">
        <v>33</v>
      </c>
      <c r="G10">
        <v>377.255</v>
      </c>
      <c r="H10" t="b">
        <v>1</v>
      </c>
      <c r="I10">
        <v>9</v>
      </c>
      <c r="J10">
        <v>7</v>
      </c>
      <c r="K10">
        <v>2</v>
      </c>
      <c r="L10">
        <v>6</v>
      </c>
      <c r="M10">
        <v>5</v>
      </c>
      <c r="N10">
        <v>1</v>
      </c>
      <c r="O10">
        <v>3</v>
      </c>
      <c r="P10">
        <v>2</v>
      </c>
      <c r="Q10">
        <v>1</v>
      </c>
      <c r="R10">
        <v>9</v>
      </c>
      <c r="S10">
        <v>8</v>
      </c>
      <c r="T10">
        <v>0</v>
      </c>
      <c r="U10">
        <v>0</v>
      </c>
      <c r="V10">
        <v>77.7777777777777</v>
      </c>
      <c r="W10">
        <v>22.2222222222222</v>
      </c>
    </row>
    <row r="11" spans="1:24" x14ac:dyDescent="0.3">
      <c r="A11">
        <v>11</v>
      </c>
      <c r="B11">
        <v>3</v>
      </c>
      <c r="C11">
        <v>2</v>
      </c>
      <c r="D11">
        <v>1</v>
      </c>
      <c r="E11" t="s">
        <v>33</v>
      </c>
      <c r="F11" t="s">
        <v>34</v>
      </c>
      <c r="G11">
        <v>221.697</v>
      </c>
      <c r="H11" t="b">
        <v>1</v>
      </c>
      <c r="I11">
        <v>4</v>
      </c>
      <c r="J11">
        <v>4</v>
      </c>
      <c r="K11">
        <v>0</v>
      </c>
      <c r="L11">
        <v>2</v>
      </c>
      <c r="M11">
        <v>2</v>
      </c>
      <c r="N11">
        <v>0</v>
      </c>
      <c r="O11">
        <v>2</v>
      </c>
      <c r="P11">
        <v>2</v>
      </c>
      <c r="Q11">
        <v>0</v>
      </c>
      <c r="R11">
        <v>4</v>
      </c>
      <c r="S11">
        <v>2</v>
      </c>
      <c r="T11">
        <v>0</v>
      </c>
      <c r="U11">
        <v>0</v>
      </c>
      <c r="V11">
        <v>100</v>
      </c>
      <c r="W11">
        <v>0</v>
      </c>
    </row>
    <row r="12" spans="1:24" x14ac:dyDescent="0.3">
      <c r="A12">
        <v>11</v>
      </c>
      <c r="B12">
        <v>3</v>
      </c>
      <c r="C12">
        <v>3</v>
      </c>
      <c r="D12">
        <v>2</v>
      </c>
      <c r="E12" t="s">
        <v>34</v>
      </c>
      <c r="F12" t="s">
        <v>35</v>
      </c>
      <c r="G12">
        <v>324.53300000000002</v>
      </c>
      <c r="H12" t="b">
        <v>1</v>
      </c>
      <c r="I12">
        <v>6</v>
      </c>
      <c r="J12">
        <v>5</v>
      </c>
      <c r="K12">
        <v>1</v>
      </c>
      <c r="L12">
        <v>3</v>
      </c>
      <c r="M12">
        <v>3</v>
      </c>
      <c r="N12">
        <v>0</v>
      </c>
      <c r="O12">
        <v>3</v>
      </c>
      <c r="P12">
        <v>2</v>
      </c>
      <c r="Q12">
        <v>1</v>
      </c>
      <c r="R12">
        <v>8</v>
      </c>
      <c r="S12">
        <v>6</v>
      </c>
      <c r="T12">
        <v>0</v>
      </c>
      <c r="U12">
        <v>0</v>
      </c>
      <c r="V12">
        <v>83.3333333333333</v>
      </c>
      <c r="W12">
        <v>16.6666666666666</v>
      </c>
    </row>
    <row r="13" spans="1:24" x14ac:dyDescent="0.3">
      <c r="A13">
        <v>11</v>
      </c>
      <c r="B13">
        <v>3</v>
      </c>
      <c r="C13">
        <v>1</v>
      </c>
      <c r="D13">
        <v>1</v>
      </c>
      <c r="E13" t="s">
        <v>35</v>
      </c>
      <c r="F13" t="s">
        <v>36</v>
      </c>
      <c r="G13">
        <v>3.0000000000000001E-3</v>
      </c>
      <c r="H13" t="b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342</v>
      </c>
      <c r="W13" t="s">
        <v>342</v>
      </c>
    </row>
    <row r="14" spans="1:24" x14ac:dyDescent="0.3">
      <c r="A14">
        <v>13</v>
      </c>
      <c r="B14">
        <v>1</v>
      </c>
      <c r="C14">
        <v>1</v>
      </c>
      <c r="D14">
        <v>3</v>
      </c>
      <c r="E14" t="s">
        <v>37</v>
      </c>
      <c r="F14" t="s">
        <v>38</v>
      </c>
      <c r="G14">
        <v>395.01100000000002</v>
      </c>
      <c r="H14" t="b">
        <v>0</v>
      </c>
      <c r="I14">
        <v>3</v>
      </c>
      <c r="J14">
        <v>3</v>
      </c>
      <c r="K14">
        <v>0</v>
      </c>
      <c r="L14">
        <v>2</v>
      </c>
      <c r="M14">
        <v>2</v>
      </c>
      <c r="N14">
        <v>0</v>
      </c>
      <c r="O14">
        <v>1</v>
      </c>
      <c r="P14">
        <v>1</v>
      </c>
      <c r="Q14">
        <v>0</v>
      </c>
      <c r="R14">
        <v>4</v>
      </c>
      <c r="S14">
        <v>3</v>
      </c>
      <c r="T14">
        <v>0</v>
      </c>
      <c r="U14">
        <v>0</v>
      </c>
      <c r="V14">
        <v>100</v>
      </c>
      <c r="W14">
        <v>0</v>
      </c>
    </row>
    <row r="15" spans="1:24" x14ac:dyDescent="0.3">
      <c r="A15">
        <v>13</v>
      </c>
      <c r="B15">
        <v>1</v>
      </c>
      <c r="C15">
        <v>2</v>
      </c>
      <c r="D15">
        <v>2</v>
      </c>
      <c r="E15" t="s">
        <v>38</v>
      </c>
      <c r="F15" t="s">
        <v>39</v>
      </c>
      <c r="G15">
        <v>251.125</v>
      </c>
      <c r="H15" t="b">
        <v>0</v>
      </c>
      <c r="I15">
        <v>2</v>
      </c>
      <c r="J15">
        <v>2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4</v>
      </c>
      <c r="S15">
        <v>3</v>
      </c>
      <c r="T15">
        <v>0</v>
      </c>
      <c r="U15">
        <v>0</v>
      </c>
      <c r="V15">
        <v>100</v>
      </c>
      <c r="W15">
        <v>0</v>
      </c>
    </row>
    <row r="16" spans="1:24" x14ac:dyDescent="0.3">
      <c r="A16">
        <v>13</v>
      </c>
      <c r="B16">
        <v>1</v>
      </c>
      <c r="C16">
        <v>3</v>
      </c>
      <c r="D16">
        <v>3</v>
      </c>
      <c r="E16" t="s">
        <v>39</v>
      </c>
      <c r="F16" t="s">
        <v>40</v>
      </c>
      <c r="G16">
        <v>165.10400000000001</v>
      </c>
      <c r="H16" t="b">
        <v>0</v>
      </c>
      <c r="I16">
        <v>4</v>
      </c>
      <c r="J16">
        <v>3</v>
      </c>
      <c r="K16">
        <v>1</v>
      </c>
      <c r="L16">
        <v>2</v>
      </c>
      <c r="M16">
        <v>2</v>
      </c>
      <c r="N16">
        <v>0</v>
      </c>
      <c r="O16">
        <v>2</v>
      </c>
      <c r="P16">
        <v>1</v>
      </c>
      <c r="Q16">
        <v>1</v>
      </c>
      <c r="R16">
        <v>7</v>
      </c>
      <c r="S16">
        <v>6</v>
      </c>
      <c r="T16">
        <v>1</v>
      </c>
      <c r="U16">
        <v>1</v>
      </c>
      <c r="V16">
        <v>75</v>
      </c>
      <c r="W16">
        <v>25</v>
      </c>
    </row>
    <row r="17" spans="1:23" x14ac:dyDescent="0.3">
      <c r="A17">
        <v>13</v>
      </c>
      <c r="B17">
        <v>3</v>
      </c>
      <c r="C17">
        <v>1</v>
      </c>
      <c r="D17">
        <v>3</v>
      </c>
      <c r="E17" t="s">
        <v>41</v>
      </c>
      <c r="F17" t="s">
        <v>42</v>
      </c>
      <c r="G17">
        <v>766.95100000000002</v>
      </c>
      <c r="H17" t="b">
        <v>0</v>
      </c>
      <c r="I17">
        <v>8</v>
      </c>
      <c r="J17">
        <v>8</v>
      </c>
      <c r="K17">
        <v>0</v>
      </c>
      <c r="L17">
        <v>5</v>
      </c>
      <c r="M17">
        <v>5</v>
      </c>
      <c r="N17">
        <v>0</v>
      </c>
      <c r="O17">
        <v>3</v>
      </c>
      <c r="P17">
        <v>3</v>
      </c>
      <c r="Q17">
        <v>0</v>
      </c>
      <c r="R17">
        <v>12</v>
      </c>
      <c r="S17">
        <v>9</v>
      </c>
      <c r="T17">
        <v>0</v>
      </c>
      <c r="U17">
        <v>0</v>
      </c>
      <c r="V17">
        <v>100</v>
      </c>
      <c r="W17">
        <v>0</v>
      </c>
    </row>
    <row r="18" spans="1:23" x14ac:dyDescent="0.3">
      <c r="A18">
        <v>13</v>
      </c>
      <c r="B18">
        <v>3</v>
      </c>
      <c r="C18">
        <v>2</v>
      </c>
      <c r="D18">
        <v>2</v>
      </c>
      <c r="E18" t="s">
        <v>42</v>
      </c>
      <c r="F18" t="s">
        <v>43</v>
      </c>
      <c r="G18">
        <v>412.25</v>
      </c>
      <c r="H18" t="b">
        <v>1</v>
      </c>
      <c r="I18">
        <v>5</v>
      </c>
      <c r="J18">
        <v>5</v>
      </c>
      <c r="K18">
        <v>0</v>
      </c>
      <c r="L18">
        <v>4</v>
      </c>
      <c r="M18">
        <v>4</v>
      </c>
      <c r="N18">
        <v>0</v>
      </c>
      <c r="O18">
        <v>1</v>
      </c>
      <c r="P18">
        <v>1</v>
      </c>
      <c r="Q18">
        <v>0</v>
      </c>
      <c r="R18">
        <v>6</v>
      </c>
      <c r="S18">
        <v>4</v>
      </c>
      <c r="T18">
        <v>1</v>
      </c>
      <c r="U18">
        <v>1</v>
      </c>
      <c r="V18">
        <v>100</v>
      </c>
      <c r="W18">
        <v>0</v>
      </c>
    </row>
    <row r="19" spans="1:23" x14ac:dyDescent="0.3">
      <c r="A19">
        <v>13</v>
      </c>
      <c r="B19">
        <v>3</v>
      </c>
      <c r="C19">
        <v>3</v>
      </c>
      <c r="D19">
        <v>2</v>
      </c>
      <c r="E19" t="s">
        <v>43</v>
      </c>
      <c r="F19" t="s">
        <v>44</v>
      </c>
      <c r="G19">
        <v>292.44299999999998</v>
      </c>
      <c r="H19" t="b">
        <v>1</v>
      </c>
      <c r="I19">
        <v>7</v>
      </c>
      <c r="J19">
        <v>6</v>
      </c>
      <c r="K19">
        <v>1</v>
      </c>
      <c r="L19">
        <v>4</v>
      </c>
      <c r="M19">
        <v>4</v>
      </c>
      <c r="N19">
        <v>0</v>
      </c>
      <c r="O19">
        <v>3</v>
      </c>
      <c r="P19">
        <v>2</v>
      </c>
      <c r="Q19">
        <v>1</v>
      </c>
      <c r="R19">
        <v>6</v>
      </c>
      <c r="S19">
        <v>4</v>
      </c>
      <c r="T19">
        <v>0</v>
      </c>
      <c r="U19">
        <v>0</v>
      </c>
      <c r="V19">
        <v>85.714285714285694</v>
      </c>
      <c r="W19">
        <v>14.285714285714199</v>
      </c>
    </row>
    <row r="20" spans="1:23" x14ac:dyDescent="0.3">
      <c r="A20">
        <v>15</v>
      </c>
      <c r="B20">
        <v>1</v>
      </c>
      <c r="C20">
        <v>1</v>
      </c>
      <c r="D20">
        <v>3</v>
      </c>
      <c r="E20" t="s">
        <v>45</v>
      </c>
      <c r="F20" t="s">
        <v>46</v>
      </c>
      <c r="G20">
        <v>675.44</v>
      </c>
      <c r="H20" t="b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1</v>
      </c>
      <c r="T20">
        <v>0</v>
      </c>
      <c r="U20">
        <v>0</v>
      </c>
      <c r="V20" t="s">
        <v>342</v>
      </c>
      <c r="W20" t="s">
        <v>342</v>
      </c>
    </row>
    <row r="21" spans="1:23" x14ac:dyDescent="0.3">
      <c r="A21">
        <v>15</v>
      </c>
      <c r="B21">
        <v>1</v>
      </c>
      <c r="C21">
        <v>2</v>
      </c>
      <c r="D21">
        <v>2</v>
      </c>
      <c r="E21" t="s">
        <v>46</v>
      </c>
      <c r="F21" t="s">
        <v>47</v>
      </c>
      <c r="G21">
        <v>331.98099999999999</v>
      </c>
      <c r="H21" t="b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</v>
      </c>
      <c r="S21">
        <v>0</v>
      </c>
      <c r="T21">
        <v>2</v>
      </c>
      <c r="U21">
        <v>2</v>
      </c>
      <c r="V21" t="s">
        <v>342</v>
      </c>
      <c r="W21" t="s">
        <v>342</v>
      </c>
    </row>
    <row r="22" spans="1:23" x14ac:dyDescent="0.3">
      <c r="A22">
        <v>16</v>
      </c>
      <c r="B22">
        <v>1</v>
      </c>
      <c r="C22">
        <v>1</v>
      </c>
      <c r="D22">
        <v>4</v>
      </c>
      <c r="E22" t="s">
        <v>48</v>
      </c>
      <c r="F22" t="s">
        <v>49</v>
      </c>
      <c r="G22">
        <v>625.00599999999997</v>
      </c>
      <c r="H22" t="b">
        <v>0</v>
      </c>
      <c r="I22">
        <v>2</v>
      </c>
      <c r="J22">
        <v>1</v>
      </c>
      <c r="K22">
        <v>1</v>
      </c>
      <c r="L22">
        <v>0</v>
      </c>
      <c r="M22">
        <v>0</v>
      </c>
      <c r="N22">
        <v>0</v>
      </c>
      <c r="O22">
        <v>2</v>
      </c>
      <c r="P22">
        <v>1</v>
      </c>
      <c r="Q22">
        <v>1</v>
      </c>
      <c r="R22">
        <v>5</v>
      </c>
      <c r="S22">
        <v>4</v>
      </c>
      <c r="T22">
        <v>0</v>
      </c>
      <c r="U22">
        <v>0</v>
      </c>
      <c r="V22">
        <v>50</v>
      </c>
      <c r="W22">
        <v>50</v>
      </c>
    </row>
    <row r="23" spans="1:23" x14ac:dyDescent="0.3">
      <c r="A23">
        <v>16</v>
      </c>
      <c r="B23">
        <v>1</v>
      </c>
      <c r="C23">
        <v>2</v>
      </c>
      <c r="D23">
        <v>1</v>
      </c>
      <c r="E23" t="s">
        <v>49</v>
      </c>
      <c r="F23" t="s">
        <v>50</v>
      </c>
      <c r="G23">
        <v>161.53800000000001</v>
      </c>
      <c r="H23" t="b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1</v>
      </c>
      <c r="R23">
        <v>3</v>
      </c>
      <c r="S23">
        <v>1</v>
      </c>
      <c r="T23">
        <v>1</v>
      </c>
      <c r="U23">
        <v>1</v>
      </c>
      <c r="V23">
        <v>0</v>
      </c>
      <c r="W23">
        <v>100</v>
      </c>
    </row>
    <row r="24" spans="1:23" x14ac:dyDescent="0.3">
      <c r="A24">
        <v>16</v>
      </c>
      <c r="B24">
        <v>1</v>
      </c>
      <c r="C24">
        <v>1</v>
      </c>
      <c r="D24">
        <v>1</v>
      </c>
      <c r="E24" t="s">
        <v>50</v>
      </c>
      <c r="F24" t="s">
        <v>51</v>
      </c>
      <c r="G24">
        <v>191.298</v>
      </c>
      <c r="H24" t="b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2</v>
      </c>
      <c r="S24">
        <v>2</v>
      </c>
      <c r="T24">
        <v>0</v>
      </c>
      <c r="U24">
        <v>0</v>
      </c>
      <c r="V24">
        <v>100</v>
      </c>
      <c r="W24">
        <v>0</v>
      </c>
    </row>
    <row r="25" spans="1:23" x14ac:dyDescent="0.3">
      <c r="A25">
        <v>16</v>
      </c>
      <c r="B25">
        <v>1</v>
      </c>
      <c r="C25">
        <v>2</v>
      </c>
      <c r="D25">
        <v>2</v>
      </c>
      <c r="E25" t="s">
        <v>51</v>
      </c>
      <c r="F25" t="s">
        <v>52</v>
      </c>
      <c r="G25">
        <v>590.29700000000003</v>
      </c>
      <c r="H25" t="b">
        <v>0</v>
      </c>
      <c r="I25">
        <v>4</v>
      </c>
      <c r="J25">
        <v>3</v>
      </c>
      <c r="K25">
        <v>1</v>
      </c>
      <c r="L25">
        <v>2</v>
      </c>
      <c r="M25">
        <v>2</v>
      </c>
      <c r="N25">
        <v>0</v>
      </c>
      <c r="O25">
        <v>2</v>
      </c>
      <c r="P25">
        <v>1</v>
      </c>
      <c r="Q25">
        <v>1</v>
      </c>
      <c r="R25">
        <v>7</v>
      </c>
      <c r="S25">
        <v>6</v>
      </c>
      <c r="T25">
        <v>1</v>
      </c>
      <c r="U25">
        <v>1</v>
      </c>
      <c r="V25">
        <v>75</v>
      </c>
      <c r="W25">
        <v>25</v>
      </c>
    </row>
    <row r="26" spans="1:23" x14ac:dyDescent="0.3">
      <c r="A26">
        <v>16</v>
      </c>
      <c r="B26">
        <v>3</v>
      </c>
      <c r="C26">
        <v>1</v>
      </c>
      <c r="D26">
        <v>2</v>
      </c>
      <c r="E26" t="s">
        <v>53</v>
      </c>
      <c r="F26" t="s">
        <v>54</v>
      </c>
      <c r="G26">
        <v>425.238</v>
      </c>
      <c r="H26" t="b">
        <v>0</v>
      </c>
      <c r="I26">
        <v>4</v>
      </c>
      <c r="J26">
        <v>4</v>
      </c>
      <c r="K26">
        <v>0</v>
      </c>
      <c r="L26">
        <v>2</v>
      </c>
      <c r="M26">
        <v>2</v>
      </c>
      <c r="N26">
        <v>0</v>
      </c>
      <c r="O26">
        <v>2</v>
      </c>
      <c r="P26">
        <v>2</v>
      </c>
      <c r="Q26">
        <v>0</v>
      </c>
      <c r="R26">
        <v>4</v>
      </c>
      <c r="S26">
        <v>3</v>
      </c>
      <c r="T26">
        <v>1</v>
      </c>
      <c r="U26">
        <v>1</v>
      </c>
      <c r="V26">
        <v>100</v>
      </c>
      <c r="W26">
        <v>0</v>
      </c>
    </row>
    <row r="27" spans="1:23" x14ac:dyDescent="0.3">
      <c r="A27">
        <v>16</v>
      </c>
      <c r="B27">
        <v>3</v>
      </c>
      <c r="C27">
        <v>2</v>
      </c>
      <c r="D27">
        <v>2</v>
      </c>
      <c r="E27" t="s">
        <v>54</v>
      </c>
      <c r="F27" t="s">
        <v>55</v>
      </c>
      <c r="G27">
        <v>514.99199999999996</v>
      </c>
      <c r="H27" t="b">
        <v>0</v>
      </c>
      <c r="I27">
        <v>3</v>
      </c>
      <c r="J27">
        <v>3</v>
      </c>
      <c r="K27">
        <v>0</v>
      </c>
      <c r="L27">
        <v>2</v>
      </c>
      <c r="M27">
        <v>2</v>
      </c>
      <c r="N27">
        <v>0</v>
      </c>
      <c r="O27">
        <v>1</v>
      </c>
      <c r="P27">
        <v>1</v>
      </c>
      <c r="Q27">
        <v>0</v>
      </c>
      <c r="R27">
        <v>6</v>
      </c>
      <c r="S27">
        <v>6</v>
      </c>
      <c r="T27">
        <v>0</v>
      </c>
      <c r="U27">
        <v>0</v>
      </c>
      <c r="V27">
        <v>100</v>
      </c>
      <c r="W27">
        <v>0</v>
      </c>
    </row>
    <row r="28" spans="1:23" x14ac:dyDescent="0.3">
      <c r="A28">
        <v>16</v>
      </c>
      <c r="B28">
        <v>3</v>
      </c>
      <c r="C28">
        <v>3</v>
      </c>
      <c r="D28">
        <v>1</v>
      </c>
      <c r="E28" t="s">
        <v>55</v>
      </c>
      <c r="F28" t="s">
        <v>56</v>
      </c>
      <c r="G28">
        <v>226.94800000000001</v>
      </c>
      <c r="H28" t="b">
        <v>0</v>
      </c>
      <c r="I28">
        <v>2</v>
      </c>
      <c r="J28">
        <v>2</v>
      </c>
      <c r="K28">
        <v>0</v>
      </c>
      <c r="L28">
        <v>1</v>
      </c>
      <c r="M28">
        <v>1</v>
      </c>
      <c r="N28">
        <v>0</v>
      </c>
      <c r="O28">
        <v>1</v>
      </c>
      <c r="P28">
        <v>1</v>
      </c>
      <c r="Q28">
        <v>0</v>
      </c>
      <c r="R28">
        <v>2</v>
      </c>
      <c r="S28">
        <v>2</v>
      </c>
      <c r="T28">
        <v>0</v>
      </c>
      <c r="U28">
        <v>0</v>
      </c>
      <c r="V28">
        <v>100</v>
      </c>
      <c r="W28">
        <v>0</v>
      </c>
    </row>
    <row r="29" spans="1:23" x14ac:dyDescent="0.3">
      <c r="A29">
        <v>16</v>
      </c>
      <c r="B29">
        <v>3</v>
      </c>
      <c r="C29">
        <v>1</v>
      </c>
      <c r="D29">
        <v>1</v>
      </c>
      <c r="E29" t="s">
        <v>56</v>
      </c>
      <c r="F29" t="s">
        <v>57</v>
      </c>
      <c r="G29">
        <v>239.91</v>
      </c>
      <c r="H29" t="b">
        <v>0</v>
      </c>
      <c r="I29">
        <v>4</v>
      </c>
      <c r="J29">
        <v>4</v>
      </c>
      <c r="K29">
        <v>0</v>
      </c>
      <c r="L29">
        <v>2</v>
      </c>
      <c r="M29">
        <v>2</v>
      </c>
      <c r="N29">
        <v>0</v>
      </c>
      <c r="O29">
        <v>2</v>
      </c>
      <c r="P29">
        <v>2</v>
      </c>
      <c r="Q29">
        <v>0</v>
      </c>
      <c r="R29">
        <v>4</v>
      </c>
      <c r="S29">
        <v>3</v>
      </c>
      <c r="T29">
        <v>1</v>
      </c>
      <c r="U29">
        <v>1</v>
      </c>
      <c r="V29">
        <v>100</v>
      </c>
      <c r="W29">
        <v>0</v>
      </c>
    </row>
    <row r="30" spans="1:23" x14ac:dyDescent="0.3">
      <c r="A30">
        <v>16</v>
      </c>
      <c r="B30">
        <v>3</v>
      </c>
      <c r="C30">
        <v>2</v>
      </c>
      <c r="D30">
        <v>1</v>
      </c>
      <c r="E30" t="s">
        <v>57</v>
      </c>
      <c r="F30" t="s">
        <v>58</v>
      </c>
      <c r="G30">
        <v>350.96199999999999</v>
      </c>
      <c r="H30" t="b">
        <v>0</v>
      </c>
      <c r="I30">
        <v>4</v>
      </c>
      <c r="J30">
        <v>4</v>
      </c>
      <c r="K30">
        <v>0</v>
      </c>
      <c r="L30">
        <v>2</v>
      </c>
      <c r="M30">
        <v>2</v>
      </c>
      <c r="N30">
        <v>0</v>
      </c>
      <c r="O30">
        <v>2</v>
      </c>
      <c r="P30">
        <v>2</v>
      </c>
      <c r="Q30">
        <v>0</v>
      </c>
      <c r="R30">
        <v>4</v>
      </c>
      <c r="S30">
        <v>2</v>
      </c>
      <c r="T30">
        <v>2</v>
      </c>
      <c r="U30">
        <v>2</v>
      </c>
      <c r="V30">
        <v>100</v>
      </c>
      <c r="W30">
        <v>0</v>
      </c>
    </row>
    <row r="31" spans="1:23" x14ac:dyDescent="0.3">
      <c r="A31">
        <v>16</v>
      </c>
      <c r="B31">
        <v>3</v>
      </c>
      <c r="C31">
        <v>3</v>
      </c>
      <c r="D31">
        <v>2</v>
      </c>
      <c r="E31" t="s">
        <v>58</v>
      </c>
      <c r="F31" t="s">
        <v>59</v>
      </c>
      <c r="G31">
        <v>445.16</v>
      </c>
      <c r="H31" t="b">
        <v>0</v>
      </c>
      <c r="I31">
        <v>4</v>
      </c>
      <c r="J31">
        <v>3</v>
      </c>
      <c r="K31">
        <v>1</v>
      </c>
      <c r="L31">
        <v>2</v>
      </c>
      <c r="M31">
        <v>2</v>
      </c>
      <c r="N31">
        <v>0</v>
      </c>
      <c r="O31">
        <v>2</v>
      </c>
      <c r="P31">
        <v>1</v>
      </c>
      <c r="Q31">
        <v>1</v>
      </c>
      <c r="R31">
        <v>4</v>
      </c>
      <c r="S31">
        <v>4</v>
      </c>
      <c r="T31">
        <v>0</v>
      </c>
      <c r="U31">
        <v>0</v>
      </c>
      <c r="V31">
        <v>75</v>
      </c>
      <c r="W31">
        <v>25</v>
      </c>
    </row>
    <row r="32" spans="1:23" x14ac:dyDescent="0.3">
      <c r="A32">
        <v>17</v>
      </c>
      <c r="B32">
        <v>1</v>
      </c>
      <c r="C32">
        <v>1</v>
      </c>
      <c r="D32">
        <v>9</v>
      </c>
      <c r="E32" t="s">
        <v>60</v>
      </c>
      <c r="F32" t="s">
        <v>61</v>
      </c>
      <c r="G32">
        <v>1019.31</v>
      </c>
      <c r="H32" t="b">
        <v>0</v>
      </c>
      <c r="I32">
        <v>18</v>
      </c>
      <c r="J32">
        <v>17</v>
      </c>
      <c r="K32">
        <v>1</v>
      </c>
      <c r="L32">
        <v>12</v>
      </c>
      <c r="M32">
        <v>12</v>
      </c>
      <c r="N32">
        <v>0</v>
      </c>
      <c r="O32">
        <v>6</v>
      </c>
      <c r="P32">
        <v>5</v>
      </c>
      <c r="Q32">
        <v>1</v>
      </c>
      <c r="R32">
        <v>13</v>
      </c>
      <c r="S32">
        <v>13</v>
      </c>
      <c r="T32">
        <v>0</v>
      </c>
      <c r="U32">
        <v>0</v>
      </c>
      <c r="V32">
        <v>94.4444444444444</v>
      </c>
      <c r="W32">
        <v>5.55555555555555</v>
      </c>
    </row>
    <row r="33" spans="1:23" x14ac:dyDescent="0.3">
      <c r="A33">
        <v>17</v>
      </c>
      <c r="B33">
        <v>1</v>
      </c>
      <c r="C33">
        <v>2</v>
      </c>
      <c r="D33">
        <v>2</v>
      </c>
      <c r="E33" t="s">
        <v>61</v>
      </c>
      <c r="F33" t="s">
        <v>62</v>
      </c>
      <c r="G33">
        <v>325.17500000000001</v>
      </c>
      <c r="H33" t="b">
        <v>1</v>
      </c>
      <c r="I33">
        <v>5</v>
      </c>
      <c r="J33">
        <v>4</v>
      </c>
      <c r="K33">
        <v>1</v>
      </c>
      <c r="L33">
        <v>2</v>
      </c>
      <c r="M33">
        <v>2</v>
      </c>
      <c r="N33">
        <v>0</v>
      </c>
      <c r="O33">
        <v>3</v>
      </c>
      <c r="P33">
        <v>2</v>
      </c>
      <c r="Q33">
        <v>1</v>
      </c>
      <c r="R33">
        <v>6</v>
      </c>
      <c r="S33">
        <v>6</v>
      </c>
      <c r="T33">
        <v>0</v>
      </c>
      <c r="U33">
        <v>0</v>
      </c>
      <c r="V33">
        <v>80</v>
      </c>
      <c r="W33">
        <v>20</v>
      </c>
    </row>
    <row r="34" spans="1:23" x14ac:dyDescent="0.3">
      <c r="A34">
        <v>17</v>
      </c>
      <c r="B34">
        <v>1</v>
      </c>
      <c r="C34">
        <v>3</v>
      </c>
      <c r="D34">
        <v>1</v>
      </c>
      <c r="E34" t="s">
        <v>62</v>
      </c>
      <c r="F34" t="s">
        <v>63</v>
      </c>
      <c r="G34">
        <v>114.916</v>
      </c>
      <c r="H34" t="b">
        <v>1</v>
      </c>
      <c r="I34">
        <v>5</v>
      </c>
      <c r="J34">
        <v>5</v>
      </c>
      <c r="K34">
        <v>0</v>
      </c>
      <c r="L34">
        <v>2</v>
      </c>
      <c r="M34">
        <v>2</v>
      </c>
      <c r="N34">
        <v>0</v>
      </c>
      <c r="O34">
        <v>3</v>
      </c>
      <c r="P34">
        <v>3</v>
      </c>
      <c r="Q34">
        <v>0</v>
      </c>
      <c r="R34">
        <v>4</v>
      </c>
      <c r="S34">
        <v>4</v>
      </c>
      <c r="T34">
        <v>0</v>
      </c>
      <c r="U34">
        <v>0</v>
      </c>
      <c r="V34">
        <v>100</v>
      </c>
      <c r="W34">
        <v>0</v>
      </c>
    </row>
    <row r="35" spans="1:23" x14ac:dyDescent="0.3">
      <c r="A35">
        <v>17</v>
      </c>
      <c r="B35">
        <v>3</v>
      </c>
      <c r="C35">
        <v>1</v>
      </c>
      <c r="D35">
        <v>4</v>
      </c>
      <c r="E35" t="s">
        <v>64</v>
      </c>
      <c r="F35" t="s">
        <v>65</v>
      </c>
      <c r="G35">
        <v>1033.24</v>
      </c>
      <c r="H35" t="b">
        <v>0</v>
      </c>
      <c r="I35">
        <v>9</v>
      </c>
      <c r="J35">
        <v>8</v>
      </c>
      <c r="K35">
        <v>1</v>
      </c>
      <c r="L35">
        <v>6</v>
      </c>
      <c r="M35">
        <v>6</v>
      </c>
      <c r="N35">
        <v>0</v>
      </c>
      <c r="O35">
        <v>3</v>
      </c>
      <c r="P35">
        <v>2</v>
      </c>
      <c r="Q35">
        <v>1</v>
      </c>
      <c r="R35">
        <v>14</v>
      </c>
      <c r="S35">
        <v>14</v>
      </c>
      <c r="T35">
        <v>0</v>
      </c>
      <c r="U35">
        <v>0</v>
      </c>
      <c r="V35">
        <v>88.8888888888888</v>
      </c>
      <c r="W35">
        <v>11.1111111111111</v>
      </c>
    </row>
    <row r="36" spans="1:23" x14ac:dyDescent="0.3">
      <c r="A36">
        <v>17</v>
      </c>
      <c r="B36">
        <v>3</v>
      </c>
      <c r="C36">
        <v>2</v>
      </c>
      <c r="D36">
        <v>1</v>
      </c>
      <c r="E36" t="s">
        <v>65</v>
      </c>
      <c r="F36" t="s">
        <v>66</v>
      </c>
      <c r="G36">
        <v>327.56599999999997</v>
      </c>
      <c r="H36" t="b">
        <v>0</v>
      </c>
      <c r="I36">
        <v>3</v>
      </c>
      <c r="J36">
        <v>3</v>
      </c>
      <c r="K36">
        <v>0</v>
      </c>
      <c r="L36">
        <v>2</v>
      </c>
      <c r="M36">
        <v>2</v>
      </c>
      <c r="N36">
        <v>0</v>
      </c>
      <c r="O36">
        <v>1</v>
      </c>
      <c r="P36">
        <v>1</v>
      </c>
      <c r="Q36">
        <v>0</v>
      </c>
      <c r="R36">
        <v>4</v>
      </c>
      <c r="S36">
        <v>4</v>
      </c>
      <c r="T36">
        <v>0</v>
      </c>
      <c r="U36">
        <v>0</v>
      </c>
      <c r="V36">
        <v>100</v>
      </c>
      <c r="W36">
        <v>0</v>
      </c>
    </row>
    <row r="37" spans="1:23" x14ac:dyDescent="0.3">
      <c r="A37">
        <v>17</v>
      </c>
      <c r="B37">
        <v>3</v>
      </c>
      <c r="C37">
        <v>3</v>
      </c>
      <c r="D37">
        <v>1</v>
      </c>
      <c r="E37" t="s">
        <v>66</v>
      </c>
      <c r="F37" t="s">
        <v>67</v>
      </c>
      <c r="G37">
        <v>391.79300000000001</v>
      </c>
      <c r="H37" t="b">
        <v>0</v>
      </c>
      <c r="I37">
        <v>4</v>
      </c>
      <c r="J37">
        <v>4</v>
      </c>
      <c r="K37">
        <v>0</v>
      </c>
      <c r="L37">
        <v>2</v>
      </c>
      <c r="M37">
        <v>2</v>
      </c>
      <c r="N37">
        <v>0</v>
      </c>
      <c r="O37">
        <v>2</v>
      </c>
      <c r="P37">
        <v>2</v>
      </c>
      <c r="Q37">
        <v>0</v>
      </c>
      <c r="R37">
        <v>4</v>
      </c>
      <c r="S37">
        <v>4</v>
      </c>
      <c r="T37">
        <v>0</v>
      </c>
      <c r="U37">
        <v>0</v>
      </c>
      <c r="V37">
        <v>100</v>
      </c>
      <c r="W37">
        <v>0</v>
      </c>
    </row>
    <row r="38" spans="1:23" x14ac:dyDescent="0.3">
      <c r="A38">
        <v>17</v>
      </c>
      <c r="B38">
        <v>3</v>
      </c>
      <c r="C38">
        <v>1</v>
      </c>
      <c r="D38">
        <v>1</v>
      </c>
      <c r="E38" t="s">
        <v>67</v>
      </c>
      <c r="F38" t="s">
        <v>68</v>
      </c>
      <c r="G38">
        <v>53.040999999999997</v>
      </c>
      <c r="H38" t="b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1</v>
      </c>
      <c r="V38" t="s">
        <v>342</v>
      </c>
      <c r="W38" t="s">
        <v>342</v>
      </c>
    </row>
    <row r="39" spans="1:23" x14ac:dyDescent="0.3">
      <c r="A39">
        <v>18</v>
      </c>
      <c r="B39">
        <v>1</v>
      </c>
      <c r="C39">
        <v>1</v>
      </c>
      <c r="D39">
        <v>6</v>
      </c>
      <c r="E39" t="s">
        <v>69</v>
      </c>
      <c r="F39" t="s">
        <v>70</v>
      </c>
      <c r="G39">
        <v>830.96100000000001</v>
      </c>
      <c r="H39" t="b">
        <v>0</v>
      </c>
      <c r="I39">
        <v>17</v>
      </c>
      <c r="J39">
        <v>13</v>
      </c>
      <c r="K39">
        <v>4</v>
      </c>
      <c r="L39">
        <v>7</v>
      </c>
      <c r="M39">
        <v>7</v>
      </c>
      <c r="N39">
        <v>0</v>
      </c>
      <c r="O39">
        <v>10</v>
      </c>
      <c r="P39">
        <v>6</v>
      </c>
      <c r="Q39">
        <v>4</v>
      </c>
      <c r="R39">
        <v>7</v>
      </c>
      <c r="S39">
        <v>2</v>
      </c>
      <c r="T39">
        <v>0</v>
      </c>
      <c r="U39">
        <v>0</v>
      </c>
      <c r="V39">
        <v>76.470588235294102</v>
      </c>
      <c r="W39">
        <v>23.529411764705799</v>
      </c>
    </row>
    <row r="40" spans="1:23" x14ac:dyDescent="0.3">
      <c r="A40">
        <v>18</v>
      </c>
      <c r="B40">
        <v>1</v>
      </c>
      <c r="C40">
        <v>1</v>
      </c>
      <c r="D40">
        <v>2</v>
      </c>
      <c r="E40" t="s">
        <v>71</v>
      </c>
      <c r="F40" t="s">
        <v>72</v>
      </c>
      <c r="G40">
        <v>203.50800000000001</v>
      </c>
      <c r="H40" t="b">
        <v>1</v>
      </c>
      <c r="I40">
        <v>6</v>
      </c>
      <c r="J40">
        <v>6</v>
      </c>
      <c r="K40">
        <v>0</v>
      </c>
      <c r="L40">
        <v>3</v>
      </c>
      <c r="M40">
        <v>3</v>
      </c>
      <c r="N40">
        <v>0</v>
      </c>
      <c r="O40">
        <v>3</v>
      </c>
      <c r="P40">
        <v>3</v>
      </c>
      <c r="Q40">
        <v>0</v>
      </c>
      <c r="R40">
        <v>4</v>
      </c>
      <c r="S40">
        <v>3</v>
      </c>
      <c r="T40">
        <v>0</v>
      </c>
      <c r="U40">
        <v>0</v>
      </c>
      <c r="V40">
        <v>100</v>
      </c>
      <c r="W40">
        <v>0</v>
      </c>
    </row>
    <row r="41" spans="1:23" x14ac:dyDescent="0.3">
      <c r="A41">
        <v>18</v>
      </c>
      <c r="B41">
        <v>1</v>
      </c>
      <c r="C41">
        <v>2</v>
      </c>
      <c r="D41">
        <v>1</v>
      </c>
      <c r="E41" t="s">
        <v>72</v>
      </c>
      <c r="F41" t="s">
        <v>73</v>
      </c>
      <c r="G41">
        <v>240.90199999999999</v>
      </c>
      <c r="H41" t="b">
        <v>1</v>
      </c>
      <c r="I41">
        <v>4</v>
      </c>
      <c r="J41">
        <v>4</v>
      </c>
      <c r="K41">
        <v>0</v>
      </c>
      <c r="L41">
        <v>2</v>
      </c>
      <c r="M41">
        <v>2</v>
      </c>
      <c r="N41">
        <v>0</v>
      </c>
      <c r="O41">
        <v>2</v>
      </c>
      <c r="P41">
        <v>2</v>
      </c>
      <c r="Q41">
        <v>0</v>
      </c>
      <c r="R41">
        <v>4</v>
      </c>
      <c r="S41">
        <v>3</v>
      </c>
      <c r="T41">
        <v>0</v>
      </c>
      <c r="U41">
        <v>0</v>
      </c>
      <c r="V41">
        <v>100</v>
      </c>
      <c r="W41">
        <v>0</v>
      </c>
    </row>
    <row r="42" spans="1:23" x14ac:dyDescent="0.3">
      <c r="A42">
        <v>18</v>
      </c>
      <c r="B42">
        <v>1</v>
      </c>
      <c r="C42">
        <v>3</v>
      </c>
      <c r="D42">
        <v>4</v>
      </c>
      <c r="E42" t="s">
        <v>73</v>
      </c>
      <c r="F42" t="s">
        <v>74</v>
      </c>
      <c r="G42">
        <v>489.18700000000001</v>
      </c>
      <c r="H42" t="b">
        <v>1</v>
      </c>
      <c r="I42">
        <v>5</v>
      </c>
      <c r="J42">
        <v>3</v>
      </c>
      <c r="K42">
        <v>2</v>
      </c>
      <c r="L42">
        <v>3</v>
      </c>
      <c r="M42">
        <v>3</v>
      </c>
      <c r="N42">
        <v>0</v>
      </c>
      <c r="O42">
        <v>2</v>
      </c>
      <c r="P42">
        <v>0</v>
      </c>
      <c r="Q42">
        <v>2</v>
      </c>
      <c r="R42">
        <v>12</v>
      </c>
      <c r="S42">
        <v>8</v>
      </c>
      <c r="T42">
        <v>0</v>
      </c>
      <c r="U42">
        <v>0</v>
      </c>
      <c r="V42">
        <v>60</v>
      </c>
      <c r="W42">
        <v>40</v>
      </c>
    </row>
    <row r="43" spans="1:23" x14ac:dyDescent="0.3">
      <c r="A43">
        <v>18</v>
      </c>
      <c r="B43">
        <v>3</v>
      </c>
      <c r="C43">
        <v>1</v>
      </c>
      <c r="D43">
        <v>2</v>
      </c>
      <c r="E43" t="s">
        <v>75</v>
      </c>
      <c r="F43" t="s">
        <v>76</v>
      </c>
      <c r="G43">
        <v>324.12900000000002</v>
      </c>
      <c r="H43" t="b">
        <v>1</v>
      </c>
      <c r="I43">
        <v>8</v>
      </c>
      <c r="J43">
        <v>7</v>
      </c>
      <c r="K43">
        <v>1</v>
      </c>
      <c r="L43">
        <v>4</v>
      </c>
      <c r="M43">
        <v>4</v>
      </c>
      <c r="N43">
        <v>0</v>
      </c>
      <c r="O43">
        <v>4</v>
      </c>
      <c r="P43">
        <v>3</v>
      </c>
      <c r="Q43">
        <v>1</v>
      </c>
      <c r="R43">
        <v>7</v>
      </c>
      <c r="S43">
        <v>5</v>
      </c>
      <c r="T43">
        <v>0</v>
      </c>
      <c r="U43">
        <v>0</v>
      </c>
      <c r="V43">
        <v>87.5</v>
      </c>
      <c r="W43">
        <v>12.5</v>
      </c>
    </row>
    <row r="44" spans="1:23" x14ac:dyDescent="0.3">
      <c r="A44">
        <v>18</v>
      </c>
      <c r="B44">
        <v>3</v>
      </c>
      <c r="C44">
        <v>2</v>
      </c>
      <c r="D44">
        <v>2</v>
      </c>
      <c r="E44" t="s">
        <v>76</v>
      </c>
      <c r="F44" t="s">
        <v>77</v>
      </c>
      <c r="G44">
        <v>407.69400000000002</v>
      </c>
      <c r="H44" t="b">
        <v>1</v>
      </c>
      <c r="I44">
        <v>6</v>
      </c>
      <c r="J44">
        <v>5</v>
      </c>
      <c r="K44">
        <v>1</v>
      </c>
      <c r="L44">
        <v>3</v>
      </c>
      <c r="M44">
        <v>2</v>
      </c>
      <c r="N44">
        <v>1</v>
      </c>
      <c r="O44">
        <v>3</v>
      </c>
      <c r="P44">
        <v>3</v>
      </c>
      <c r="Q44">
        <v>0</v>
      </c>
      <c r="R44">
        <v>6</v>
      </c>
      <c r="S44">
        <v>5</v>
      </c>
      <c r="T44">
        <v>0</v>
      </c>
      <c r="U44">
        <v>1</v>
      </c>
      <c r="V44">
        <v>83.3333333333333</v>
      </c>
      <c r="W44">
        <v>16.6666666666666</v>
      </c>
    </row>
    <row r="45" spans="1:23" x14ac:dyDescent="0.3">
      <c r="A45">
        <v>18</v>
      </c>
      <c r="B45">
        <v>3</v>
      </c>
      <c r="C45">
        <v>3</v>
      </c>
      <c r="D45">
        <v>3</v>
      </c>
      <c r="E45" t="s">
        <v>77</v>
      </c>
      <c r="F45" t="s">
        <v>78</v>
      </c>
      <c r="G45">
        <v>1489.634</v>
      </c>
      <c r="H45" t="b">
        <v>1</v>
      </c>
      <c r="I45">
        <v>10</v>
      </c>
      <c r="J45">
        <v>8</v>
      </c>
      <c r="K45">
        <v>2</v>
      </c>
      <c r="L45">
        <v>6</v>
      </c>
      <c r="M45">
        <v>6</v>
      </c>
      <c r="N45">
        <v>0</v>
      </c>
      <c r="O45">
        <v>4</v>
      </c>
      <c r="P45">
        <v>2</v>
      </c>
      <c r="Q45">
        <v>2</v>
      </c>
      <c r="R45">
        <v>9</v>
      </c>
      <c r="S45">
        <v>7</v>
      </c>
      <c r="T45">
        <v>0</v>
      </c>
      <c r="U45">
        <v>0</v>
      </c>
      <c r="V45">
        <v>80</v>
      </c>
      <c r="W45">
        <v>20</v>
      </c>
    </row>
    <row r="46" spans="1:23" x14ac:dyDescent="0.3">
      <c r="A46">
        <v>18</v>
      </c>
      <c r="B46">
        <v>3</v>
      </c>
      <c r="C46">
        <v>1</v>
      </c>
      <c r="D46">
        <v>1</v>
      </c>
      <c r="E46" t="s">
        <v>78</v>
      </c>
      <c r="F46" t="s">
        <v>79</v>
      </c>
      <c r="G46">
        <v>3.0000000000000001E-3</v>
      </c>
      <c r="H46" t="b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342</v>
      </c>
      <c r="W46" t="s">
        <v>342</v>
      </c>
    </row>
    <row r="47" spans="1:23" x14ac:dyDescent="0.3">
      <c r="A47">
        <v>19</v>
      </c>
      <c r="B47">
        <v>1</v>
      </c>
      <c r="C47">
        <v>1</v>
      </c>
      <c r="D47">
        <v>6</v>
      </c>
      <c r="E47" t="s">
        <v>80</v>
      </c>
      <c r="F47" t="s">
        <v>81</v>
      </c>
      <c r="G47">
        <v>1244.95</v>
      </c>
      <c r="H47" t="b">
        <v>1</v>
      </c>
      <c r="I47">
        <v>39</v>
      </c>
      <c r="J47">
        <v>30</v>
      </c>
      <c r="K47">
        <v>9</v>
      </c>
      <c r="L47">
        <v>12</v>
      </c>
      <c r="M47">
        <v>10</v>
      </c>
      <c r="N47">
        <v>2</v>
      </c>
      <c r="O47">
        <v>27</v>
      </c>
      <c r="P47">
        <v>20</v>
      </c>
      <c r="Q47">
        <v>7</v>
      </c>
      <c r="R47">
        <v>19</v>
      </c>
      <c r="S47">
        <v>15</v>
      </c>
      <c r="T47">
        <v>0</v>
      </c>
      <c r="U47">
        <v>0</v>
      </c>
      <c r="V47">
        <v>76.923076923076906</v>
      </c>
      <c r="W47">
        <v>23.076923076922998</v>
      </c>
    </row>
    <row r="48" spans="1:23" x14ac:dyDescent="0.3">
      <c r="A48">
        <v>19</v>
      </c>
      <c r="B48">
        <v>1</v>
      </c>
      <c r="C48">
        <v>2</v>
      </c>
      <c r="D48">
        <v>1</v>
      </c>
      <c r="E48" t="s">
        <v>81</v>
      </c>
      <c r="F48" t="s">
        <v>82</v>
      </c>
      <c r="G48">
        <v>299.08600000000001</v>
      </c>
      <c r="H48" t="b">
        <v>1</v>
      </c>
      <c r="I48">
        <v>5</v>
      </c>
      <c r="J48">
        <v>5</v>
      </c>
      <c r="K48">
        <v>0</v>
      </c>
      <c r="L48">
        <v>2</v>
      </c>
      <c r="M48">
        <v>2</v>
      </c>
      <c r="N48">
        <v>0</v>
      </c>
      <c r="O48">
        <v>3</v>
      </c>
      <c r="P48">
        <v>3</v>
      </c>
      <c r="Q48">
        <v>0</v>
      </c>
      <c r="R48">
        <v>4</v>
      </c>
      <c r="S48">
        <v>4</v>
      </c>
      <c r="T48">
        <v>0</v>
      </c>
      <c r="U48">
        <v>0</v>
      </c>
      <c r="V48">
        <v>100</v>
      </c>
      <c r="W48">
        <v>0</v>
      </c>
    </row>
    <row r="49" spans="1:23" x14ac:dyDescent="0.3">
      <c r="A49">
        <v>19</v>
      </c>
      <c r="B49">
        <v>1</v>
      </c>
      <c r="C49">
        <v>3</v>
      </c>
      <c r="D49">
        <v>1</v>
      </c>
      <c r="E49" t="s">
        <v>82</v>
      </c>
      <c r="F49" t="s">
        <v>83</v>
      </c>
      <c r="G49">
        <v>150.49600000000001</v>
      </c>
      <c r="H49" t="b">
        <v>1</v>
      </c>
      <c r="I49">
        <v>4</v>
      </c>
      <c r="J49">
        <v>4</v>
      </c>
      <c r="K49">
        <v>0</v>
      </c>
      <c r="L49">
        <v>2</v>
      </c>
      <c r="M49">
        <v>2</v>
      </c>
      <c r="N49">
        <v>0</v>
      </c>
      <c r="O49">
        <v>2</v>
      </c>
      <c r="P49">
        <v>2</v>
      </c>
      <c r="Q49">
        <v>0</v>
      </c>
      <c r="R49">
        <v>4</v>
      </c>
      <c r="S49">
        <v>4</v>
      </c>
      <c r="T49">
        <v>0</v>
      </c>
      <c r="U49">
        <v>0</v>
      </c>
      <c r="V49">
        <v>100</v>
      </c>
      <c r="W49">
        <v>0</v>
      </c>
    </row>
    <row r="50" spans="1:23" x14ac:dyDescent="0.3">
      <c r="A50">
        <v>19</v>
      </c>
      <c r="B50">
        <v>3</v>
      </c>
      <c r="C50">
        <v>1</v>
      </c>
      <c r="D50">
        <v>1</v>
      </c>
      <c r="E50" t="s">
        <v>84</v>
      </c>
      <c r="F50" t="s">
        <v>85</v>
      </c>
      <c r="G50">
        <v>337.06</v>
      </c>
      <c r="H50" t="b">
        <v>1</v>
      </c>
      <c r="I50">
        <v>8</v>
      </c>
      <c r="J50">
        <v>8</v>
      </c>
      <c r="K50">
        <v>0</v>
      </c>
      <c r="L50">
        <v>2</v>
      </c>
      <c r="M50">
        <v>2</v>
      </c>
      <c r="N50">
        <v>0</v>
      </c>
      <c r="O50">
        <v>6</v>
      </c>
      <c r="P50">
        <v>6</v>
      </c>
      <c r="Q50">
        <v>0</v>
      </c>
      <c r="R50">
        <v>4</v>
      </c>
      <c r="S50">
        <v>4</v>
      </c>
      <c r="T50">
        <v>0</v>
      </c>
      <c r="U50">
        <v>0</v>
      </c>
      <c r="V50">
        <v>100</v>
      </c>
      <c r="W50">
        <v>0</v>
      </c>
    </row>
    <row r="51" spans="1:23" x14ac:dyDescent="0.3">
      <c r="A51">
        <v>19</v>
      </c>
      <c r="B51">
        <v>3</v>
      </c>
      <c r="C51">
        <v>2</v>
      </c>
      <c r="D51">
        <v>2</v>
      </c>
      <c r="E51" t="s">
        <v>85</v>
      </c>
      <c r="F51" t="s">
        <v>86</v>
      </c>
      <c r="G51">
        <v>344.19799999999998</v>
      </c>
      <c r="H51" t="b">
        <v>1</v>
      </c>
      <c r="I51">
        <v>5</v>
      </c>
      <c r="J51">
        <v>5</v>
      </c>
      <c r="K51">
        <v>0</v>
      </c>
      <c r="L51">
        <v>2</v>
      </c>
      <c r="M51">
        <v>2</v>
      </c>
      <c r="N51">
        <v>0</v>
      </c>
      <c r="O51">
        <v>3</v>
      </c>
      <c r="P51">
        <v>3</v>
      </c>
      <c r="Q51">
        <v>0</v>
      </c>
      <c r="R51">
        <v>4</v>
      </c>
      <c r="S51">
        <v>4</v>
      </c>
      <c r="T51">
        <v>0</v>
      </c>
      <c r="U51">
        <v>0</v>
      </c>
      <c r="V51">
        <v>100</v>
      </c>
      <c r="W51">
        <v>0</v>
      </c>
    </row>
    <row r="52" spans="1:23" x14ac:dyDescent="0.3">
      <c r="A52">
        <v>19</v>
      </c>
      <c r="B52">
        <v>3</v>
      </c>
      <c r="C52">
        <v>3</v>
      </c>
      <c r="D52">
        <v>2</v>
      </c>
      <c r="E52" t="s">
        <v>86</v>
      </c>
      <c r="F52" t="s">
        <v>87</v>
      </c>
      <c r="G52">
        <v>379.60599999999999</v>
      </c>
      <c r="H52" t="b">
        <v>1</v>
      </c>
      <c r="I52">
        <v>14</v>
      </c>
      <c r="J52">
        <v>12</v>
      </c>
      <c r="K52">
        <v>2</v>
      </c>
      <c r="L52">
        <v>3</v>
      </c>
      <c r="M52">
        <v>3</v>
      </c>
      <c r="N52">
        <v>0</v>
      </c>
      <c r="O52">
        <v>11</v>
      </c>
      <c r="P52">
        <v>9</v>
      </c>
      <c r="Q52">
        <v>2</v>
      </c>
      <c r="R52">
        <v>8</v>
      </c>
      <c r="S52">
        <v>8</v>
      </c>
      <c r="T52">
        <v>0</v>
      </c>
      <c r="U52">
        <v>0</v>
      </c>
      <c r="V52">
        <v>85.714285714285694</v>
      </c>
      <c r="W52">
        <v>14.285714285714199</v>
      </c>
    </row>
    <row r="53" spans="1:23" x14ac:dyDescent="0.3">
      <c r="A53">
        <v>1</v>
      </c>
      <c r="B53">
        <v>2</v>
      </c>
      <c r="C53">
        <v>1</v>
      </c>
      <c r="D53">
        <v>1</v>
      </c>
      <c r="E53" t="s">
        <v>88</v>
      </c>
      <c r="F53" t="s">
        <v>89</v>
      </c>
      <c r="G53">
        <v>430.90499999999997</v>
      </c>
      <c r="H53" t="b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 t="s">
        <v>342</v>
      </c>
      <c r="W53" t="s">
        <v>342</v>
      </c>
    </row>
    <row r="54" spans="1:23" x14ac:dyDescent="0.3">
      <c r="A54">
        <v>21</v>
      </c>
      <c r="B54">
        <v>1</v>
      </c>
      <c r="C54">
        <v>1</v>
      </c>
      <c r="D54">
        <v>5</v>
      </c>
      <c r="E54" t="s">
        <v>90</v>
      </c>
      <c r="F54" t="s">
        <v>91</v>
      </c>
      <c r="G54">
        <v>784.26300000000003</v>
      </c>
      <c r="H54" t="b">
        <v>0</v>
      </c>
      <c r="I54">
        <v>6</v>
      </c>
      <c r="J54">
        <v>6</v>
      </c>
      <c r="K54">
        <v>0</v>
      </c>
      <c r="L54">
        <v>3</v>
      </c>
      <c r="M54">
        <v>3</v>
      </c>
      <c r="N54">
        <v>0</v>
      </c>
      <c r="O54">
        <v>3</v>
      </c>
      <c r="P54">
        <v>3</v>
      </c>
      <c r="Q54">
        <v>0</v>
      </c>
      <c r="R54">
        <v>8</v>
      </c>
      <c r="S54">
        <v>6</v>
      </c>
      <c r="T54">
        <v>0</v>
      </c>
      <c r="U54">
        <v>0</v>
      </c>
      <c r="V54">
        <v>100</v>
      </c>
      <c r="W54">
        <v>0</v>
      </c>
    </row>
    <row r="55" spans="1:23" x14ac:dyDescent="0.3">
      <c r="A55">
        <v>21</v>
      </c>
      <c r="B55">
        <v>1</v>
      </c>
      <c r="C55">
        <v>2</v>
      </c>
      <c r="D55">
        <v>1</v>
      </c>
      <c r="E55" t="s">
        <v>91</v>
      </c>
      <c r="F55" t="s">
        <v>92</v>
      </c>
      <c r="G55">
        <v>239.89599999999999</v>
      </c>
      <c r="H55" t="b">
        <v>0</v>
      </c>
      <c r="I55">
        <v>4</v>
      </c>
      <c r="J55">
        <v>3</v>
      </c>
      <c r="K55">
        <v>1</v>
      </c>
      <c r="L55">
        <v>2</v>
      </c>
      <c r="M55">
        <v>2</v>
      </c>
      <c r="N55">
        <v>0</v>
      </c>
      <c r="O55">
        <v>2</v>
      </c>
      <c r="P55">
        <v>1</v>
      </c>
      <c r="Q55">
        <v>1</v>
      </c>
      <c r="R55">
        <v>4</v>
      </c>
      <c r="S55">
        <v>4</v>
      </c>
      <c r="T55">
        <v>0</v>
      </c>
      <c r="U55">
        <v>0</v>
      </c>
      <c r="V55">
        <v>75</v>
      </c>
      <c r="W55">
        <v>25</v>
      </c>
    </row>
    <row r="56" spans="1:23" x14ac:dyDescent="0.3">
      <c r="A56">
        <v>21</v>
      </c>
      <c r="B56">
        <v>1</v>
      </c>
      <c r="C56">
        <v>3</v>
      </c>
      <c r="D56">
        <v>4</v>
      </c>
      <c r="E56" t="s">
        <v>92</v>
      </c>
      <c r="F56" t="s">
        <v>93</v>
      </c>
      <c r="G56">
        <v>546.42399999999998</v>
      </c>
      <c r="H56" t="b">
        <v>0</v>
      </c>
      <c r="I56">
        <v>21</v>
      </c>
      <c r="J56">
        <v>19</v>
      </c>
      <c r="K56">
        <v>2</v>
      </c>
      <c r="L56">
        <v>7</v>
      </c>
      <c r="M56">
        <v>7</v>
      </c>
      <c r="N56">
        <v>0</v>
      </c>
      <c r="O56">
        <v>14</v>
      </c>
      <c r="P56">
        <v>12</v>
      </c>
      <c r="Q56">
        <v>2</v>
      </c>
      <c r="R56">
        <v>16</v>
      </c>
      <c r="S56">
        <v>16</v>
      </c>
      <c r="T56">
        <v>0</v>
      </c>
      <c r="U56">
        <v>0</v>
      </c>
      <c r="V56">
        <v>90.476190476190396</v>
      </c>
      <c r="W56">
        <v>9.5238095238095095</v>
      </c>
    </row>
    <row r="57" spans="1:23" x14ac:dyDescent="0.3">
      <c r="A57">
        <v>21</v>
      </c>
      <c r="B57">
        <v>3</v>
      </c>
      <c r="C57">
        <v>1</v>
      </c>
      <c r="D57">
        <v>3</v>
      </c>
      <c r="E57" t="s">
        <v>94</v>
      </c>
      <c r="F57" t="s">
        <v>95</v>
      </c>
      <c r="G57">
        <v>459.43299999999999</v>
      </c>
      <c r="H57" t="b">
        <v>0</v>
      </c>
      <c r="I57">
        <v>14</v>
      </c>
      <c r="J57">
        <v>14</v>
      </c>
      <c r="K57">
        <v>0</v>
      </c>
      <c r="L57">
        <v>4</v>
      </c>
      <c r="M57">
        <v>4</v>
      </c>
      <c r="N57">
        <v>0</v>
      </c>
      <c r="O57">
        <v>10</v>
      </c>
      <c r="P57">
        <v>10</v>
      </c>
      <c r="Q57">
        <v>0</v>
      </c>
      <c r="R57">
        <v>12</v>
      </c>
      <c r="S57">
        <v>12</v>
      </c>
      <c r="T57">
        <v>0</v>
      </c>
      <c r="U57">
        <v>0</v>
      </c>
      <c r="V57">
        <v>100</v>
      </c>
      <c r="W57">
        <v>0</v>
      </c>
    </row>
    <row r="58" spans="1:23" x14ac:dyDescent="0.3">
      <c r="A58">
        <v>21</v>
      </c>
      <c r="B58">
        <v>3</v>
      </c>
      <c r="C58">
        <v>2</v>
      </c>
      <c r="D58">
        <v>3</v>
      </c>
      <c r="E58" t="s">
        <v>95</v>
      </c>
      <c r="F58" t="s">
        <v>96</v>
      </c>
      <c r="G58">
        <v>485.45699999999999</v>
      </c>
      <c r="H58" t="b">
        <v>0</v>
      </c>
      <c r="I58">
        <v>15</v>
      </c>
      <c r="J58">
        <v>13</v>
      </c>
      <c r="K58">
        <v>2</v>
      </c>
      <c r="L58">
        <v>9</v>
      </c>
      <c r="M58">
        <v>8</v>
      </c>
      <c r="N58">
        <v>1</v>
      </c>
      <c r="O58">
        <v>6</v>
      </c>
      <c r="P58">
        <v>5</v>
      </c>
      <c r="Q58">
        <v>1</v>
      </c>
      <c r="R58">
        <v>12</v>
      </c>
      <c r="S58">
        <v>12</v>
      </c>
      <c r="T58">
        <v>0</v>
      </c>
      <c r="U58">
        <v>1</v>
      </c>
      <c r="V58">
        <v>86.6666666666666</v>
      </c>
      <c r="W58">
        <v>13.3333333333333</v>
      </c>
    </row>
    <row r="59" spans="1:23" x14ac:dyDescent="0.3">
      <c r="A59">
        <v>21</v>
      </c>
      <c r="B59">
        <v>3</v>
      </c>
      <c r="C59">
        <v>3</v>
      </c>
      <c r="D59">
        <v>11</v>
      </c>
      <c r="E59" t="s">
        <v>96</v>
      </c>
      <c r="F59" t="s">
        <v>97</v>
      </c>
      <c r="G59">
        <v>1776.6010000000001</v>
      </c>
      <c r="H59" t="b">
        <v>1</v>
      </c>
      <c r="I59">
        <v>26</v>
      </c>
      <c r="J59">
        <v>23</v>
      </c>
      <c r="K59">
        <v>3</v>
      </c>
      <c r="L59">
        <v>12</v>
      </c>
      <c r="M59">
        <v>12</v>
      </c>
      <c r="N59">
        <v>0</v>
      </c>
      <c r="O59">
        <v>14</v>
      </c>
      <c r="P59">
        <v>11</v>
      </c>
      <c r="Q59">
        <v>3</v>
      </c>
      <c r="R59">
        <v>29</v>
      </c>
      <c r="S59">
        <v>27</v>
      </c>
      <c r="T59">
        <v>0</v>
      </c>
      <c r="U59">
        <v>0</v>
      </c>
      <c r="V59">
        <v>88.461538461538396</v>
      </c>
      <c r="W59">
        <v>11.538461538461499</v>
      </c>
    </row>
    <row r="60" spans="1:23" x14ac:dyDescent="0.3">
      <c r="A60">
        <v>21</v>
      </c>
      <c r="B60">
        <v>3</v>
      </c>
      <c r="C60">
        <v>1</v>
      </c>
      <c r="D60">
        <v>1</v>
      </c>
      <c r="E60" t="s">
        <v>97</v>
      </c>
      <c r="F60" t="s">
        <v>98</v>
      </c>
      <c r="G60">
        <v>3.0000000000000001E-3</v>
      </c>
      <c r="H60" t="b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342</v>
      </c>
      <c r="W60" t="s">
        <v>342</v>
      </c>
    </row>
    <row r="61" spans="1:23" x14ac:dyDescent="0.3">
      <c r="A61">
        <v>22</v>
      </c>
      <c r="B61">
        <v>1</v>
      </c>
      <c r="C61">
        <v>1</v>
      </c>
      <c r="D61">
        <v>2</v>
      </c>
      <c r="E61" t="s">
        <v>99</v>
      </c>
      <c r="F61" t="s">
        <v>100</v>
      </c>
      <c r="G61">
        <v>321.52800000000002</v>
      </c>
      <c r="H61" t="b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2</v>
      </c>
      <c r="T61">
        <v>0</v>
      </c>
      <c r="U61">
        <v>0</v>
      </c>
      <c r="V61" t="s">
        <v>342</v>
      </c>
      <c r="W61" t="s">
        <v>342</v>
      </c>
    </row>
    <row r="62" spans="1:23" x14ac:dyDescent="0.3">
      <c r="A62">
        <v>22</v>
      </c>
      <c r="B62">
        <v>1</v>
      </c>
      <c r="C62">
        <v>2</v>
      </c>
      <c r="D62">
        <v>4</v>
      </c>
      <c r="E62" t="s">
        <v>100</v>
      </c>
      <c r="F62" t="s">
        <v>101</v>
      </c>
      <c r="G62">
        <v>1034.588</v>
      </c>
      <c r="H62" t="b">
        <v>1</v>
      </c>
      <c r="I62">
        <v>10</v>
      </c>
      <c r="J62">
        <v>10</v>
      </c>
      <c r="K62">
        <v>0</v>
      </c>
      <c r="L62">
        <v>5</v>
      </c>
      <c r="M62">
        <v>5</v>
      </c>
      <c r="N62">
        <v>0</v>
      </c>
      <c r="O62">
        <v>5</v>
      </c>
      <c r="P62">
        <v>5</v>
      </c>
      <c r="Q62">
        <v>0</v>
      </c>
      <c r="R62">
        <v>12</v>
      </c>
      <c r="S62">
        <v>12</v>
      </c>
      <c r="T62">
        <v>0</v>
      </c>
      <c r="U62">
        <v>0</v>
      </c>
      <c r="V62">
        <v>100</v>
      </c>
      <c r="W62">
        <v>0</v>
      </c>
    </row>
    <row r="63" spans="1:23" x14ac:dyDescent="0.3">
      <c r="A63">
        <v>22</v>
      </c>
      <c r="B63">
        <v>1</v>
      </c>
      <c r="C63">
        <v>3</v>
      </c>
      <c r="D63">
        <v>2</v>
      </c>
      <c r="E63" t="s">
        <v>101</v>
      </c>
      <c r="F63" t="s">
        <v>102</v>
      </c>
      <c r="G63">
        <v>283.024</v>
      </c>
      <c r="H63" t="b">
        <v>1</v>
      </c>
      <c r="I63">
        <v>9</v>
      </c>
      <c r="J63">
        <v>8</v>
      </c>
      <c r="K63">
        <v>1</v>
      </c>
      <c r="L63">
        <v>4</v>
      </c>
      <c r="M63">
        <v>4</v>
      </c>
      <c r="N63">
        <v>0</v>
      </c>
      <c r="O63">
        <v>5</v>
      </c>
      <c r="P63">
        <v>4</v>
      </c>
      <c r="Q63">
        <v>1</v>
      </c>
      <c r="R63">
        <v>8</v>
      </c>
      <c r="S63">
        <v>8</v>
      </c>
      <c r="T63">
        <v>0</v>
      </c>
      <c r="U63">
        <v>0</v>
      </c>
      <c r="V63">
        <v>88.8888888888888</v>
      </c>
      <c r="W63">
        <v>11.1111111111111</v>
      </c>
    </row>
    <row r="64" spans="1:23" x14ac:dyDescent="0.3">
      <c r="A64">
        <v>22</v>
      </c>
      <c r="B64">
        <v>3</v>
      </c>
      <c r="C64">
        <v>1</v>
      </c>
      <c r="D64">
        <v>3</v>
      </c>
      <c r="E64" t="s">
        <v>103</v>
      </c>
      <c r="F64" t="s">
        <v>104</v>
      </c>
      <c r="G64">
        <v>465.21699999999998</v>
      </c>
      <c r="H64" t="b">
        <v>1</v>
      </c>
      <c r="I64">
        <v>11</v>
      </c>
      <c r="J64">
        <v>8</v>
      </c>
      <c r="K64">
        <v>3</v>
      </c>
      <c r="L64">
        <v>6</v>
      </c>
      <c r="M64">
        <v>6</v>
      </c>
      <c r="N64">
        <v>0</v>
      </c>
      <c r="O64">
        <v>5</v>
      </c>
      <c r="P64">
        <v>2</v>
      </c>
      <c r="Q64">
        <v>3</v>
      </c>
      <c r="R64">
        <v>8</v>
      </c>
      <c r="S64">
        <v>8</v>
      </c>
      <c r="T64">
        <v>0</v>
      </c>
      <c r="U64">
        <v>0</v>
      </c>
      <c r="V64">
        <v>72.727272727272705</v>
      </c>
      <c r="W64">
        <v>27.272727272727199</v>
      </c>
    </row>
    <row r="65" spans="1:23" x14ac:dyDescent="0.3">
      <c r="A65">
        <v>22</v>
      </c>
      <c r="B65">
        <v>3</v>
      </c>
      <c r="C65">
        <v>2</v>
      </c>
      <c r="D65">
        <v>10</v>
      </c>
      <c r="E65" t="s">
        <v>104</v>
      </c>
      <c r="F65" t="s">
        <v>105</v>
      </c>
      <c r="G65">
        <v>2746.623</v>
      </c>
      <c r="H65" t="b">
        <v>0</v>
      </c>
      <c r="I65">
        <v>33</v>
      </c>
      <c r="J65">
        <v>31</v>
      </c>
      <c r="K65">
        <v>2</v>
      </c>
      <c r="L65">
        <v>16</v>
      </c>
      <c r="M65">
        <v>16</v>
      </c>
      <c r="N65">
        <v>0</v>
      </c>
      <c r="O65">
        <v>17</v>
      </c>
      <c r="P65">
        <v>15</v>
      </c>
      <c r="Q65">
        <v>2</v>
      </c>
      <c r="R65">
        <v>29</v>
      </c>
      <c r="S65">
        <v>29</v>
      </c>
      <c r="T65">
        <v>0</v>
      </c>
      <c r="U65">
        <v>0</v>
      </c>
      <c r="V65">
        <v>93.939393939393895</v>
      </c>
      <c r="W65">
        <v>6.0606060606060597</v>
      </c>
    </row>
    <row r="66" spans="1:23" x14ac:dyDescent="0.3">
      <c r="A66">
        <v>23</v>
      </c>
      <c r="B66">
        <v>1</v>
      </c>
      <c r="C66">
        <v>1</v>
      </c>
      <c r="D66">
        <v>10</v>
      </c>
      <c r="E66" t="s">
        <v>106</v>
      </c>
      <c r="F66" t="s">
        <v>107</v>
      </c>
      <c r="G66">
        <v>1745.9690000000001</v>
      </c>
      <c r="H66" t="b">
        <v>0</v>
      </c>
      <c r="I66">
        <v>14</v>
      </c>
      <c r="J66">
        <v>11</v>
      </c>
      <c r="K66">
        <v>3</v>
      </c>
      <c r="L66">
        <v>5</v>
      </c>
      <c r="M66">
        <v>4</v>
      </c>
      <c r="N66">
        <v>1</v>
      </c>
      <c r="O66">
        <v>9</v>
      </c>
      <c r="P66">
        <v>7</v>
      </c>
      <c r="Q66">
        <v>2</v>
      </c>
      <c r="R66">
        <v>25</v>
      </c>
      <c r="S66">
        <v>18</v>
      </c>
      <c r="T66">
        <v>0</v>
      </c>
      <c r="U66">
        <v>0</v>
      </c>
      <c r="V66">
        <v>78.571428571428498</v>
      </c>
      <c r="W66">
        <v>21.428571428571399</v>
      </c>
    </row>
    <row r="67" spans="1:23" x14ac:dyDescent="0.3">
      <c r="A67">
        <v>23</v>
      </c>
      <c r="B67">
        <v>1</v>
      </c>
      <c r="C67">
        <v>2</v>
      </c>
      <c r="D67">
        <v>2</v>
      </c>
      <c r="E67" t="s">
        <v>107</v>
      </c>
      <c r="F67" t="s">
        <v>108</v>
      </c>
      <c r="G67">
        <v>136.61600000000001</v>
      </c>
      <c r="H67" t="b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342</v>
      </c>
      <c r="W67" t="s">
        <v>342</v>
      </c>
    </row>
    <row r="68" spans="1:23" x14ac:dyDescent="0.3">
      <c r="A68">
        <v>24</v>
      </c>
      <c r="B68">
        <v>1</v>
      </c>
      <c r="C68">
        <v>1</v>
      </c>
      <c r="D68">
        <v>3</v>
      </c>
      <c r="E68" t="s">
        <v>109</v>
      </c>
      <c r="F68" t="s">
        <v>110</v>
      </c>
      <c r="G68">
        <v>539.26599999999996</v>
      </c>
      <c r="H68" t="b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</v>
      </c>
      <c r="S68">
        <v>1</v>
      </c>
      <c r="T68">
        <v>1</v>
      </c>
      <c r="U68">
        <v>1</v>
      </c>
      <c r="V68" t="s">
        <v>342</v>
      </c>
      <c r="W68" t="s">
        <v>342</v>
      </c>
    </row>
    <row r="69" spans="1:23" x14ac:dyDescent="0.3">
      <c r="A69">
        <v>24</v>
      </c>
      <c r="B69">
        <v>1</v>
      </c>
      <c r="C69">
        <v>2</v>
      </c>
      <c r="D69">
        <v>3</v>
      </c>
      <c r="E69" t="s">
        <v>110</v>
      </c>
      <c r="F69" t="s">
        <v>111</v>
      </c>
      <c r="G69">
        <v>596.93200000000002</v>
      </c>
      <c r="H69" t="b">
        <v>0</v>
      </c>
      <c r="I69">
        <v>8</v>
      </c>
      <c r="J69">
        <v>4</v>
      </c>
      <c r="K69">
        <v>4</v>
      </c>
      <c r="L69">
        <v>3</v>
      </c>
      <c r="M69">
        <v>2</v>
      </c>
      <c r="N69">
        <v>1</v>
      </c>
      <c r="O69">
        <v>5</v>
      </c>
      <c r="P69">
        <v>2</v>
      </c>
      <c r="Q69">
        <v>3</v>
      </c>
      <c r="R69">
        <v>7</v>
      </c>
      <c r="S69">
        <v>3</v>
      </c>
      <c r="T69">
        <v>2</v>
      </c>
      <c r="U69">
        <v>3</v>
      </c>
      <c r="V69">
        <v>50</v>
      </c>
      <c r="W69">
        <v>50</v>
      </c>
    </row>
    <row r="70" spans="1:23" x14ac:dyDescent="0.3">
      <c r="A70">
        <v>24</v>
      </c>
      <c r="B70">
        <v>3</v>
      </c>
      <c r="C70">
        <v>1</v>
      </c>
      <c r="D70">
        <v>5</v>
      </c>
      <c r="E70" t="s">
        <v>112</v>
      </c>
      <c r="F70" t="s">
        <v>113</v>
      </c>
      <c r="G70">
        <v>1086.9169999999999</v>
      </c>
      <c r="H70" t="b">
        <v>1</v>
      </c>
      <c r="I70">
        <v>19</v>
      </c>
      <c r="J70">
        <v>14</v>
      </c>
      <c r="K70">
        <v>5</v>
      </c>
      <c r="L70">
        <v>6</v>
      </c>
      <c r="M70">
        <v>6</v>
      </c>
      <c r="N70">
        <v>0</v>
      </c>
      <c r="O70">
        <v>13</v>
      </c>
      <c r="P70">
        <v>8</v>
      </c>
      <c r="Q70">
        <v>5</v>
      </c>
      <c r="R70">
        <v>11</v>
      </c>
      <c r="S70">
        <v>7</v>
      </c>
      <c r="T70">
        <v>0</v>
      </c>
      <c r="U70">
        <v>0</v>
      </c>
      <c r="V70">
        <v>73.684210526315795</v>
      </c>
      <c r="W70">
        <v>26.315789473684202</v>
      </c>
    </row>
    <row r="71" spans="1:23" x14ac:dyDescent="0.3">
      <c r="A71">
        <v>24</v>
      </c>
      <c r="B71">
        <v>3</v>
      </c>
      <c r="C71">
        <v>2</v>
      </c>
      <c r="D71">
        <v>4</v>
      </c>
      <c r="E71" t="s">
        <v>113</v>
      </c>
      <c r="F71" t="s">
        <v>114</v>
      </c>
      <c r="G71">
        <v>933.98599999999999</v>
      </c>
      <c r="H71" t="b">
        <v>0</v>
      </c>
      <c r="I71">
        <v>12</v>
      </c>
      <c r="J71">
        <v>9</v>
      </c>
      <c r="K71">
        <v>3</v>
      </c>
      <c r="L71">
        <v>6</v>
      </c>
      <c r="M71">
        <v>5</v>
      </c>
      <c r="N71">
        <v>1</v>
      </c>
      <c r="O71">
        <v>6</v>
      </c>
      <c r="P71">
        <v>4</v>
      </c>
      <c r="Q71">
        <v>2</v>
      </c>
      <c r="R71">
        <v>12</v>
      </c>
      <c r="S71">
        <v>5</v>
      </c>
      <c r="T71">
        <v>0</v>
      </c>
      <c r="U71">
        <v>0</v>
      </c>
      <c r="V71">
        <v>75</v>
      </c>
      <c r="W71">
        <v>25</v>
      </c>
    </row>
    <row r="72" spans="1:23" x14ac:dyDescent="0.3">
      <c r="A72">
        <v>24</v>
      </c>
      <c r="B72">
        <v>3</v>
      </c>
      <c r="C72">
        <v>3</v>
      </c>
      <c r="D72">
        <v>3</v>
      </c>
      <c r="E72" t="s">
        <v>114</v>
      </c>
      <c r="F72" t="s">
        <v>115</v>
      </c>
      <c r="G72">
        <v>955.89599999999996</v>
      </c>
      <c r="H72" t="b">
        <v>1</v>
      </c>
      <c r="I72">
        <v>12</v>
      </c>
      <c r="J72">
        <v>10</v>
      </c>
      <c r="K72">
        <v>2</v>
      </c>
      <c r="L72">
        <v>6</v>
      </c>
      <c r="M72">
        <v>6</v>
      </c>
      <c r="N72">
        <v>0</v>
      </c>
      <c r="O72">
        <v>6</v>
      </c>
      <c r="P72">
        <v>4</v>
      </c>
      <c r="Q72">
        <v>2</v>
      </c>
      <c r="R72">
        <v>12</v>
      </c>
      <c r="S72">
        <v>9</v>
      </c>
      <c r="T72">
        <v>0</v>
      </c>
      <c r="U72">
        <v>0</v>
      </c>
      <c r="V72">
        <v>83.3333333333333</v>
      </c>
      <c r="W72">
        <v>16.6666666666666</v>
      </c>
    </row>
    <row r="73" spans="1:23" x14ac:dyDescent="0.3">
      <c r="A73">
        <v>25</v>
      </c>
      <c r="B73">
        <v>1</v>
      </c>
      <c r="C73">
        <v>1</v>
      </c>
      <c r="D73">
        <v>6</v>
      </c>
      <c r="E73" t="s">
        <v>116</v>
      </c>
      <c r="F73" t="s">
        <v>117</v>
      </c>
      <c r="G73">
        <v>1026.5830000000001</v>
      </c>
      <c r="H73" t="b">
        <v>0</v>
      </c>
      <c r="I73">
        <v>11</v>
      </c>
      <c r="J73">
        <v>10</v>
      </c>
      <c r="K73">
        <v>1</v>
      </c>
      <c r="L73">
        <v>5</v>
      </c>
      <c r="M73">
        <v>5</v>
      </c>
      <c r="N73">
        <v>0</v>
      </c>
      <c r="O73">
        <v>6</v>
      </c>
      <c r="P73">
        <v>5</v>
      </c>
      <c r="Q73">
        <v>1</v>
      </c>
      <c r="R73">
        <v>12</v>
      </c>
      <c r="S73">
        <v>7</v>
      </c>
      <c r="T73">
        <v>0</v>
      </c>
      <c r="U73">
        <v>0</v>
      </c>
      <c r="V73">
        <v>90.909090909090907</v>
      </c>
      <c r="W73">
        <v>9.0909090909090899</v>
      </c>
    </row>
    <row r="74" spans="1:23" x14ac:dyDescent="0.3">
      <c r="A74">
        <v>25</v>
      </c>
      <c r="B74">
        <v>1</v>
      </c>
      <c r="C74">
        <v>2</v>
      </c>
      <c r="D74">
        <v>2</v>
      </c>
      <c r="E74" t="s">
        <v>117</v>
      </c>
      <c r="F74" t="s">
        <v>118</v>
      </c>
      <c r="G74">
        <v>455.03800000000001</v>
      </c>
      <c r="H74" t="b">
        <v>0</v>
      </c>
      <c r="I74">
        <v>6</v>
      </c>
      <c r="J74">
        <v>6</v>
      </c>
      <c r="K74">
        <v>0</v>
      </c>
      <c r="L74">
        <v>4</v>
      </c>
      <c r="M74">
        <v>4</v>
      </c>
      <c r="N74">
        <v>0</v>
      </c>
      <c r="O74">
        <v>2</v>
      </c>
      <c r="P74">
        <v>2</v>
      </c>
      <c r="Q74">
        <v>0</v>
      </c>
      <c r="R74">
        <v>6</v>
      </c>
      <c r="S74">
        <v>2</v>
      </c>
      <c r="T74">
        <v>1</v>
      </c>
      <c r="U74">
        <v>1</v>
      </c>
      <c r="V74">
        <v>100</v>
      </c>
      <c r="W74">
        <v>0</v>
      </c>
    </row>
    <row r="75" spans="1:23" x14ac:dyDescent="0.3">
      <c r="A75">
        <v>25</v>
      </c>
      <c r="B75">
        <v>1</v>
      </c>
      <c r="C75">
        <v>3</v>
      </c>
      <c r="D75">
        <v>1</v>
      </c>
      <c r="E75" t="s">
        <v>118</v>
      </c>
      <c r="F75" t="s">
        <v>119</v>
      </c>
      <c r="G75">
        <v>113.578</v>
      </c>
      <c r="H75" t="b">
        <v>0</v>
      </c>
      <c r="I75">
        <v>3</v>
      </c>
      <c r="J75">
        <v>3</v>
      </c>
      <c r="K75">
        <v>0</v>
      </c>
      <c r="L75">
        <v>2</v>
      </c>
      <c r="M75">
        <v>2</v>
      </c>
      <c r="N75">
        <v>0</v>
      </c>
      <c r="O75">
        <v>1</v>
      </c>
      <c r="P75">
        <v>1</v>
      </c>
      <c r="Q75">
        <v>0</v>
      </c>
      <c r="R75">
        <v>2</v>
      </c>
      <c r="S75">
        <v>1</v>
      </c>
      <c r="T75">
        <v>0</v>
      </c>
      <c r="U75">
        <v>0</v>
      </c>
      <c r="V75">
        <v>100</v>
      </c>
      <c r="W75">
        <v>0</v>
      </c>
    </row>
    <row r="76" spans="1:23" x14ac:dyDescent="0.3">
      <c r="A76">
        <v>25</v>
      </c>
      <c r="B76">
        <v>3</v>
      </c>
      <c r="C76">
        <v>1</v>
      </c>
      <c r="D76">
        <v>2</v>
      </c>
      <c r="E76" t="s">
        <v>120</v>
      </c>
      <c r="F76" t="s">
        <v>121</v>
      </c>
      <c r="G76">
        <v>340.90100000000001</v>
      </c>
      <c r="H76" t="b">
        <v>0</v>
      </c>
      <c r="I76">
        <v>6</v>
      </c>
      <c r="J76">
        <v>6</v>
      </c>
      <c r="K76">
        <v>0</v>
      </c>
      <c r="L76">
        <v>4</v>
      </c>
      <c r="M76">
        <v>4</v>
      </c>
      <c r="N76">
        <v>0</v>
      </c>
      <c r="O76">
        <v>2</v>
      </c>
      <c r="P76">
        <v>2</v>
      </c>
      <c r="Q76">
        <v>0</v>
      </c>
      <c r="R76">
        <v>4</v>
      </c>
      <c r="S76">
        <v>2</v>
      </c>
      <c r="T76">
        <v>0</v>
      </c>
      <c r="U76">
        <v>0</v>
      </c>
      <c r="V76">
        <v>100</v>
      </c>
      <c r="W76">
        <v>0</v>
      </c>
    </row>
    <row r="77" spans="1:23" x14ac:dyDescent="0.3">
      <c r="A77">
        <v>25</v>
      </c>
      <c r="B77">
        <v>3</v>
      </c>
      <c r="C77">
        <v>2</v>
      </c>
      <c r="D77">
        <v>6</v>
      </c>
      <c r="E77" t="s">
        <v>121</v>
      </c>
      <c r="F77" t="s">
        <v>122</v>
      </c>
      <c r="G77">
        <v>1365.6410000000001</v>
      </c>
      <c r="H77" t="b">
        <v>0</v>
      </c>
      <c r="I77">
        <v>18</v>
      </c>
      <c r="J77">
        <v>17</v>
      </c>
      <c r="K77">
        <v>1</v>
      </c>
      <c r="L77">
        <v>12</v>
      </c>
      <c r="M77">
        <v>12</v>
      </c>
      <c r="N77">
        <v>0</v>
      </c>
      <c r="O77">
        <v>6</v>
      </c>
      <c r="P77">
        <v>5</v>
      </c>
      <c r="Q77">
        <v>1</v>
      </c>
      <c r="R77">
        <v>22</v>
      </c>
      <c r="S77">
        <v>10</v>
      </c>
      <c r="T77">
        <v>0</v>
      </c>
      <c r="U77">
        <v>0</v>
      </c>
      <c r="V77">
        <v>94.4444444444444</v>
      </c>
      <c r="W77">
        <v>5.55555555555555</v>
      </c>
    </row>
    <row r="78" spans="1:23" x14ac:dyDescent="0.3">
      <c r="A78">
        <v>25</v>
      </c>
      <c r="B78">
        <v>3</v>
      </c>
      <c r="C78">
        <v>3</v>
      </c>
      <c r="D78">
        <v>7</v>
      </c>
      <c r="E78" t="s">
        <v>122</v>
      </c>
      <c r="F78" t="s">
        <v>339</v>
      </c>
      <c r="G78">
        <v>982.15499999999997</v>
      </c>
      <c r="H78" t="b">
        <v>0</v>
      </c>
      <c r="I78">
        <v>24</v>
      </c>
      <c r="J78">
        <v>19</v>
      </c>
      <c r="K78">
        <v>5</v>
      </c>
      <c r="L78">
        <v>14</v>
      </c>
      <c r="M78">
        <v>14</v>
      </c>
      <c r="N78">
        <v>0</v>
      </c>
      <c r="O78">
        <v>10</v>
      </c>
      <c r="P78">
        <v>5</v>
      </c>
      <c r="Q78">
        <v>5</v>
      </c>
      <c r="R78">
        <v>28</v>
      </c>
      <c r="S78">
        <v>21</v>
      </c>
      <c r="T78">
        <v>0</v>
      </c>
      <c r="U78">
        <v>0</v>
      </c>
      <c r="V78">
        <v>79.1666666666666</v>
      </c>
      <c r="W78">
        <v>20.8333333333333</v>
      </c>
    </row>
    <row r="79" spans="1:23" x14ac:dyDescent="0.3">
      <c r="A79">
        <v>26</v>
      </c>
      <c r="B79">
        <v>1</v>
      </c>
      <c r="C79">
        <v>1</v>
      </c>
      <c r="D79">
        <v>6</v>
      </c>
      <c r="E79" t="s">
        <v>123</v>
      </c>
      <c r="F79" t="s">
        <v>124</v>
      </c>
      <c r="G79">
        <v>1539.473</v>
      </c>
      <c r="H79" t="b">
        <v>0</v>
      </c>
      <c r="I79">
        <v>6</v>
      </c>
      <c r="J79">
        <v>6</v>
      </c>
      <c r="K79">
        <v>0</v>
      </c>
      <c r="L79">
        <v>3</v>
      </c>
      <c r="M79">
        <v>3</v>
      </c>
      <c r="N79">
        <v>0</v>
      </c>
      <c r="O79">
        <v>3</v>
      </c>
      <c r="P79">
        <v>3</v>
      </c>
      <c r="Q79">
        <v>0</v>
      </c>
      <c r="R79">
        <v>9</v>
      </c>
      <c r="S79">
        <v>8</v>
      </c>
      <c r="T79">
        <v>1</v>
      </c>
      <c r="U79">
        <v>1</v>
      </c>
      <c r="V79">
        <v>100</v>
      </c>
      <c r="W79">
        <v>0</v>
      </c>
    </row>
    <row r="80" spans="1:23" x14ac:dyDescent="0.3">
      <c r="A80">
        <v>26</v>
      </c>
      <c r="B80">
        <v>1</v>
      </c>
      <c r="C80">
        <v>2</v>
      </c>
      <c r="D80">
        <v>1</v>
      </c>
      <c r="E80" t="s">
        <v>124</v>
      </c>
      <c r="F80" t="s">
        <v>125</v>
      </c>
      <c r="G80">
        <v>182.26300000000001</v>
      </c>
      <c r="H80" t="b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</v>
      </c>
      <c r="S80">
        <v>2</v>
      </c>
      <c r="T80">
        <v>1</v>
      </c>
      <c r="U80">
        <v>1</v>
      </c>
      <c r="V80" t="s">
        <v>342</v>
      </c>
      <c r="W80" t="s">
        <v>342</v>
      </c>
    </row>
    <row r="81" spans="1:23" x14ac:dyDescent="0.3">
      <c r="A81">
        <v>26</v>
      </c>
      <c r="B81">
        <v>3</v>
      </c>
      <c r="C81">
        <v>1</v>
      </c>
      <c r="D81">
        <v>3</v>
      </c>
      <c r="E81" t="s">
        <v>126</v>
      </c>
      <c r="F81" t="s">
        <v>127</v>
      </c>
      <c r="G81">
        <v>577.74199999999996</v>
      </c>
      <c r="H81" t="b">
        <v>0</v>
      </c>
      <c r="I81">
        <v>7</v>
      </c>
      <c r="J81">
        <v>6</v>
      </c>
      <c r="K81">
        <v>1</v>
      </c>
      <c r="L81">
        <v>4</v>
      </c>
      <c r="M81">
        <v>4</v>
      </c>
      <c r="N81">
        <v>0</v>
      </c>
      <c r="O81">
        <v>3</v>
      </c>
      <c r="P81">
        <v>2</v>
      </c>
      <c r="Q81">
        <v>1</v>
      </c>
      <c r="R81">
        <v>6</v>
      </c>
      <c r="S81">
        <v>6</v>
      </c>
      <c r="T81">
        <v>0</v>
      </c>
      <c r="U81">
        <v>0</v>
      </c>
      <c r="V81">
        <v>85.714285714285694</v>
      </c>
      <c r="W81">
        <v>14.285714285714199</v>
      </c>
    </row>
    <row r="82" spans="1:23" x14ac:dyDescent="0.3">
      <c r="A82">
        <v>26</v>
      </c>
      <c r="B82">
        <v>3</v>
      </c>
      <c r="C82">
        <v>2</v>
      </c>
      <c r="D82">
        <v>11</v>
      </c>
      <c r="E82" t="s">
        <v>127</v>
      </c>
      <c r="F82" t="s">
        <v>128</v>
      </c>
      <c r="G82">
        <v>1772.241</v>
      </c>
      <c r="H82" t="b">
        <v>0</v>
      </c>
      <c r="I82">
        <v>21</v>
      </c>
      <c r="J82">
        <v>15</v>
      </c>
      <c r="K82">
        <v>6</v>
      </c>
      <c r="L82">
        <v>11</v>
      </c>
      <c r="M82">
        <v>11</v>
      </c>
      <c r="N82">
        <v>0</v>
      </c>
      <c r="O82">
        <v>10</v>
      </c>
      <c r="P82">
        <v>4</v>
      </c>
      <c r="Q82">
        <v>6</v>
      </c>
      <c r="R82">
        <v>23</v>
      </c>
      <c r="S82">
        <v>21</v>
      </c>
      <c r="T82">
        <v>2</v>
      </c>
      <c r="U82">
        <v>2</v>
      </c>
      <c r="V82">
        <v>71.428571428571402</v>
      </c>
      <c r="W82">
        <v>28.571428571428498</v>
      </c>
    </row>
    <row r="83" spans="1:23" x14ac:dyDescent="0.3">
      <c r="A83">
        <v>26</v>
      </c>
      <c r="B83">
        <v>3</v>
      </c>
      <c r="C83">
        <v>3</v>
      </c>
      <c r="D83">
        <v>2</v>
      </c>
      <c r="E83" t="s">
        <v>128</v>
      </c>
      <c r="F83" t="s">
        <v>129</v>
      </c>
      <c r="G83">
        <v>218.255</v>
      </c>
      <c r="H83" t="b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0</v>
      </c>
      <c r="V83" t="s">
        <v>342</v>
      </c>
      <c r="W83" t="s">
        <v>342</v>
      </c>
    </row>
    <row r="84" spans="1:23" x14ac:dyDescent="0.3">
      <c r="A84">
        <v>27</v>
      </c>
      <c r="B84">
        <v>1</v>
      </c>
      <c r="C84">
        <v>1</v>
      </c>
      <c r="D84">
        <v>5</v>
      </c>
      <c r="E84" t="s">
        <v>130</v>
      </c>
      <c r="F84" t="s">
        <v>131</v>
      </c>
      <c r="G84">
        <v>847.82100000000003</v>
      </c>
      <c r="H84" t="b">
        <v>0</v>
      </c>
      <c r="I84">
        <v>10</v>
      </c>
      <c r="J84">
        <v>6</v>
      </c>
      <c r="K84">
        <v>4</v>
      </c>
      <c r="L84">
        <v>6</v>
      </c>
      <c r="M84">
        <v>6</v>
      </c>
      <c r="N84">
        <v>0</v>
      </c>
      <c r="O84">
        <v>4</v>
      </c>
      <c r="P84">
        <v>0</v>
      </c>
      <c r="Q84">
        <v>4</v>
      </c>
      <c r="R84">
        <v>14</v>
      </c>
      <c r="S84">
        <v>11</v>
      </c>
      <c r="T84">
        <v>0</v>
      </c>
      <c r="U84">
        <v>0</v>
      </c>
      <c r="V84">
        <v>60</v>
      </c>
      <c r="W84">
        <v>40</v>
      </c>
    </row>
    <row r="85" spans="1:23" x14ac:dyDescent="0.3">
      <c r="A85">
        <v>27</v>
      </c>
      <c r="B85">
        <v>1</v>
      </c>
      <c r="C85">
        <v>2</v>
      </c>
      <c r="D85">
        <v>1</v>
      </c>
      <c r="E85" t="s">
        <v>131</v>
      </c>
      <c r="F85" t="s">
        <v>132</v>
      </c>
      <c r="G85">
        <v>76.603999999999999</v>
      </c>
      <c r="H85" t="b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</v>
      </c>
      <c r="S85">
        <v>2</v>
      </c>
      <c r="T85">
        <v>0</v>
      </c>
      <c r="U85">
        <v>0</v>
      </c>
      <c r="V85" t="s">
        <v>342</v>
      </c>
      <c r="W85" t="s">
        <v>342</v>
      </c>
    </row>
    <row r="86" spans="1:23" x14ac:dyDescent="0.3">
      <c r="A86">
        <v>27</v>
      </c>
      <c r="B86">
        <v>3</v>
      </c>
      <c r="C86">
        <v>1</v>
      </c>
      <c r="D86">
        <v>2</v>
      </c>
      <c r="E86" t="s">
        <v>133</v>
      </c>
      <c r="F86" t="s">
        <v>134</v>
      </c>
      <c r="G86">
        <v>293.68299999999999</v>
      </c>
      <c r="H86" t="b">
        <v>0</v>
      </c>
      <c r="I86">
        <v>2</v>
      </c>
      <c r="J86">
        <v>2</v>
      </c>
      <c r="K86">
        <v>0</v>
      </c>
      <c r="L86">
        <v>2</v>
      </c>
      <c r="M86">
        <v>2</v>
      </c>
      <c r="N86">
        <v>0</v>
      </c>
      <c r="O86">
        <v>0</v>
      </c>
      <c r="P86">
        <v>0</v>
      </c>
      <c r="Q86">
        <v>0</v>
      </c>
      <c r="R86">
        <v>4</v>
      </c>
      <c r="S86">
        <v>2</v>
      </c>
      <c r="T86">
        <v>0</v>
      </c>
      <c r="U86">
        <v>0</v>
      </c>
      <c r="V86">
        <v>100</v>
      </c>
      <c r="W86">
        <v>0</v>
      </c>
    </row>
    <row r="87" spans="1:23" x14ac:dyDescent="0.3">
      <c r="A87">
        <v>27</v>
      </c>
      <c r="B87">
        <v>3</v>
      </c>
      <c r="C87">
        <v>2</v>
      </c>
      <c r="D87">
        <v>11</v>
      </c>
      <c r="E87" t="s">
        <v>134</v>
      </c>
      <c r="F87" t="s">
        <v>135</v>
      </c>
      <c r="G87">
        <v>1589.087</v>
      </c>
      <c r="H87" t="b">
        <v>0</v>
      </c>
      <c r="I87">
        <v>8</v>
      </c>
      <c r="J87">
        <v>8</v>
      </c>
      <c r="K87">
        <v>0</v>
      </c>
      <c r="L87">
        <v>8</v>
      </c>
      <c r="M87">
        <v>8</v>
      </c>
      <c r="N87">
        <v>0</v>
      </c>
      <c r="O87">
        <v>0</v>
      </c>
      <c r="P87">
        <v>0</v>
      </c>
      <c r="Q87">
        <v>0</v>
      </c>
      <c r="R87">
        <v>23</v>
      </c>
      <c r="S87">
        <v>11</v>
      </c>
      <c r="T87">
        <v>2</v>
      </c>
      <c r="U87">
        <v>2</v>
      </c>
      <c r="V87">
        <v>100</v>
      </c>
      <c r="W87">
        <v>0</v>
      </c>
    </row>
    <row r="88" spans="1:23" x14ac:dyDescent="0.3">
      <c r="A88">
        <v>27</v>
      </c>
      <c r="B88">
        <v>3</v>
      </c>
      <c r="C88">
        <v>1</v>
      </c>
      <c r="D88">
        <v>1</v>
      </c>
      <c r="E88" t="s">
        <v>135</v>
      </c>
      <c r="F88" t="s">
        <v>136</v>
      </c>
      <c r="G88">
        <v>188.63200000000001</v>
      </c>
      <c r="H88" t="b">
        <v>0</v>
      </c>
      <c r="I88">
        <v>3</v>
      </c>
      <c r="J88">
        <v>2</v>
      </c>
      <c r="K88">
        <v>1</v>
      </c>
      <c r="L88">
        <v>2</v>
      </c>
      <c r="M88">
        <v>2</v>
      </c>
      <c r="N88">
        <v>0</v>
      </c>
      <c r="O88">
        <v>1</v>
      </c>
      <c r="P88">
        <v>0</v>
      </c>
      <c r="Q88">
        <v>1</v>
      </c>
      <c r="R88">
        <v>4</v>
      </c>
      <c r="S88">
        <v>3</v>
      </c>
      <c r="T88">
        <v>0</v>
      </c>
      <c r="U88">
        <v>0</v>
      </c>
      <c r="V88">
        <v>66.6666666666666</v>
      </c>
      <c r="W88">
        <v>33.3333333333333</v>
      </c>
    </row>
    <row r="89" spans="1:23" x14ac:dyDescent="0.3">
      <c r="A89">
        <v>27</v>
      </c>
      <c r="B89">
        <v>3</v>
      </c>
      <c r="C89">
        <v>2</v>
      </c>
      <c r="D89">
        <v>2</v>
      </c>
      <c r="E89" t="s">
        <v>136</v>
      </c>
      <c r="F89" t="s">
        <v>137</v>
      </c>
      <c r="G89">
        <v>122.848</v>
      </c>
      <c r="H89" t="b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</v>
      </c>
      <c r="S89">
        <v>0</v>
      </c>
      <c r="T89">
        <v>1</v>
      </c>
      <c r="U89">
        <v>1</v>
      </c>
      <c r="V89" t="s">
        <v>342</v>
      </c>
      <c r="W89" t="s">
        <v>342</v>
      </c>
    </row>
    <row r="90" spans="1:23" x14ac:dyDescent="0.3">
      <c r="A90">
        <v>27</v>
      </c>
      <c r="B90">
        <v>3</v>
      </c>
      <c r="C90">
        <v>3</v>
      </c>
      <c r="D90">
        <v>3</v>
      </c>
      <c r="E90" t="s">
        <v>137</v>
      </c>
      <c r="F90" t="s">
        <v>138</v>
      </c>
      <c r="G90">
        <v>545.21500000000003</v>
      </c>
      <c r="H90" t="b">
        <v>0</v>
      </c>
      <c r="I90">
        <v>11</v>
      </c>
      <c r="J90">
        <v>6</v>
      </c>
      <c r="K90">
        <v>5</v>
      </c>
      <c r="L90">
        <v>6</v>
      </c>
      <c r="M90">
        <v>5</v>
      </c>
      <c r="N90">
        <v>1</v>
      </c>
      <c r="O90">
        <v>5</v>
      </c>
      <c r="P90">
        <v>1</v>
      </c>
      <c r="Q90">
        <v>4</v>
      </c>
      <c r="R90">
        <v>12</v>
      </c>
      <c r="S90">
        <v>9</v>
      </c>
      <c r="T90">
        <v>0</v>
      </c>
      <c r="U90">
        <v>0</v>
      </c>
      <c r="V90">
        <v>54.545454545454497</v>
      </c>
      <c r="W90">
        <v>45.454545454545404</v>
      </c>
    </row>
    <row r="91" spans="1:23" x14ac:dyDescent="0.3">
      <c r="A91">
        <v>2</v>
      </c>
      <c r="B91">
        <v>1</v>
      </c>
      <c r="C91">
        <v>1</v>
      </c>
      <c r="D91">
        <v>9</v>
      </c>
      <c r="E91" t="s">
        <v>139</v>
      </c>
      <c r="F91" t="s">
        <v>140</v>
      </c>
      <c r="G91">
        <v>1840.6479999999999</v>
      </c>
      <c r="H91" t="b">
        <v>1</v>
      </c>
      <c r="I91">
        <v>22</v>
      </c>
      <c r="J91">
        <v>19</v>
      </c>
      <c r="K91">
        <v>3</v>
      </c>
      <c r="L91">
        <v>11</v>
      </c>
      <c r="M91">
        <v>11</v>
      </c>
      <c r="N91">
        <v>0</v>
      </c>
      <c r="O91">
        <v>11</v>
      </c>
      <c r="P91">
        <v>8</v>
      </c>
      <c r="Q91">
        <v>3</v>
      </c>
      <c r="R91">
        <v>23</v>
      </c>
      <c r="S91">
        <v>18</v>
      </c>
      <c r="T91">
        <v>0</v>
      </c>
      <c r="U91">
        <v>0</v>
      </c>
      <c r="V91">
        <v>86.363636363636303</v>
      </c>
      <c r="W91">
        <v>13.636363636363599</v>
      </c>
    </row>
    <row r="92" spans="1:23" x14ac:dyDescent="0.3">
      <c r="A92">
        <v>2</v>
      </c>
      <c r="B92">
        <v>1</v>
      </c>
      <c r="C92">
        <v>2</v>
      </c>
      <c r="D92">
        <v>2</v>
      </c>
      <c r="E92" t="s">
        <v>140</v>
      </c>
      <c r="F92" t="s">
        <v>141</v>
      </c>
      <c r="G92">
        <v>269.80399999999997</v>
      </c>
      <c r="H92" t="b">
        <v>0</v>
      </c>
      <c r="I92">
        <v>2</v>
      </c>
      <c r="J92">
        <v>2</v>
      </c>
      <c r="K92">
        <v>0</v>
      </c>
      <c r="L92">
        <v>2</v>
      </c>
      <c r="M92">
        <v>2</v>
      </c>
      <c r="N92">
        <v>0</v>
      </c>
      <c r="O92">
        <v>0</v>
      </c>
      <c r="P92">
        <v>0</v>
      </c>
      <c r="Q92">
        <v>0</v>
      </c>
      <c r="R92">
        <v>4</v>
      </c>
      <c r="S92">
        <v>2</v>
      </c>
      <c r="T92">
        <v>1</v>
      </c>
      <c r="U92">
        <v>1</v>
      </c>
      <c r="V92">
        <v>100</v>
      </c>
      <c r="W92">
        <v>0</v>
      </c>
    </row>
    <row r="93" spans="1:23" x14ac:dyDescent="0.3">
      <c r="A93">
        <v>30</v>
      </c>
      <c r="B93">
        <v>1</v>
      </c>
      <c r="C93">
        <v>1</v>
      </c>
      <c r="D93">
        <v>2</v>
      </c>
      <c r="E93" t="s">
        <v>142</v>
      </c>
      <c r="F93" t="s">
        <v>143</v>
      </c>
      <c r="G93">
        <v>387.76600000000002</v>
      </c>
      <c r="H93" t="b">
        <v>1</v>
      </c>
      <c r="I93">
        <v>4</v>
      </c>
      <c r="J93">
        <v>4</v>
      </c>
      <c r="K93">
        <v>0</v>
      </c>
      <c r="L93">
        <v>2</v>
      </c>
      <c r="M93">
        <v>2</v>
      </c>
      <c r="N93">
        <v>0</v>
      </c>
      <c r="O93">
        <v>2</v>
      </c>
      <c r="P93">
        <v>2</v>
      </c>
      <c r="Q93">
        <v>0</v>
      </c>
      <c r="R93">
        <v>5</v>
      </c>
      <c r="S93">
        <v>4</v>
      </c>
      <c r="T93">
        <v>0</v>
      </c>
      <c r="U93">
        <v>0</v>
      </c>
      <c r="V93">
        <v>100</v>
      </c>
      <c r="W93">
        <v>0</v>
      </c>
    </row>
    <row r="94" spans="1:23" x14ac:dyDescent="0.3">
      <c r="A94">
        <v>30</v>
      </c>
      <c r="B94">
        <v>1</v>
      </c>
      <c r="C94">
        <v>2</v>
      </c>
      <c r="D94">
        <v>1</v>
      </c>
      <c r="E94" t="s">
        <v>143</v>
      </c>
      <c r="F94" t="s">
        <v>144</v>
      </c>
      <c r="G94">
        <v>269.32299999999998</v>
      </c>
      <c r="H94" t="b">
        <v>1</v>
      </c>
      <c r="I94">
        <v>6</v>
      </c>
      <c r="J94">
        <v>6</v>
      </c>
      <c r="K94">
        <v>0</v>
      </c>
      <c r="L94">
        <v>2</v>
      </c>
      <c r="M94">
        <v>2</v>
      </c>
      <c r="N94">
        <v>0</v>
      </c>
      <c r="O94">
        <v>4</v>
      </c>
      <c r="P94">
        <v>4</v>
      </c>
      <c r="Q94">
        <v>0</v>
      </c>
      <c r="R94">
        <v>4</v>
      </c>
      <c r="S94">
        <v>2</v>
      </c>
      <c r="T94">
        <v>0</v>
      </c>
      <c r="U94">
        <v>0</v>
      </c>
      <c r="V94">
        <v>100</v>
      </c>
      <c r="W94">
        <v>0</v>
      </c>
    </row>
    <row r="95" spans="1:23" x14ac:dyDescent="0.3">
      <c r="A95">
        <v>30</v>
      </c>
      <c r="B95">
        <v>1</v>
      </c>
      <c r="C95">
        <v>3</v>
      </c>
      <c r="D95">
        <v>6</v>
      </c>
      <c r="E95" t="s">
        <v>144</v>
      </c>
      <c r="F95" t="s">
        <v>145</v>
      </c>
      <c r="G95">
        <v>1126.18</v>
      </c>
      <c r="H95" t="b">
        <v>1</v>
      </c>
      <c r="I95">
        <v>28</v>
      </c>
      <c r="J95">
        <v>20</v>
      </c>
      <c r="K95">
        <v>8</v>
      </c>
      <c r="L95">
        <v>10</v>
      </c>
      <c r="M95">
        <v>10</v>
      </c>
      <c r="N95">
        <v>0</v>
      </c>
      <c r="O95">
        <v>18</v>
      </c>
      <c r="P95">
        <v>10</v>
      </c>
      <c r="Q95">
        <v>8</v>
      </c>
      <c r="R95">
        <v>14</v>
      </c>
      <c r="S95">
        <v>10</v>
      </c>
      <c r="T95">
        <v>0</v>
      </c>
      <c r="U95">
        <v>0</v>
      </c>
      <c r="V95">
        <v>71.428571428571402</v>
      </c>
      <c r="W95">
        <v>28.571428571428498</v>
      </c>
    </row>
    <row r="96" spans="1:23" x14ac:dyDescent="0.3">
      <c r="A96">
        <v>30</v>
      </c>
      <c r="B96">
        <v>3</v>
      </c>
      <c r="C96">
        <v>1</v>
      </c>
      <c r="D96">
        <v>2</v>
      </c>
      <c r="E96" t="s">
        <v>146</v>
      </c>
      <c r="F96" t="s">
        <v>147</v>
      </c>
      <c r="G96">
        <v>327.07600000000002</v>
      </c>
      <c r="H96" t="b">
        <v>1</v>
      </c>
      <c r="I96">
        <v>5</v>
      </c>
      <c r="J96">
        <v>4</v>
      </c>
      <c r="K96">
        <v>1</v>
      </c>
      <c r="L96">
        <v>3</v>
      </c>
      <c r="M96">
        <v>2</v>
      </c>
      <c r="N96">
        <v>1</v>
      </c>
      <c r="O96">
        <v>2</v>
      </c>
      <c r="P96">
        <v>2</v>
      </c>
      <c r="Q96">
        <v>0</v>
      </c>
      <c r="R96">
        <v>4</v>
      </c>
      <c r="S96">
        <v>4</v>
      </c>
      <c r="T96">
        <v>0</v>
      </c>
      <c r="U96">
        <v>0</v>
      </c>
      <c r="V96">
        <v>80</v>
      </c>
      <c r="W96">
        <v>20</v>
      </c>
    </row>
    <row r="97" spans="1:23" x14ac:dyDescent="0.3">
      <c r="A97">
        <v>30</v>
      </c>
      <c r="B97">
        <v>3</v>
      </c>
      <c r="C97">
        <v>2</v>
      </c>
      <c r="D97">
        <v>1</v>
      </c>
      <c r="E97" t="s">
        <v>147</v>
      </c>
      <c r="F97" t="s">
        <v>148</v>
      </c>
      <c r="G97">
        <v>243.67</v>
      </c>
      <c r="H97" t="b">
        <v>1</v>
      </c>
      <c r="I97">
        <v>6</v>
      </c>
      <c r="J97">
        <v>6</v>
      </c>
      <c r="K97">
        <v>0</v>
      </c>
      <c r="L97">
        <v>2</v>
      </c>
      <c r="M97">
        <v>2</v>
      </c>
      <c r="N97">
        <v>0</v>
      </c>
      <c r="O97">
        <v>4</v>
      </c>
      <c r="P97">
        <v>4</v>
      </c>
      <c r="Q97">
        <v>0</v>
      </c>
      <c r="R97">
        <v>4</v>
      </c>
      <c r="S97">
        <v>4</v>
      </c>
      <c r="T97">
        <v>0</v>
      </c>
      <c r="U97">
        <v>0</v>
      </c>
      <c r="V97">
        <v>100</v>
      </c>
      <c r="W97">
        <v>0</v>
      </c>
    </row>
    <row r="98" spans="1:23" x14ac:dyDescent="0.3">
      <c r="A98">
        <v>30</v>
      </c>
      <c r="B98">
        <v>3</v>
      </c>
      <c r="C98">
        <v>3</v>
      </c>
      <c r="D98">
        <v>7</v>
      </c>
      <c r="E98" t="s">
        <v>148</v>
      </c>
      <c r="F98" t="s">
        <v>149</v>
      </c>
      <c r="G98">
        <v>1501.88</v>
      </c>
      <c r="H98" t="b">
        <v>1</v>
      </c>
      <c r="I98">
        <v>40</v>
      </c>
      <c r="J98">
        <v>29</v>
      </c>
      <c r="K98">
        <v>11</v>
      </c>
      <c r="L98">
        <v>14</v>
      </c>
      <c r="M98">
        <v>13</v>
      </c>
      <c r="N98">
        <v>1</v>
      </c>
      <c r="O98">
        <v>26</v>
      </c>
      <c r="P98">
        <v>16</v>
      </c>
      <c r="Q98">
        <v>10</v>
      </c>
      <c r="R98">
        <v>19</v>
      </c>
      <c r="S98">
        <v>15</v>
      </c>
      <c r="T98">
        <v>1</v>
      </c>
      <c r="U98">
        <v>2</v>
      </c>
      <c r="V98">
        <v>72.5</v>
      </c>
      <c r="W98">
        <v>27.5</v>
      </c>
    </row>
    <row r="99" spans="1:23" x14ac:dyDescent="0.3">
      <c r="A99">
        <v>30</v>
      </c>
      <c r="B99">
        <v>3</v>
      </c>
      <c r="C99">
        <v>1</v>
      </c>
      <c r="D99">
        <v>1</v>
      </c>
      <c r="E99" t="s">
        <v>149</v>
      </c>
      <c r="F99" t="s">
        <v>150</v>
      </c>
      <c r="G99">
        <v>103.145</v>
      </c>
      <c r="H99" t="b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 t="s">
        <v>342</v>
      </c>
      <c r="W99" t="s">
        <v>342</v>
      </c>
    </row>
    <row r="100" spans="1:23" x14ac:dyDescent="0.3">
      <c r="A100">
        <v>30</v>
      </c>
      <c r="B100">
        <v>3</v>
      </c>
      <c r="C100">
        <v>3</v>
      </c>
      <c r="D100">
        <v>2</v>
      </c>
      <c r="E100" t="s">
        <v>150</v>
      </c>
      <c r="F100" t="s">
        <v>151</v>
      </c>
      <c r="G100">
        <v>307.60000000000002</v>
      </c>
      <c r="H100" t="b">
        <v>0</v>
      </c>
      <c r="I100">
        <v>5</v>
      </c>
      <c r="J100">
        <v>4</v>
      </c>
      <c r="K100">
        <v>1</v>
      </c>
      <c r="L100">
        <v>3</v>
      </c>
      <c r="M100">
        <v>3</v>
      </c>
      <c r="N100">
        <v>0</v>
      </c>
      <c r="O100">
        <v>2</v>
      </c>
      <c r="P100">
        <v>1</v>
      </c>
      <c r="Q100">
        <v>1</v>
      </c>
      <c r="R100">
        <v>4</v>
      </c>
      <c r="S100">
        <v>3</v>
      </c>
      <c r="T100">
        <v>0</v>
      </c>
      <c r="U100">
        <v>0</v>
      </c>
      <c r="V100">
        <v>80</v>
      </c>
      <c r="W100">
        <v>20</v>
      </c>
    </row>
    <row r="101" spans="1:23" x14ac:dyDescent="0.3">
      <c r="A101">
        <v>31</v>
      </c>
      <c r="B101">
        <v>1</v>
      </c>
      <c r="C101">
        <v>1</v>
      </c>
      <c r="D101">
        <v>4</v>
      </c>
      <c r="E101" t="s">
        <v>152</v>
      </c>
      <c r="F101" t="s">
        <v>153</v>
      </c>
      <c r="G101">
        <v>626.35299999999995</v>
      </c>
      <c r="H101" t="b">
        <v>0</v>
      </c>
      <c r="I101">
        <v>4</v>
      </c>
      <c r="J101">
        <v>4</v>
      </c>
      <c r="K101">
        <v>0</v>
      </c>
      <c r="L101">
        <v>2</v>
      </c>
      <c r="M101">
        <v>2</v>
      </c>
      <c r="N101">
        <v>0</v>
      </c>
      <c r="O101">
        <v>2</v>
      </c>
      <c r="P101">
        <v>2</v>
      </c>
      <c r="Q101">
        <v>0</v>
      </c>
      <c r="R101">
        <v>6</v>
      </c>
      <c r="S101">
        <v>3</v>
      </c>
      <c r="T101">
        <v>0</v>
      </c>
      <c r="U101">
        <v>0</v>
      </c>
      <c r="V101">
        <v>100</v>
      </c>
      <c r="W101">
        <v>0</v>
      </c>
    </row>
    <row r="102" spans="1:23" x14ac:dyDescent="0.3">
      <c r="A102">
        <v>31</v>
      </c>
      <c r="B102">
        <v>1</v>
      </c>
      <c r="C102">
        <v>2</v>
      </c>
      <c r="D102">
        <v>7</v>
      </c>
      <c r="E102" t="s">
        <v>153</v>
      </c>
      <c r="F102" t="s">
        <v>154</v>
      </c>
      <c r="G102">
        <v>1181.2190000000001</v>
      </c>
      <c r="H102" t="b">
        <v>0</v>
      </c>
      <c r="I102">
        <v>9</v>
      </c>
      <c r="J102">
        <v>8</v>
      </c>
      <c r="K102">
        <v>1</v>
      </c>
      <c r="L102">
        <v>5</v>
      </c>
      <c r="M102">
        <v>5</v>
      </c>
      <c r="N102">
        <v>0</v>
      </c>
      <c r="O102">
        <v>4</v>
      </c>
      <c r="P102">
        <v>3</v>
      </c>
      <c r="Q102">
        <v>1</v>
      </c>
      <c r="R102">
        <v>16</v>
      </c>
      <c r="S102">
        <v>8</v>
      </c>
      <c r="T102">
        <v>3</v>
      </c>
      <c r="U102">
        <v>3</v>
      </c>
      <c r="V102">
        <v>88.8888888888888</v>
      </c>
      <c r="W102">
        <v>11.1111111111111</v>
      </c>
    </row>
    <row r="103" spans="1:23" x14ac:dyDescent="0.3">
      <c r="A103">
        <v>31</v>
      </c>
      <c r="B103">
        <v>3</v>
      </c>
      <c r="C103">
        <v>1</v>
      </c>
      <c r="D103">
        <v>2</v>
      </c>
      <c r="E103" t="s">
        <v>155</v>
      </c>
      <c r="F103" t="s">
        <v>156</v>
      </c>
      <c r="G103">
        <v>349.72500000000002</v>
      </c>
      <c r="H103" t="b">
        <v>0</v>
      </c>
      <c r="I103">
        <v>5</v>
      </c>
      <c r="J103">
        <v>5</v>
      </c>
      <c r="K103">
        <v>0</v>
      </c>
      <c r="L103">
        <v>3</v>
      </c>
      <c r="M103">
        <v>3</v>
      </c>
      <c r="N103">
        <v>0</v>
      </c>
      <c r="O103">
        <v>2</v>
      </c>
      <c r="P103">
        <v>2</v>
      </c>
      <c r="Q103">
        <v>0</v>
      </c>
      <c r="R103">
        <v>8</v>
      </c>
      <c r="S103">
        <v>7</v>
      </c>
      <c r="T103">
        <v>0</v>
      </c>
      <c r="U103">
        <v>0</v>
      </c>
      <c r="V103">
        <v>100</v>
      </c>
      <c r="W103">
        <v>0</v>
      </c>
    </row>
    <row r="104" spans="1:23" x14ac:dyDescent="0.3">
      <c r="A104">
        <v>31</v>
      </c>
      <c r="B104">
        <v>3</v>
      </c>
      <c r="C104">
        <v>2</v>
      </c>
      <c r="D104">
        <v>21</v>
      </c>
      <c r="E104" t="s">
        <v>156</v>
      </c>
      <c r="F104" t="s">
        <v>157</v>
      </c>
      <c r="G104">
        <v>2901.125</v>
      </c>
      <c r="H104" t="b">
        <v>0</v>
      </c>
      <c r="I104">
        <v>32</v>
      </c>
      <c r="J104">
        <v>26</v>
      </c>
      <c r="K104">
        <v>6</v>
      </c>
      <c r="L104">
        <v>17</v>
      </c>
      <c r="M104">
        <v>17</v>
      </c>
      <c r="N104">
        <v>0</v>
      </c>
      <c r="O104">
        <v>15</v>
      </c>
      <c r="P104">
        <v>9</v>
      </c>
      <c r="Q104">
        <v>6</v>
      </c>
      <c r="R104">
        <v>52</v>
      </c>
      <c r="S104">
        <v>29</v>
      </c>
      <c r="T104">
        <v>3</v>
      </c>
      <c r="U104">
        <v>3</v>
      </c>
      <c r="V104">
        <v>81.25</v>
      </c>
      <c r="W104">
        <v>18.75</v>
      </c>
    </row>
    <row r="105" spans="1:23" x14ac:dyDescent="0.3">
      <c r="A105">
        <v>32</v>
      </c>
      <c r="B105">
        <v>1</v>
      </c>
      <c r="C105">
        <v>1</v>
      </c>
      <c r="D105">
        <v>10</v>
      </c>
      <c r="E105" t="s">
        <v>158</v>
      </c>
      <c r="F105" t="s">
        <v>159</v>
      </c>
      <c r="G105">
        <v>1370.597</v>
      </c>
      <c r="H105" t="b">
        <v>1</v>
      </c>
      <c r="I105">
        <v>26</v>
      </c>
      <c r="J105">
        <v>24</v>
      </c>
      <c r="K105">
        <v>2</v>
      </c>
      <c r="L105">
        <v>15</v>
      </c>
      <c r="M105">
        <v>14</v>
      </c>
      <c r="N105">
        <v>1</v>
      </c>
      <c r="O105">
        <v>11</v>
      </c>
      <c r="P105">
        <v>10</v>
      </c>
      <c r="Q105">
        <v>1</v>
      </c>
      <c r="R105">
        <v>19</v>
      </c>
      <c r="S105">
        <v>13</v>
      </c>
      <c r="T105">
        <v>0</v>
      </c>
      <c r="U105">
        <v>0</v>
      </c>
      <c r="V105">
        <v>92.307692307692307</v>
      </c>
      <c r="W105">
        <v>7.6923076923076898</v>
      </c>
    </row>
    <row r="106" spans="1:23" x14ac:dyDescent="0.3">
      <c r="A106">
        <v>32</v>
      </c>
      <c r="B106">
        <v>1</v>
      </c>
      <c r="C106">
        <v>2</v>
      </c>
      <c r="D106">
        <v>4</v>
      </c>
      <c r="E106" t="s">
        <v>159</v>
      </c>
      <c r="F106" t="s">
        <v>160</v>
      </c>
      <c r="G106">
        <v>561.39200000000005</v>
      </c>
      <c r="H106" t="b">
        <v>1</v>
      </c>
      <c r="I106">
        <v>15</v>
      </c>
      <c r="J106">
        <v>13</v>
      </c>
      <c r="K106">
        <v>2</v>
      </c>
      <c r="L106">
        <v>8</v>
      </c>
      <c r="M106">
        <v>8</v>
      </c>
      <c r="N106">
        <v>0</v>
      </c>
      <c r="O106">
        <v>7</v>
      </c>
      <c r="P106">
        <v>5</v>
      </c>
      <c r="Q106">
        <v>2</v>
      </c>
      <c r="R106">
        <v>12</v>
      </c>
      <c r="S106">
        <v>5</v>
      </c>
      <c r="T106">
        <v>1</v>
      </c>
      <c r="U106">
        <v>1</v>
      </c>
      <c r="V106">
        <v>86.6666666666666</v>
      </c>
      <c r="W106">
        <v>13.3333333333333</v>
      </c>
    </row>
    <row r="107" spans="1:23" x14ac:dyDescent="0.3">
      <c r="A107">
        <v>32</v>
      </c>
      <c r="B107">
        <v>3</v>
      </c>
      <c r="C107">
        <v>1</v>
      </c>
      <c r="D107">
        <v>2</v>
      </c>
      <c r="E107" t="s">
        <v>161</v>
      </c>
      <c r="F107" t="s">
        <v>162</v>
      </c>
      <c r="G107">
        <v>346.435</v>
      </c>
      <c r="H107" t="b">
        <v>1</v>
      </c>
      <c r="I107">
        <v>8</v>
      </c>
      <c r="J107">
        <v>8</v>
      </c>
      <c r="K107">
        <v>0</v>
      </c>
      <c r="L107">
        <v>4</v>
      </c>
      <c r="M107">
        <v>4</v>
      </c>
      <c r="N107">
        <v>0</v>
      </c>
      <c r="O107">
        <v>4</v>
      </c>
      <c r="P107">
        <v>4</v>
      </c>
      <c r="Q107">
        <v>0</v>
      </c>
      <c r="R107">
        <v>6</v>
      </c>
      <c r="S107">
        <v>4</v>
      </c>
      <c r="T107">
        <v>0</v>
      </c>
      <c r="U107">
        <v>0</v>
      </c>
      <c r="V107">
        <v>100</v>
      </c>
      <c r="W107">
        <v>0</v>
      </c>
    </row>
    <row r="108" spans="1:23" x14ac:dyDescent="0.3">
      <c r="A108">
        <v>32</v>
      </c>
      <c r="B108">
        <v>3</v>
      </c>
      <c r="C108">
        <v>2</v>
      </c>
      <c r="D108">
        <v>2</v>
      </c>
      <c r="E108" t="s">
        <v>162</v>
      </c>
      <c r="F108" t="s">
        <v>163</v>
      </c>
      <c r="G108">
        <v>318.33100000000002</v>
      </c>
      <c r="H108" t="b">
        <v>1</v>
      </c>
      <c r="I108">
        <v>8</v>
      </c>
      <c r="J108">
        <v>6</v>
      </c>
      <c r="K108">
        <v>2</v>
      </c>
      <c r="L108">
        <v>4</v>
      </c>
      <c r="M108">
        <v>3</v>
      </c>
      <c r="N108">
        <v>1</v>
      </c>
      <c r="O108">
        <v>4</v>
      </c>
      <c r="P108">
        <v>3</v>
      </c>
      <c r="Q108">
        <v>1</v>
      </c>
      <c r="R108">
        <v>5</v>
      </c>
      <c r="S108">
        <v>3</v>
      </c>
      <c r="T108">
        <v>0</v>
      </c>
      <c r="U108">
        <v>0</v>
      </c>
      <c r="V108">
        <v>75</v>
      </c>
      <c r="W108">
        <v>25</v>
      </c>
    </row>
    <row r="109" spans="1:23" x14ac:dyDescent="0.3">
      <c r="A109">
        <v>32</v>
      </c>
      <c r="B109">
        <v>3</v>
      </c>
      <c r="C109">
        <v>3</v>
      </c>
      <c r="D109">
        <v>1</v>
      </c>
      <c r="E109" t="s">
        <v>163</v>
      </c>
      <c r="F109" t="s">
        <v>164</v>
      </c>
      <c r="G109">
        <v>116.30200000000001</v>
      </c>
      <c r="H109" t="b">
        <v>1</v>
      </c>
      <c r="I109">
        <v>5</v>
      </c>
      <c r="J109">
        <v>5</v>
      </c>
      <c r="K109">
        <v>0</v>
      </c>
      <c r="L109">
        <v>2</v>
      </c>
      <c r="M109">
        <v>2</v>
      </c>
      <c r="N109">
        <v>0</v>
      </c>
      <c r="O109">
        <v>3</v>
      </c>
      <c r="P109">
        <v>3</v>
      </c>
      <c r="Q109">
        <v>0</v>
      </c>
      <c r="R109">
        <v>4</v>
      </c>
      <c r="S109">
        <v>3</v>
      </c>
      <c r="T109">
        <v>0</v>
      </c>
      <c r="U109">
        <v>0</v>
      </c>
      <c r="V109">
        <v>100</v>
      </c>
      <c r="W109">
        <v>0</v>
      </c>
    </row>
    <row r="110" spans="1:23" x14ac:dyDescent="0.3">
      <c r="A110">
        <v>33</v>
      </c>
      <c r="B110">
        <v>1</v>
      </c>
      <c r="C110">
        <v>1</v>
      </c>
      <c r="D110">
        <v>6</v>
      </c>
      <c r="E110" t="s">
        <v>165</v>
      </c>
      <c r="F110" t="s">
        <v>166</v>
      </c>
      <c r="G110">
        <v>1462.615</v>
      </c>
      <c r="H110" t="b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</v>
      </c>
      <c r="S110">
        <v>5</v>
      </c>
      <c r="T110">
        <v>0</v>
      </c>
      <c r="U110">
        <v>0</v>
      </c>
      <c r="V110" t="s">
        <v>342</v>
      </c>
      <c r="W110" t="s">
        <v>342</v>
      </c>
    </row>
    <row r="111" spans="1:23" x14ac:dyDescent="0.3">
      <c r="A111">
        <v>34</v>
      </c>
      <c r="B111">
        <v>1</v>
      </c>
      <c r="C111">
        <v>1</v>
      </c>
      <c r="D111">
        <v>2</v>
      </c>
      <c r="E111" t="s">
        <v>167</v>
      </c>
      <c r="F111" t="s">
        <v>168</v>
      </c>
      <c r="G111">
        <v>254.846</v>
      </c>
      <c r="H111" t="b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1</v>
      </c>
      <c r="T111">
        <v>0</v>
      </c>
      <c r="U111">
        <v>0</v>
      </c>
      <c r="V111" t="s">
        <v>342</v>
      </c>
      <c r="W111" t="s">
        <v>342</v>
      </c>
    </row>
    <row r="112" spans="1:23" x14ac:dyDescent="0.3">
      <c r="A112">
        <v>34</v>
      </c>
      <c r="B112">
        <v>1</v>
      </c>
      <c r="C112">
        <v>2</v>
      </c>
      <c r="D112">
        <v>9</v>
      </c>
      <c r="E112" t="s">
        <v>168</v>
      </c>
      <c r="F112" t="s">
        <v>169</v>
      </c>
      <c r="G112">
        <v>924.37099999999998</v>
      </c>
      <c r="H112" t="b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10</v>
      </c>
      <c r="S112">
        <v>5</v>
      </c>
      <c r="T112">
        <v>0</v>
      </c>
      <c r="U112">
        <v>0</v>
      </c>
      <c r="V112" t="s">
        <v>342</v>
      </c>
      <c r="W112" t="s">
        <v>342</v>
      </c>
    </row>
    <row r="113" spans="1:23" x14ac:dyDescent="0.3">
      <c r="A113">
        <v>34</v>
      </c>
      <c r="B113">
        <v>1</v>
      </c>
      <c r="C113">
        <v>3</v>
      </c>
      <c r="D113">
        <v>3</v>
      </c>
      <c r="E113" t="s">
        <v>169</v>
      </c>
      <c r="F113" t="s">
        <v>170</v>
      </c>
      <c r="G113">
        <v>88.405000000000001</v>
      </c>
      <c r="H113" t="b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 t="s">
        <v>342</v>
      </c>
      <c r="W113" t="s">
        <v>342</v>
      </c>
    </row>
    <row r="114" spans="1:23" x14ac:dyDescent="0.3">
      <c r="A114">
        <v>35</v>
      </c>
      <c r="B114">
        <v>1</v>
      </c>
      <c r="C114">
        <v>1</v>
      </c>
      <c r="D114">
        <v>1</v>
      </c>
      <c r="E114" t="s">
        <v>171</v>
      </c>
      <c r="F114" t="s">
        <v>172</v>
      </c>
      <c r="G114">
        <v>245.28100000000001</v>
      </c>
      <c r="H114" t="b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 t="s">
        <v>342</v>
      </c>
      <c r="W114" t="s">
        <v>342</v>
      </c>
    </row>
    <row r="115" spans="1:23" x14ac:dyDescent="0.3">
      <c r="A115">
        <v>35</v>
      </c>
      <c r="B115">
        <v>1</v>
      </c>
      <c r="C115">
        <v>2</v>
      </c>
      <c r="D115">
        <v>1</v>
      </c>
      <c r="E115" t="s">
        <v>172</v>
      </c>
      <c r="F115" t="s">
        <v>173</v>
      </c>
      <c r="G115">
        <v>234.22200000000001</v>
      </c>
      <c r="H115" t="b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2</v>
      </c>
      <c r="T115">
        <v>0</v>
      </c>
      <c r="U115">
        <v>0</v>
      </c>
      <c r="V115" t="s">
        <v>342</v>
      </c>
      <c r="W115" t="s">
        <v>342</v>
      </c>
    </row>
    <row r="116" spans="1:23" x14ac:dyDescent="0.3">
      <c r="A116">
        <v>35</v>
      </c>
      <c r="B116">
        <v>1</v>
      </c>
      <c r="C116">
        <v>3</v>
      </c>
      <c r="D116">
        <v>2</v>
      </c>
      <c r="E116" t="s">
        <v>173</v>
      </c>
      <c r="F116" t="s">
        <v>174</v>
      </c>
      <c r="G116">
        <v>217.36199999999999</v>
      </c>
      <c r="H116" t="b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 t="s">
        <v>342</v>
      </c>
      <c r="W116" t="s">
        <v>342</v>
      </c>
    </row>
    <row r="117" spans="1:23" x14ac:dyDescent="0.3">
      <c r="A117">
        <v>35</v>
      </c>
      <c r="B117">
        <v>1</v>
      </c>
      <c r="C117">
        <v>2</v>
      </c>
      <c r="D117">
        <v>6</v>
      </c>
      <c r="E117" t="s">
        <v>174</v>
      </c>
      <c r="F117" t="s">
        <v>175</v>
      </c>
      <c r="G117">
        <v>1188.2809999999999</v>
      </c>
      <c r="H117" t="b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10</v>
      </c>
      <c r="S117">
        <v>2</v>
      </c>
      <c r="T117">
        <v>4</v>
      </c>
      <c r="U117">
        <v>4</v>
      </c>
      <c r="V117" t="s">
        <v>342</v>
      </c>
      <c r="W117" t="s">
        <v>342</v>
      </c>
    </row>
    <row r="118" spans="1:23" x14ac:dyDescent="0.3">
      <c r="A118">
        <v>35</v>
      </c>
      <c r="B118">
        <v>3</v>
      </c>
      <c r="C118">
        <v>1</v>
      </c>
      <c r="D118">
        <v>5</v>
      </c>
      <c r="E118" t="s">
        <v>176</v>
      </c>
      <c r="F118" t="s">
        <v>177</v>
      </c>
      <c r="G118">
        <v>974.44600000000003</v>
      </c>
      <c r="H118" t="b">
        <v>0</v>
      </c>
      <c r="I118">
        <v>5</v>
      </c>
      <c r="J118">
        <v>4</v>
      </c>
      <c r="K118">
        <v>1</v>
      </c>
      <c r="L118">
        <v>2</v>
      </c>
      <c r="M118">
        <v>1</v>
      </c>
      <c r="N118">
        <v>1</v>
      </c>
      <c r="O118">
        <v>3</v>
      </c>
      <c r="P118">
        <v>3</v>
      </c>
      <c r="Q118">
        <v>0</v>
      </c>
      <c r="R118">
        <v>8</v>
      </c>
      <c r="S118">
        <v>4</v>
      </c>
      <c r="T118">
        <v>0</v>
      </c>
      <c r="U118">
        <v>0</v>
      </c>
      <c r="V118">
        <v>80</v>
      </c>
      <c r="W118">
        <v>20</v>
      </c>
    </row>
    <row r="119" spans="1:23" x14ac:dyDescent="0.3">
      <c r="A119">
        <v>35</v>
      </c>
      <c r="B119">
        <v>3</v>
      </c>
      <c r="C119">
        <v>2</v>
      </c>
      <c r="D119">
        <v>4</v>
      </c>
      <c r="E119" t="s">
        <v>177</v>
      </c>
      <c r="F119" t="s">
        <v>178</v>
      </c>
      <c r="G119">
        <v>934.26599999999996</v>
      </c>
      <c r="H119" t="b">
        <v>0</v>
      </c>
      <c r="I119">
        <v>9</v>
      </c>
      <c r="J119">
        <v>8</v>
      </c>
      <c r="K119">
        <v>1</v>
      </c>
      <c r="L119">
        <v>4</v>
      </c>
      <c r="M119">
        <v>4</v>
      </c>
      <c r="N119">
        <v>0</v>
      </c>
      <c r="O119">
        <v>5</v>
      </c>
      <c r="P119">
        <v>4</v>
      </c>
      <c r="Q119">
        <v>1</v>
      </c>
      <c r="R119">
        <v>12</v>
      </c>
      <c r="S119">
        <v>5</v>
      </c>
      <c r="T119">
        <v>1</v>
      </c>
      <c r="U119">
        <v>1</v>
      </c>
      <c r="V119">
        <v>88.8888888888888</v>
      </c>
      <c r="W119">
        <v>11.1111111111111</v>
      </c>
    </row>
    <row r="120" spans="1:23" x14ac:dyDescent="0.3">
      <c r="A120">
        <v>35</v>
      </c>
      <c r="B120">
        <v>3</v>
      </c>
      <c r="C120">
        <v>3</v>
      </c>
      <c r="D120">
        <v>3</v>
      </c>
      <c r="E120" t="s">
        <v>178</v>
      </c>
      <c r="F120" t="s">
        <v>179</v>
      </c>
      <c r="G120">
        <v>519.375</v>
      </c>
      <c r="H120" t="b">
        <v>0</v>
      </c>
      <c r="I120">
        <v>7</v>
      </c>
      <c r="J120">
        <v>5</v>
      </c>
      <c r="K120">
        <v>2</v>
      </c>
      <c r="L120">
        <v>4</v>
      </c>
      <c r="M120">
        <v>4</v>
      </c>
      <c r="N120">
        <v>0</v>
      </c>
      <c r="O120">
        <v>3</v>
      </c>
      <c r="P120">
        <v>1</v>
      </c>
      <c r="Q120">
        <v>2</v>
      </c>
      <c r="R120">
        <v>6</v>
      </c>
      <c r="S120">
        <v>3</v>
      </c>
      <c r="T120">
        <v>0</v>
      </c>
      <c r="U120">
        <v>0</v>
      </c>
      <c r="V120">
        <v>71.428571428571402</v>
      </c>
      <c r="W120">
        <v>28.571428571428498</v>
      </c>
    </row>
    <row r="121" spans="1:23" x14ac:dyDescent="0.3">
      <c r="A121">
        <v>35</v>
      </c>
      <c r="B121">
        <v>3</v>
      </c>
      <c r="C121">
        <v>1</v>
      </c>
      <c r="D121">
        <v>1</v>
      </c>
      <c r="E121" t="s">
        <v>179</v>
      </c>
      <c r="F121" t="s">
        <v>180</v>
      </c>
      <c r="G121">
        <v>287.03899999999999</v>
      </c>
      <c r="H121" t="b">
        <v>0</v>
      </c>
      <c r="I121">
        <v>4</v>
      </c>
      <c r="J121">
        <v>3</v>
      </c>
      <c r="K121">
        <v>1</v>
      </c>
      <c r="L121">
        <v>2</v>
      </c>
      <c r="M121">
        <v>2</v>
      </c>
      <c r="N121">
        <v>0</v>
      </c>
      <c r="O121">
        <v>2</v>
      </c>
      <c r="P121">
        <v>1</v>
      </c>
      <c r="Q121">
        <v>1</v>
      </c>
      <c r="R121">
        <v>2</v>
      </c>
      <c r="S121">
        <v>1</v>
      </c>
      <c r="T121">
        <v>1</v>
      </c>
      <c r="U121">
        <v>1</v>
      </c>
      <c r="V121">
        <v>75</v>
      </c>
      <c r="W121">
        <v>25</v>
      </c>
    </row>
    <row r="122" spans="1:23" x14ac:dyDescent="0.3">
      <c r="A122">
        <v>35</v>
      </c>
      <c r="B122">
        <v>3</v>
      </c>
      <c r="C122">
        <v>2</v>
      </c>
      <c r="D122">
        <v>1</v>
      </c>
      <c r="E122" t="s">
        <v>180</v>
      </c>
      <c r="F122" t="s">
        <v>181</v>
      </c>
      <c r="G122">
        <v>254.63399999999999</v>
      </c>
      <c r="H122" t="b">
        <v>0</v>
      </c>
      <c r="I122">
        <v>3</v>
      </c>
      <c r="J122">
        <v>3</v>
      </c>
      <c r="K122">
        <v>0</v>
      </c>
      <c r="L122">
        <v>2</v>
      </c>
      <c r="M122">
        <v>2</v>
      </c>
      <c r="N122">
        <v>0</v>
      </c>
      <c r="O122">
        <v>1</v>
      </c>
      <c r="P122">
        <v>1</v>
      </c>
      <c r="Q122">
        <v>0</v>
      </c>
      <c r="R122">
        <v>4</v>
      </c>
      <c r="S122">
        <v>2</v>
      </c>
      <c r="T122">
        <v>0</v>
      </c>
      <c r="U122">
        <v>0</v>
      </c>
      <c r="V122">
        <v>100</v>
      </c>
      <c r="W122">
        <v>0</v>
      </c>
    </row>
    <row r="123" spans="1:23" x14ac:dyDescent="0.3">
      <c r="A123">
        <v>35</v>
      </c>
      <c r="B123">
        <v>3</v>
      </c>
      <c r="C123">
        <v>1</v>
      </c>
      <c r="D123">
        <v>1</v>
      </c>
      <c r="E123" t="s">
        <v>181</v>
      </c>
      <c r="F123" t="s">
        <v>182</v>
      </c>
      <c r="G123">
        <v>151.352</v>
      </c>
      <c r="H123" t="b">
        <v>0</v>
      </c>
      <c r="I123">
        <v>3</v>
      </c>
      <c r="J123">
        <v>3</v>
      </c>
      <c r="K123">
        <v>0</v>
      </c>
      <c r="L123">
        <v>2</v>
      </c>
      <c r="M123">
        <v>2</v>
      </c>
      <c r="N123">
        <v>0</v>
      </c>
      <c r="O123">
        <v>1</v>
      </c>
      <c r="P123">
        <v>1</v>
      </c>
      <c r="Q123">
        <v>0</v>
      </c>
      <c r="R123">
        <v>4</v>
      </c>
      <c r="S123">
        <v>3</v>
      </c>
      <c r="T123">
        <v>0</v>
      </c>
      <c r="U123">
        <v>0</v>
      </c>
      <c r="V123">
        <v>100</v>
      </c>
      <c r="W123">
        <v>0</v>
      </c>
    </row>
    <row r="124" spans="1:23" x14ac:dyDescent="0.3">
      <c r="A124">
        <v>37</v>
      </c>
      <c r="B124">
        <v>1</v>
      </c>
      <c r="C124">
        <v>1</v>
      </c>
      <c r="D124">
        <v>4</v>
      </c>
      <c r="E124" t="s">
        <v>183</v>
      </c>
      <c r="F124" t="s">
        <v>184</v>
      </c>
      <c r="G124">
        <v>802.04100000000005</v>
      </c>
      <c r="H124" t="b">
        <v>0</v>
      </c>
      <c r="I124">
        <v>6</v>
      </c>
      <c r="J124">
        <v>6</v>
      </c>
      <c r="K124">
        <v>0</v>
      </c>
      <c r="L124">
        <v>2</v>
      </c>
      <c r="M124">
        <v>2</v>
      </c>
      <c r="N124">
        <v>0</v>
      </c>
      <c r="O124">
        <v>4</v>
      </c>
      <c r="P124">
        <v>4</v>
      </c>
      <c r="Q124">
        <v>0</v>
      </c>
      <c r="R124">
        <v>9</v>
      </c>
      <c r="S124">
        <v>5</v>
      </c>
      <c r="T124">
        <v>0</v>
      </c>
      <c r="U124">
        <v>0</v>
      </c>
      <c r="V124">
        <v>100</v>
      </c>
      <c r="W124">
        <v>0</v>
      </c>
    </row>
    <row r="125" spans="1:23" x14ac:dyDescent="0.3">
      <c r="A125">
        <v>37</v>
      </c>
      <c r="B125">
        <v>1</v>
      </c>
      <c r="C125">
        <v>2</v>
      </c>
      <c r="D125">
        <v>1</v>
      </c>
      <c r="E125" t="s">
        <v>184</v>
      </c>
      <c r="F125" t="s">
        <v>185</v>
      </c>
      <c r="G125">
        <v>255.15600000000001</v>
      </c>
      <c r="H125" t="b">
        <v>0</v>
      </c>
      <c r="I125">
        <v>3</v>
      </c>
      <c r="J125">
        <v>2</v>
      </c>
      <c r="K125">
        <v>1</v>
      </c>
      <c r="L125">
        <v>2</v>
      </c>
      <c r="M125">
        <v>2</v>
      </c>
      <c r="N125">
        <v>0</v>
      </c>
      <c r="O125">
        <v>1</v>
      </c>
      <c r="P125">
        <v>0</v>
      </c>
      <c r="Q125">
        <v>1</v>
      </c>
      <c r="R125">
        <v>4</v>
      </c>
      <c r="S125">
        <v>2</v>
      </c>
      <c r="T125">
        <v>0</v>
      </c>
      <c r="U125">
        <v>0</v>
      </c>
      <c r="V125">
        <v>66.6666666666666</v>
      </c>
      <c r="W125">
        <v>33.3333333333333</v>
      </c>
    </row>
    <row r="126" spans="1:23" x14ac:dyDescent="0.3">
      <c r="A126">
        <v>37</v>
      </c>
      <c r="B126">
        <v>1</v>
      </c>
      <c r="C126">
        <v>3</v>
      </c>
      <c r="D126">
        <v>1</v>
      </c>
      <c r="E126" t="s">
        <v>185</v>
      </c>
      <c r="F126" t="s">
        <v>186</v>
      </c>
      <c r="G126">
        <v>157.999</v>
      </c>
      <c r="H126" t="b">
        <v>0</v>
      </c>
      <c r="I126">
        <v>4</v>
      </c>
      <c r="J126">
        <v>4</v>
      </c>
      <c r="K126">
        <v>0</v>
      </c>
      <c r="L126">
        <v>2</v>
      </c>
      <c r="M126">
        <v>2</v>
      </c>
      <c r="N126">
        <v>0</v>
      </c>
      <c r="O126">
        <v>2</v>
      </c>
      <c r="P126">
        <v>2</v>
      </c>
      <c r="Q126">
        <v>0</v>
      </c>
      <c r="R126">
        <v>4</v>
      </c>
      <c r="S126">
        <v>3</v>
      </c>
      <c r="T126">
        <v>0</v>
      </c>
      <c r="U126">
        <v>0</v>
      </c>
      <c r="V126">
        <v>100</v>
      </c>
      <c r="W126">
        <v>0</v>
      </c>
    </row>
    <row r="127" spans="1:23" x14ac:dyDescent="0.3">
      <c r="A127">
        <v>37</v>
      </c>
      <c r="B127">
        <v>1</v>
      </c>
      <c r="C127">
        <v>2</v>
      </c>
      <c r="D127">
        <v>2</v>
      </c>
      <c r="E127" t="s">
        <v>186</v>
      </c>
      <c r="F127" t="s">
        <v>187</v>
      </c>
      <c r="G127">
        <v>410.64400000000001</v>
      </c>
      <c r="H127" t="b">
        <v>1</v>
      </c>
      <c r="I127">
        <v>6</v>
      </c>
      <c r="J127">
        <v>4</v>
      </c>
      <c r="K127">
        <v>2</v>
      </c>
      <c r="L127">
        <v>4</v>
      </c>
      <c r="M127">
        <v>3</v>
      </c>
      <c r="N127">
        <v>1</v>
      </c>
      <c r="O127">
        <v>2</v>
      </c>
      <c r="P127">
        <v>1</v>
      </c>
      <c r="Q127">
        <v>1</v>
      </c>
      <c r="R127">
        <v>6</v>
      </c>
      <c r="S127">
        <v>4</v>
      </c>
      <c r="T127">
        <v>0</v>
      </c>
      <c r="U127">
        <v>1</v>
      </c>
      <c r="V127">
        <v>66.6666666666666</v>
      </c>
      <c r="W127">
        <v>33.3333333333333</v>
      </c>
    </row>
    <row r="128" spans="1:23" x14ac:dyDescent="0.3">
      <c r="A128">
        <v>37</v>
      </c>
      <c r="B128">
        <v>1</v>
      </c>
      <c r="C128">
        <v>3</v>
      </c>
      <c r="D128">
        <v>1</v>
      </c>
      <c r="E128" t="s">
        <v>187</v>
      </c>
      <c r="F128" t="s">
        <v>188</v>
      </c>
      <c r="G128">
        <v>195.59299999999999</v>
      </c>
      <c r="H128" t="b">
        <v>0</v>
      </c>
      <c r="I128">
        <v>5</v>
      </c>
      <c r="J128">
        <v>3</v>
      </c>
      <c r="K128">
        <v>2</v>
      </c>
      <c r="L128">
        <v>3</v>
      </c>
      <c r="M128">
        <v>3</v>
      </c>
      <c r="N128">
        <v>0</v>
      </c>
      <c r="O128">
        <v>2</v>
      </c>
      <c r="P128">
        <v>0</v>
      </c>
      <c r="Q128">
        <v>2</v>
      </c>
      <c r="R128">
        <v>4</v>
      </c>
      <c r="S128">
        <v>4</v>
      </c>
      <c r="T128">
        <v>0</v>
      </c>
      <c r="U128">
        <v>0</v>
      </c>
      <c r="V128">
        <v>60</v>
      </c>
      <c r="W128">
        <v>40</v>
      </c>
    </row>
    <row r="129" spans="1:23" x14ac:dyDescent="0.3">
      <c r="A129">
        <v>37</v>
      </c>
      <c r="B129">
        <v>1</v>
      </c>
      <c r="C129">
        <v>2</v>
      </c>
      <c r="D129">
        <v>1</v>
      </c>
      <c r="E129" t="s">
        <v>188</v>
      </c>
      <c r="F129" t="s">
        <v>189</v>
      </c>
      <c r="G129">
        <v>146.059</v>
      </c>
      <c r="H129" t="b">
        <v>0</v>
      </c>
      <c r="I129">
        <v>2</v>
      </c>
      <c r="J129">
        <v>2</v>
      </c>
      <c r="K129">
        <v>0</v>
      </c>
      <c r="L129">
        <v>2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2</v>
      </c>
      <c r="T129">
        <v>0</v>
      </c>
      <c r="U129">
        <v>0</v>
      </c>
      <c r="V129">
        <v>100</v>
      </c>
      <c r="W129">
        <v>0</v>
      </c>
    </row>
    <row r="130" spans="1:23" x14ac:dyDescent="0.3">
      <c r="A130">
        <v>37</v>
      </c>
      <c r="B130">
        <v>3</v>
      </c>
      <c r="C130">
        <v>1</v>
      </c>
      <c r="D130">
        <v>2</v>
      </c>
      <c r="E130" t="s">
        <v>190</v>
      </c>
      <c r="F130" t="s">
        <v>191</v>
      </c>
      <c r="G130">
        <v>416.86200000000002</v>
      </c>
      <c r="H130" t="b">
        <v>0</v>
      </c>
      <c r="I130">
        <v>8</v>
      </c>
      <c r="J130">
        <v>7</v>
      </c>
      <c r="K130">
        <v>1</v>
      </c>
      <c r="L130">
        <v>4</v>
      </c>
      <c r="M130">
        <v>4</v>
      </c>
      <c r="N130">
        <v>0</v>
      </c>
      <c r="O130">
        <v>4</v>
      </c>
      <c r="P130">
        <v>3</v>
      </c>
      <c r="Q130">
        <v>1</v>
      </c>
      <c r="R130">
        <v>2</v>
      </c>
      <c r="S130">
        <v>0</v>
      </c>
      <c r="T130">
        <v>0</v>
      </c>
      <c r="U130">
        <v>0</v>
      </c>
      <c r="V130">
        <v>87.5</v>
      </c>
      <c r="W130">
        <v>12.5</v>
      </c>
    </row>
    <row r="131" spans="1:23" x14ac:dyDescent="0.3">
      <c r="A131">
        <v>37</v>
      </c>
      <c r="B131">
        <v>3</v>
      </c>
      <c r="C131">
        <v>2</v>
      </c>
      <c r="D131">
        <v>1</v>
      </c>
      <c r="E131" t="s">
        <v>191</v>
      </c>
      <c r="F131" t="s">
        <v>192</v>
      </c>
      <c r="G131">
        <v>281.108</v>
      </c>
      <c r="H131" t="b">
        <v>0</v>
      </c>
      <c r="I131">
        <v>4</v>
      </c>
      <c r="J131">
        <v>4</v>
      </c>
      <c r="K131">
        <v>0</v>
      </c>
      <c r="L131">
        <v>2</v>
      </c>
      <c r="M131">
        <v>2</v>
      </c>
      <c r="N131">
        <v>0</v>
      </c>
      <c r="O131">
        <v>2</v>
      </c>
      <c r="P131">
        <v>2</v>
      </c>
      <c r="Q131">
        <v>0</v>
      </c>
      <c r="R131">
        <v>4</v>
      </c>
      <c r="S131">
        <v>2</v>
      </c>
      <c r="T131">
        <v>2</v>
      </c>
      <c r="U131">
        <v>2</v>
      </c>
      <c r="V131">
        <v>100</v>
      </c>
      <c r="W131">
        <v>0</v>
      </c>
    </row>
    <row r="132" spans="1:23" x14ac:dyDescent="0.3">
      <c r="A132">
        <v>37</v>
      </c>
      <c r="B132">
        <v>3</v>
      </c>
      <c r="C132">
        <v>1</v>
      </c>
      <c r="D132">
        <v>1</v>
      </c>
      <c r="E132" t="s">
        <v>192</v>
      </c>
      <c r="F132" t="s">
        <v>193</v>
      </c>
      <c r="G132">
        <v>222.53200000000001</v>
      </c>
      <c r="H132" t="b">
        <v>0</v>
      </c>
      <c r="I132">
        <v>4</v>
      </c>
      <c r="J132">
        <v>4</v>
      </c>
      <c r="K132">
        <v>0</v>
      </c>
      <c r="L132">
        <v>2</v>
      </c>
      <c r="M132">
        <v>2</v>
      </c>
      <c r="N132">
        <v>0</v>
      </c>
      <c r="O132">
        <v>2</v>
      </c>
      <c r="P132">
        <v>2</v>
      </c>
      <c r="Q132">
        <v>0</v>
      </c>
      <c r="R132">
        <v>4</v>
      </c>
      <c r="S132">
        <v>3</v>
      </c>
      <c r="T132">
        <v>0</v>
      </c>
      <c r="U132">
        <v>0</v>
      </c>
      <c r="V132">
        <v>100</v>
      </c>
      <c r="W132">
        <v>0</v>
      </c>
    </row>
    <row r="133" spans="1:23" x14ac:dyDescent="0.3">
      <c r="A133">
        <v>37</v>
      </c>
      <c r="B133">
        <v>3</v>
      </c>
      <c r="C133">
        <v>3</v>
      </c>
      <c r="D133">
        <v>1</v>
      </c>
      <c r="E133" t="s">
        <v>193</v>
      </c>
      <c r="F133" t="s">
        <v>194</v>
      </c>
      <c r="G133">
        <v>207.91800000000001</v>
      </c>
      <c r="H133" t="b">
        <v>1</v>
      </c>
      <c r="I133">
        <v>4</v>
      </c>
      <c r="J133">
        <v>4</v>
      </c>
      <c r="K133">
        <v>0</v>
      </c>
      <c r="L133">
        <v>2</v>
      </c>
      <c r="M133">
        <v>2</v>
      </c>
      <c r="N133">
        <v>0</v>
      </c>
      <c r="O133">
        <v>2</v>
      </c>
      <c r="P133">
        <v>2</v>
      </c>
      <c r="Q133">
        <v>0</v>
      </c>
      <c r="R133">
        <v>4</v>
      </c>
      <c r="S133">
        <v>3</v>
      </c>
      <c r="T133">
        <v>0</v>
      </c>
      <c r="U133">
        <v>0</v>
      </c>
      <c r="V133">
        <v>100</v>
      </c>
      <c r="W133">
        <v>0</v>
      </c>
    </row>
    <row r="134" spans="1:23" x14ac:dyDescent="0.3">
      <c r="A134">
        <v>37</v>
      </c>
      <c r="B134">
        <v>3</v>
      </c>
      <c r="C134">
        <v>1</v>
      </c>
      <c r="D134">
        <v>2</v>
      </c>
      <c r="E134" t="s">
        <v>194</v>
      </c>
      <c r="F134" t="s">
        <v>195</v>
      </c>
      <c r="G134">
        <v>438.53899999999999</v>
      </c>
      <c r="H134" t="b">
        <v>0</v>
      </c>
      <c r="I134">
        <v>8</v>
      </c>
      <c r="J134">
        <v>8</v>
      </c>
      <c r="K134">
        <v>0</v>
      </c>
      <c r="L134">
        <v>4</v>
      </c>
      <c r="M134">
        <v>4</v>
      </c>
      <c r="N134">
        <v>0</v>
      </c>
      <c r="O134">
        <v>4</v>
      </c>
      <c r="P134">
        <v>4</v>
      </c>
      <c r="Q134">
        <v>0</v>
      </c>
      <c r="R134">
        <v>8</v>
      </c>
      <c r="S134">
        <v>7</v>
      </c>
      <c r="T134">
        <v>0</v>
      </c>
      <c r="U134">
        <v>0</v>
      </c>
      <c r="V134">
        <v>100</v>
      </c>
      <c r="W134">
        <v>0</v>
      </c>
    </row>
    <row r="135" spans="1:23" x14ac:dyDescent="0.3">
      <c r="A135">
        <v>3</v>
      </c>
      <c r="B135">
        <v>1</v>
      </c>
      <c r="C135">
        <v>1</v>
      </c>
      <c r="D135">
        <v>1</v>
      </c>
      <c r="E135" t="s">
        <v>196</v>
      </c>
      <c r="F135" t="s">
        <v>197</v>
      </c>
      <c r="G135">
        <v>7.0000000000000001E-3</v>
      </c>
      <c r="H135" t="b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342</v>
      </c>
      <c r="W135" t="s">
        <v>342</v>
      </c>
    </row>
    <row r="136" spans="1:23" x14ac:dyDescent="0.3">
      <c r="A136">
        <v>3</v>
      </c>
      <c r="B136">
        <v>1</v>
      </c>
      <c r="C136">
        <v>1</v>
      </c>
      <c r="D136">
        <v>3</v>
      </c>
      <c r="E136" t="s">
        <v>198</v>
      </c>
      <c r="F136" t="s">
        <v>199</v>
      </c>
      <c r="G136">
        <v>379.57499999999999</v>
      </c>
      <c r="H136" t="b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 t="s">
        <v>342</v>
      </c>
      <c r="W136" t="s">
        <v>342</v>
      </c>
    </row>
    <row r="137" spans="1:23" x14ac:dyDescent="0.3">
      <c r="A137">
        <v>41</v>
      </c>
      <c r="B137">
        <v>1</v>
      </c>
      <c r="C137">
        <v>1</v>
      </c>
      <c r="D137">
        <v>2</v>
      </c>
      <c r="E137" t="s">
        <v>200</v>
      </c>
      <c r="F137" t="s">
        <v>201</v>
      </c>
      <c r="G137">
        <v>361.988</v>
      </c>
      <c r="H137" t="b">
        <v>0</v>
      </c>
      <c r="I137">
        <v>4</v>
      </c>
      <c r="J137">
        <v>3</v>
      </c>
      <c r="K137">
        <v>1</v>
      </c>
      <c r="L137">
        <v>2</v>
      </c>
      <c r="M137">
        <v>2</v>
      </c>
      <c r="N137">
        <v>0</v>
      </c>
      <c r="O137">
        <v>2</v>
      </c>
      <c r="P137">
        <v>1</v>
      </c>
      <c r="Q137">
        <v>1</v>
      </c>
      <c r="R137">
        <v>5</v>
      </c>
      <c r="S137">
        <v>3</v>
      </c>
      <c r="T137">
        <v>0</v>
      </c>
      <c r="U137">
        <v>0</v>
      </c>
      <c r="V137">
        <v>75</v>
      </c>
      <c r="W137">
        <v>25</v>
      </c>
    </row>
    <row r="138" spans="1:23" x14ac:dyDescent="0.3">
      <c r="A138">
        <v>41</v>
      </c>
      <c r="B138">
        <v>1</v>
      </c>
      <c r="C138">
        <v>2</v>
      </c>
      <c r="D138">
        <v>1</v>
      </c>
      <c r="E138" t="s">
        <v>201</v>
      </c>
      <c r="F138" t="s">
        <v>202</v>
      </c>
      <c r="G138">
        <v>293.10599999999999</v>
      </c>
      <c r="H138" t="b">
        <v>0</v>
      </c>
      <c r="I138">
        <v>3</v>
      </c>
      <c r="J138">
        <v>3</v>
      </c>
      <c r="K138">
        <v>0</v>
      </c>
      <c r="L138">
        <v>2</v>
      </c>
      <c r="M138">
        <v>2</v>
      </c>
      <c r="N138">
        <v>0</v>
      </c>
      <c r="O138">
        <v>1</v>
      </c>
      <c r="P138">
        <v>1</v>
      </c>
      <c r="Q138">
        <v>0</v>
      </c>
      <c r="R138">
        <v>4</v>
      </c>
      <c r="S138">
        <v>2</v>
      </c>
      <c r="T138">
        <v>1</v>
      </c>
      <c r="U138">
        <v>1</v>
      </c>
      <c r="V138">
        <v>100</v>
      </c>
      <c r="W138">
        <v>0</v>
      </c>
    </row>
    <row r="139" spans="1:23" x14ac:dyDescent="0.3">
      <c r="A139">
        <v>41</v>
      </c>
      <c r="B139">
        <v>1</v>
      </c>
      <c r="C139">
        <v>3</v>
      </c>
      <c r="D139">
        <v>4</v>
      </c>
      <c r="E139" t="s">
        <v>202</v>
      </c>
      <c r="F139" t="s">
        <v>203</v>
      </c>
      <c r="G139">
        <v>530.96</v>
      </c>
      <c r="H139" t="b">
        <v>1</v>
      </c>
      <c r="I139">
        <v>14</v>
      </c>
      <c r="J139">
        <v>11</v>
      </c>
      <c r="K139">
        <v>3</v>
      </c>
      <c r="L139">
        <v>8</v>
      </c>
      <c r="M139">
        <v>8</v>
      </c>
      <c r="N139">
        <v>0</v>
      </c>
      <c r="O139">
        <v>6</v>
      </c>
      <c r="P139">
        <v>3</v>
      </c>
      <c r="Q139">
        <v>3</v>
      </c>
      <c r="R139">
        <v>13</v>
      </c>
      <c r="S139">
        <v>9</v>
      </c>
      <c r="T139">
        <v>0</v>
      </c>
      <c r="U139">
        <v>0</v>
      </c>
      <c r="V139">
        <v>78.571428571428498</v>
      </c>
      <c r="W139">
        <v>21.428571428571399</v>
      </c>
    </row>
    <row r="140" spans="1:23" x14ac:dyDescent="0.3">
      <c r="A140">
        <v>41</v>
      </c>
      <c r="B140">
        <v>1</v>
      </c>
      <c r="C140">
        <v>2</v>
      </c>
      <c r="D140">
        <v>1</v>
      </c>
      <c r="E140" t="s">
        <v>203</v>
      </c>
      <c r="F140" t="s">
        <v>204</v>
      </c>
      <c r="G140">
        <v>3.0000000000000001E-3</v>
      </c>
      <c r="H140" t="b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342</v>
      </c>
      <c r="W140" t="s">
        <v>342</v>
      </c>
    </row>
    <row r="141" spans="1:23" x14ac:dyDescent="0.3">
      <c r="A141">
        <v>42</v>
      </c>
      <c r="B141">
        <v>1</v>
      </c>
      <c r="C141">
        <v>1</v>
      </c>
      <c r="D141">
        <v>2</v>
      </c>
      <c r="E141" t="s">
        <v>205</v>
      </c>
      <c r="F141" t="s">
        <v>206</v>
      </c>
      <c r="G141">
        <v>326.041</v>
      </c>
      <c r="H141" t="b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1</v>
      </c>
      <c r="T141">
        <v>0</v>
      </c>
      <c r="U141">
        <v>0</v>
      </c>
      <c r="V141" t="s">
        <v>342</v>
      </c>
      <c r="W141" t="s">
        <v>342</v>
      </c>
    </row>
    <row r="142" spans="1:23" x14ac:dyDescent="0.3">
      <c r="A142">
        <v>42</v>
      </c>
      <c r="B142">
        <v>1</v>
      </c>
      <c r="C142">
        <v>2</v>
      </c>
      <c r="D142">
        <v>3</v>
      </c>
      <c r="E142" t="s">
        <v>206</v>
      </c>
      <c r="F142" t="s">
        <v>207</v>
      </c>
      <c r="G142">
        <v>802.67700000000002</v>
      </c>
      <c r="H142" t="b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6</v>
      </c>
      <c r="S142">
        <v>3</v>
      </c>
      <c r="T142">
        <v>2</v>
      </c>
      <c r="U142">
        <v>2</v>
      </c>
      <c r="V142" t="s">
        <v>342</v>
      </c>
      <c r="W142" t="s">
        <v>342</v>
      </c>
    </row>
    <row r="143" spans="1:23" x14ac:dyDescent="0.3">
      <c r="A143">
        <v>42</v>
      </c>
      <c r="B143">
        <v>1</v>
      </c>
      <c r="C143">
        <v>1</v>
      </c>
      <c r="D143">
        <v>1</v>
      </c>
      <c r="E143" t="s">
        <v>207</v>
      </c>
      <c r="F143" t="s">
        <v>208</v>
      </c>
      <c r="G143">
        <v>3.0000000000000001E-3</v>
      </c>
      <c r="H143" t="b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t="s">
        <v>342</v>
      </c>
      <c r="W143" t="s">
        <v>342</v>
      </c>
    </row>
    <row r="144" spans="1:23" x14ac:dyDescent="0.3">
      <c r="A144">
        <v>43</v>
      </c>
      <c r="B144">
        <v>1</v>
      </c>
      <c r="C144">
        <v>1</v>
      </c>
      <c r="D144">
        <v>10</v>
      </c>
      <c r="E144" t="s">
        <v>209</v>
      </c>
      <c r="F144" t="s">
        <v>210</v>
      </c>
      <c r="G144">
        <v>1324.8530000000001</v>
      </c>
      <c r="H144" t="b">
        <v>0</v>
      </c>
      <c r="I144">
        <v>18</v>
      </c>
      <c r="J144">
        <v>16</v>
      </c>
      <c r="K144">
        <v>2</v>
      </c>
      <c r="L144">
        <v>9</v>
      </c>
      <c r="M144">
        <v>9</v>
      </c>
      <c r="N144">
        <v>0</v>
      </c>
      <c r="O144">
        <v>9</v>
      </c>
      <c r="P144">
        <v>7</v>
      </c>
      <c r="Q144">
        <v>2</v>
      </c>
      <c r="R144">
        <v>20</v>
      </c>
      <c r="S144">
        <v>11</v>
      </c>
      <c r="T144">
        <v>0</v>
      </c>
      <c r="U144">
        <v>0</v>
      </c>
      <c r="V144">
        <v>88.8888888888888</v>
      </c>
      <c r="W144">
        <v>11.1111111111111</v>
      </c>
    </row>
    <row r="145" spans="1:23" x14ac:dyDescent="0.3">
      <c r="A145">
        <v>43</v>
      </c>
      <c r="B145">
        <v>5</v>
      </c>
      <c r="C145">
        <v>1</v>
      </c>
      <c r="D145">
        <v>4</v>
      </c>
      <c r="E145" t="s">
        <v>211</v>
      </c>
      <c r="F145" t="s">
        <v>212</v>
      </c>
      <c r="G145">
        <v>718.51300000000003</v>
      </c>
      <c r="H145" t="b">
        <v>0</v>
      </c>
      <c r="I145">
        <v>13</v>
      </c>
      <c r="J145">
        <v>10</v>
      </c>
      <c r="K145">
        <v>3</v>
      </c>
      <c r="L145">
        <v>4</v>
      </c>
      <c r="M145">
        <v>4</v>
      </c>
      <c r="N145">
        <v>0</v>
      </c>
      <c r="O145">
        <v>9</v>
      </c>
      <c r="P145">
        <v>6</v>
      </c>
      <c r="Q145">
        <v>3</v>
      </c>
      <c r="R145">
        <v>9</v>
      </c>
      <c r="S145">
        <v>5</v>
      </c>
      <c r="T145">
        <v>0</v>
      </c>
      <c r="U145">
        <v>0</v>
      </c>
      <c r="V145">
        <v>76.923076923076906</v>
      </c>
      <c r="W145">
        <v>23.076923076922998</v>
      </c>
    </row>
    <row r="146" spans="1:23" x14ac:dyDescent="0.3">
      <c r="A146">
        <v>43</v>
      </c>
      <c r="B146">
        <v>5</v>
      </c>
      <c r="C146">
        <v>2</v>
      </c>
      <c r="D146">
        <v>1</v>
      </c>
      <c r="E146" t="s">
        <v>212</v>
      </c>
      <c r="F146" t="s">
        <v>213</v>
      </c>
      <c r="G146">
        <v>250.69399999999999</v>
      </c>
      <c r="H146" t="b">
        <v>0</v>
      </c>
      <c r="I146">
        <v>6</v>
      </c>
      <c r="J146">
        <v>5</v>
      </c>
      <c r="K146">
        <v>1</v>
      </c>
      <c r="L146">
        <v>2</v>
      </c>
      <c r="M146">
        <v>2</v>
      </c>
      <c r="N146">
        <v>0</v>
      </c>
      <c r="O146">
        <v>4</v>
      </c>
      <c r="P146">
        <v>3</v>
      </c>
      <c r="Q146">
        <v>1</v>
      </c>
      <c r="R146">
        <v>4</v>
      </c>
      <c r="S146">
        <v>2</v>
      </c>
      <c r="T146">
        <v>2</v>
      </c>
      <c r="U146">
        <v>2</v>
      </c>
      <c r="V146">
        <v>83.3333333333333</v>
      </c>
      <c r="W146">
        <v>16.6666666666666</v>
      </c>
    </row>
    <row r="147" spans="1:23" x14ac:dyDescent="0.3">
      <c r="A147">
        <v>43</v>
      </c>
      <c r="B147">
        <v>5</v>
      </c>
      <c r="C147">
        <v>3</v>
      </c>
      <c r="D147">
        <v>2</v>
      </c>
      <c r="E147" t="s">
        <v>213</v>
      </c>
      <c r="F147" t="s">
        <v>214</v>
      </c>
      <c r="G147">
        <v>276.25599999999997</v>
      </c>
      <c r="H147" t="b">
        <v>1</v>
      </c>
      <c r="I147">
        <v>14</v>
      </c>
      <c r="J147">
        <v>11</v>
      </c>
      <c r="K147">
        <v>3</v>
      </c>
      <c r="L147">
        <v>4</v>
      </c>
      <c r="M147">
        <v>4</v>
      </c>
      <c r="N147">
        <v>0</v>
      </c>
      <c r="O147">
        <v>10</v>
      </c>
      <c r="P147">
        <v>7</v>
      </c>
      <c r="Q147">
        <v>3</v>
      </c>
      <c r="R147">
        <v>8</v>
      </c>
      <c r="S147">
        <v>6</v>
      </c>
      <c r="T147">
        <v>0</v>
      </c>
      <c r="U147">
        <v>0</v>
      </c>
      <c r="V147">
        <v>78.571428571428498</v>
      </c>
      <c r="W147">
        <v>21.428571428571399</v>
      </c>
    </row>
    <row r="148" spans="1:23" x14ac:dyDescent="0.3">
      <c r="A148">
        <v>44</v>
      </c>
      <c r="B148">
        <v>1</v>
      </c>
      <c r="C148">
        <v>1</v>
      </c>
      <c r="D148">
        <v>1</v>
      </c>
      <c r="E148" t="s">
        <v>215</v>
      </c>
      <c r="F148" t="s">
        <v>216</v>
      </c>
      <c r="G148">
        <v>213.15899999999999</v>
      </c>
      <c r="H148" t="b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 t="s">
        <v>342</v>
      </c>
      <c r="W148" t="s">
        <v>342</v>
      </c>
    </row>
    <row r="149" spans="1:23" x14ac:dyDescent="0.3">
      <c r="A149">
        <v>44</v>
      </c>
      <c r="B149">
        <v>1</v>
      </c>
      <c r="C149">
        <v>2</v>
      </c>
      <c r="D149">
        <v>3</v>
      </c>
      <c r="E149" t="s">
        <v>216</v>
      </c>
      <c r="F149" t="s">
        <v>217</v>
      </c>
      <c r="G149">
        <v>531.59</v>
      </c>
      <c r="H149" t="b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3</v>
      </c>
      <c r="T149">
        <v>1</v>
      </c>
      <c r="U149">
        <v>1</v>
      </c>
      <c r="V149" t="s">
        <v>342</v>
      </c>
      <c r="W149" t="s">
        <v>342</v>
      </c>
    </row>
    <row r="150" spans="1:23" x14ac:dyDescent="0.3">
      <c r="A150">
        <v>45</v>
      </c>
      <c r="B150">
        <v>1</v>
      </c>
      <c r="C150">
        <v>1</v>
      </c>
      <c r="D150">
        <v>4</v>
      </c>
      <c r="E150" t="s">
        <v>218</v>
      </c>
      <c r="F150" t="s">
        <v>219</v>
      </c>
      <c r="G150">
        <v>688.51300000000003</v>
      </c>
      <c r="H150" t="b">
        <v>1</v>
      </c>
      <c r="I150">
        <v>4</v>
      </c>
      <c r="J150">
        <v>4</v>
      </c>
      <c r="K150">
        <v>0</v>
      </c>
      <c r="L150">
        <v>2</v>
      </c>
      <c r="M150">
        <v>2</v>
      </c>
      <c r="N150">
        <v>0</v>
      </c>
      <c r="O150">
        <v>2</v>
      </c>
      <c r="P150">
        <v>2</v>
      </c>
      <c r="Q150">
        <v>0</v>
      </c>
      <c r="R150">
        <v>7</v>
      </c>
      <c r="S150">
        <v>4</v>
      </c>
      <c r="T150">
        <v>1</v>
      </c>
      <c r="U150">
        <v>1</v>
      </c>
      <c r="V150">
        <v>100</v>
      </c>
      <c r="W150">
        <v>0</v>
      </c>
    </row>
    <row r="151" spans="1:23" x14ac:dyDescent="0.3">
      <c r="A151">
        <v>45</v>
      </c>
      <c r="B151">
        <v>1</v>
      </c>
      <c r="C151">
        <v>2</v>
      </c>
      <c r="D151">
        <v>1</v>
      </c>
      <c r="E151" t="s">
        <v>219</v>
      </c>
      <c r="F151" t="s">
        <v>220</v>
      </c>
      <c r="G151">
        <v>436.10700000000003</v>
      </c>
      <c r="H151" t="b">
        <v>0</v>
      </c>
      <c r="I151">
        <v>3</v>
      </c>
      <c r="J151">
        <v>0</v>
      </c>
      <c r="K151">
        <v>3</v>
      </c>
      <c r="L151">
        <v>2</v>
      </c>
      <c r="M151">
        <v>0</v>
      </c>
      <c r="N151">
        <v>2</v>
      </c>
      <c r="O151">
        <v>1</v>
      </c>
      <c r="P151">
        <v>0</v>
      </c>
      <c r="Q151">
        <v>1</v>
      </c>
      <c r="R151">
        <v>3</v>
      </c>
      <c r="S151">
        <v>1</v>
      </c>
      <c r="T151">
        <v>2</v>
      </c>
      <c r="U151">
        <v>4</v>
      </c>
      <c r="V151">
        <v>0</v>
      </c>
      <c r="W151">
        <v>100</v>
      </c>
    </row>
    <row r="152" spans="1:23" x14ac:dyDescent="0.3">
      <c r="A152">
        <v>45</v>
      </c>
      <c r="B152">
        <v>3</v>
      </c>
      <c r="C152">
        <v>1</v>
      </c>
      <c r="D152">
        <v>2</v>
      </c>
      <c r="E152" t="s">
        <v>221</v>
      </c>
      <c r="F152" t="s">
        <v>222</v>
      </c>
      <c r="G152">
        <v>666.76099999999997</v>
      </c>
      <c r="H152" t="b">
        <v>1</v>
      </c>
      <c r="I152">
        <v>7</v>
      </c>
      <c r="J152">
        <v>6</v>
      </c>
      <c r="K152">
        <v>1</v>
      </c>
      <c r="L152">
        <v>4</v>
      </c>
      <c r="M152">
        <v>4</v>
      </c>
      <c r="N152">
        <v>0</v>
      </c>
      <c r="O152">
        <v>3</v>
      </c>
      <c r="P152">
        <v>2</v>
      </c>
      <c r="Q152">
        <v>1</v>
      </c>
      <c r="R152">
        <v>8</v>
      </c>
      <c r="S152">
        <v>6</v>
      </c>
      <c r="T152">
        <v>0</v>
      </c>
      <c r="U152">
        <v>0</v>
      </c>
      <c r="V152">
        <v>85.714285714285694</v>
      </c>
      <c r="W152">
        <v>14.285714285714199</v>
      </c>
    </row>
    <row r="153" spans="1:23" x14ac:dyDescent="0.3">
      <c r="A153">
        <v>45</v>
      </c>
      <c r="B153">
        <v>3</v>
      </c>
      <c r="C153">
        <v>2</v>
      </c>
      <c r="D153">
        <v>4</v>
      </c>
      <c r="E153" t="s">
        <v>222</v>
      </c>
      <c r="F153" t="s">
        <v>223</v>
      </c>
      <c r="G153">
        <v>1686.739</v>
      </c>
      <c r="H153" t="b">
        <v>1</v>
      </c>
      <c r="I153">
        <v>15</v>
      </c>
      <c r="J153">
        <v>14</v>
      </c>
      <c r="K153">
        <v>1</v>
      </c>
      <c r="L153">
        <v>8</v>
      </c>
      <c r="M153">
        <v>7</v>
      </c>
      <c r="N153">
        <v>1</v>
      </c>
      <c r="O153">
        <v>7</v>
      </c>
      <c r="P153">
        <v>7</v>
      </c>
      <c r="Q153">
        <v>0</v>
      </c>
      <c r="R153">
        <v>16</v>
      </c>
      <c r="S153">
        <v>5</v>
      </c>
      <c r="T153">
        <v>5</v>
      </c>
      <c r="U153">
        <v>6</v>
      </c>
      <c r="V153">
        <v>93.3333333333333</v>
      </c>
      <c r="W153">
        <v>6.6666666666666696</v>
      </c>
    </row>
    <row r="154" spans="1:23" x14ac:dyDescent="0.3">
      <c r="A154">
        <v>45</v>
      </c>
      <c r="B154">
        <v>3</v>
      </c>
      <c r="C154">
        <v>3</v>
      </c>
      <c r="D154">
        <v>2</v>
      </c>
      <c r="E154" t="s">
        <v>223</v>
      </c>
      <c r="F154" t="s">
        <v>224</v>
      </c>
      <c r="G154">
        <v>629.84</v>
      </c>
      <c r="H154" t="b">
        <v>1</v>
      </c>
      <c r="I154">
        <v>8</v>
      </c>
      <c r="J154">
        <v>7</v>
      </c>
      <c r="K154">
        <v>1</v>
      </c>
      <c r="L154">
        <v>4</v>
      </c>
      <c r="M154">
        <v>4</v>
      </c>
      <c r="N154">
        <v>0</v>
      </c>
      <c r="O154">
        <v>4</v>
      </c>
      <c r="P154">
        <v>3</v>
      </c>
      <c r="Q154">
        <v>1</v>
      </c>
      <c r="R154">
        <v>8</v>
      </c>
      <c r="S154">
        <v>6</v>
      </c>
      <c r="T154">
        <v>0</v>
      </c>
      <c r="U154">
        <v>0</v>
      </c>
      <c r="V154">
        <v>87.5</v>
      </c>
      <c r="W154">
        <v>12.5</v>
      </c>
    </row>
    <row r="155" spans="1:23" x14ac:dyDescent="0.3">
      <c r="A155">
        <v>46</v>
      </c>
      <c r="B155">
        <v>1</v>
      </c>
      <c r="C155">
        <v>1</v>
      </c>
      <c r="D155">
        <v>3</v>
      </c>
      <c r="E155" t="s">
        <v>225</v>
      </c>
      <c r="F155" t="s">
        <v>226</v>
      </c>
      <c r="G155">
        <v>416.16300000000001</v>
      </c>
      <c r="H155" t="b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</v>
      </c>
      <c r="S155">
        <v>2</v>
      </c>
      <c r="T155">
        <v>0</v>
      </c>
      <c r="U155">
        <v>0</v>
      </c>
      <c r="V155" t="s">
        <v>342</v>
      </c>
      <c r="W155" t="s">
        <v>342</v>
      </c>
    </row>
    <row r="156" spans="1:23" x14ac:dyDescent="0.3">
      <c r="A156">
        <v>46</v>
      </c>
      <c r="B156">
        <v>1</v>
      </c>
      <c r="C156">
        <v>3</v>
      </c>
      <c r="D156">
        <v>1</v>
      </c>
      <c r="E156" t="s">
        <v>226</v>
      </c>
      <c r="F156" t="s">
        <v>227</v>
      </c>
      <c r="G156">
        <v>103.598</v>
      </c>
      <c r="H156" t="b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t="s">
        <v>342</v>
      </c>
      <c r="W156" t="s">
        <v>342</v>
      </c>
    </row>
    <row r="157" spans="1:23" x14ac:dyDescent="0.3">
      <c r="A157">
        <v>46</v>
      </c>
      <c r="B157">
        <v>1</v>
      </c>
      <c r="C157">
        <v>1</v>
      </c>
      <c r="D157">
        <v>1</v>
      </c>
      <c r="E157" t="s">
        <v>227</v>
      </c>
      <c r="F157" t="s">
        <v>228</v>
      </c>
      <c r="G157">
        <v>271.584</v>
      </c>
      <c r="H157" t="b">
        <v>0</v>
      </c>
      <c r="I157">
        <v>4</v>
      </c>
      <c r="J157">
        <v>3</v>
      </c>
      <c r="K157">
        <v>1</v>
      </c>
      <c r="L157">
        <v>2</v>
      </c>
      <c r="M157">
        <v>2</v>
      </c>
      <c r="N157">
        <v>0</v>
      </c>
      <c r="O157">
        <v>2</v>
      </c>
      <c r="P157">
        <v>1</v>
      </c>
      <c r="Q157">
        <v>1</v>
      </c>
      <c r="R157">
        <v>4</v>
      </c>
      <c r="S157">
        <v>1</v>
      </c>
      <c r="T157">
        <v>2</v>
      </c>
      <c r="U157">
        <v>2</v>
      </c>
      <c r="V157">
        <v>75</v>
      </c>
      <c r="W157">
        <v>25</v>
      </c>
    </row>
    <row r="158" spans="1:23" x14ac:dyDescent="0.3">
      <c r="A158">
        <v>47</v>
      </c>
      <c r="B158">
        <v>1</v>
      </c>
      <c r="C158">
        <v>1</v>
      </c>
      <c r="D158">
        <v>3</v>
      </c>
      <c r="E158" t="s">
        <v>229</v>
      </c>
      <c r="F158" t="s">
        <v>230</v>
      </c>
      <c r="G158">
        <v>302.63200000000001</v>
      </c>
      <c r="H158" t="b">
        <v>0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3</v>
      </c>
      <c r="S158">
        <v>1</v>
      </c>
      <c r="T158">
        <v>0</v>
      </c>
      <c r="U158">
        <v>0</v>
      </c>
      <c r="V158">
        <v>100</v>
      </c>
      <c r="W158">
        <v>0</v>
      </c>
    </row>
    <row r="159" spans="1:23" x14ac:dyDescent="0.3">
      <c r="A159">
        <v>47</v>
      </c>
      <c r="B159">
        <v>3</v>
      </c>
      <c r="C159">
        <v>1</v>
      </c>
      <c r="D159">
        <v>5</v>
      </c>
      <c r="E159" t="s">
        <v>231</v>
      </c>
      <c r="F159" t="s">
        <v>232</v>
      </c>
      <c r="G159">
        <v>455.70600000000002</v>
      </c>
      <c r="H159" t="b">
        <v>0</v>
      </c>
      <c r="I159">
        <v>14</v>
      </c>
      <c r="J159">
        <v>5</v>
      </c>
      <c r="K159">
        <v>9</v>
      </c>
      <c r="L159">
        <v>11</v>
      </c>
      <c r="M159">
        <v>4</v>
      </c>
      <c r="N159">
        <v>7</v>
      </c>
      <c r="O159">
        <v>3</v>
      </c>
      <c r="P159">
        <v>1</v>
      </c>
      <c r="Q159">
        <v>2</v>
      </c>
      <c r="R159">
        <v>8</v>
      </c>
      <c r="S159">
        <v>4</v>
      </c>
      <c r="T159">
        <v>0</v>
      </c>
      <c r="U159">
        <v>0</v>
      </c>
      <c r="V159">
        <v>35.714285714285701</v>
      </c>
      <c r="W159">
        <v>64.285714285714207</v>
      </c>
    </row>
    <row r="160" spans="1:23" x14ac:dyDescent="0.3">
      <c r="A160">
        <v>47</v>
      </c>
      <c r="B160">
        <v>3</v>
      </c>
      <c r="C160">
        <v>2</v>
      </c>
      <c r="D160">
        <v>15</v>
      </c>
      <c r="E160" t="s">
        <v>232</v>
      </c>
      <c r="F160" t="s">
        <v>233</v>
      </c>
      <c r="G160">
        <v>1889.4970000000001</v>
      </c>
      <c r="H160" t="b">
        <v>1</v>
      </c>
      <c r="I160">
        <v>18</v>
      </c>
      <c r="J160">
        <v>11</v>
      </c>
      <c r="K160">
        <v>7</v>
      </c>
      <c r="L160">
        <v>10</v>
      </c>
      <c r="M160">
        <v>6</v>
      </c>
      <c r="N160">
        <v>4</v>
      </c>
      <c r="O160">
        <v>8</v>
      </c>
      <c r="P160">
        <v>5</v>
      </c>
      <c r="Q160">
        <v>3</v>
      </c>
      <c r="R160">
        <v>37</v>
      </c>
      <c r="S160">
        <v>26</v>
      </c>
      <c r="T160">
        <v>4</v>
      </c>
      <c r="U160">
        <v>7</v>
      </c>
      <c r="V160">
        <v>61.1111111111111</v>
      </c>
      <c r="W160">
        <v>38.8888888888888</v>
      </c>
    </row>
    <row r="161" spans="1:23" x14ac:dyDescent="0.3">
      <c r="A161">
        <v>47</v>
      </c>
      <c r="B161">
        <v>3</v>
      </c>
      <c r="C161">
        <v>3</v>
      </c>
      <c r="D161">
        <v>6</v>
      </c>
      <c r="E161" t="s">
        <v>233</v>
      </c>
      <c r="F161" t="s">
        <v>234</v>
      </c>
      <c r="G161">
        <v>1440.1579999999999</v>
      </c>
      <c r="H161" t="b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 t="s">
        <v>342</v>
      </c>
      <c r="W161" t="s">
        <v>342</v>
      </c>
    </row>
    <row r="162" spans="1:23" x14ac:dyDescent="0.3">
      <c r="A162">
        <v>48</v>
      </c>
      <c r="B162">
        <v>1</v>
      </c>
      <c r="C162">
        <v>1</v>
      </c>
      <c r="D162">
        <v>3</v>
      </c>
      <c r="E162" t="s">
        <v>235</v>
      </c>
      <c r="F162" t="s">
        <v>236</v>
      </c>
      <c r="G162">
        <v>305.84699999999998</v>
      </c>
      <c r="H162" t="b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2</v>
      </c>
      <c r="S162">
        <v>1</v>
      </c>
      <c r="T162">
        <v>0</v>
      </c>
      <c r="U162">
        <v>0</v>
      </c>
      <c r="V162">
        <v>100</v>
      </c>
      <c r="W162">
        <v>0</v>
      </c>
    </row>
    <row r="163" spans="1:23" x14ac:dyDescent="0.3">
      <c r="A163">
        <v>48</v>
      </c>
      <c r="B163">
        <v>1</v>
      </c>
      <c r="C163">
        <v>2</v>
      </c>
      <c r="D163">
        <v>2</v>
      </c>
      <c r="E163" t="s">
        <v>236</v>
      </c>
      <c r="F163" t="s">
        <v>237</v>
      </c>
      <c r="G163">
        <v>281.69600000000003</v>
      </c>
      <c r="H163" t="b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</v>
      </c>
      <c r="S163">
        <v>2</v>
      </c>
      <c r="T163">
        <v>1</v>
      </c>
      <c r="U163">
        <v>1</v>
      </c>
      <c r="V163" t="s">
        <v>342</v>
      </c>
      <c r="W163" t="s">
        <v>342</v>
      </c>
    </row>
    <row r="164" spans="1:23" x14ac:dyDescent="0.3">
      <c r="A164">
        <v>48</v>
      </c>
      <c r="B164">
        <v>1</v>
      </c>
      <c r="C164">
        <v>3</v>
      </c>
      <c r="D164">
        <v>2</v>
      </c>
      <c r="E164" t="s">
        <v>237</v>
      </c>
      <c r="F164" t="s">
        <v>238</v>
      </c>
      <c r="G164">
        <v>332</v>
      </c>
      <c r="H164" t="b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0</v>
      </c>
      <c r="V164" t="s">
        <v>342</v>
      </c>
      <c r="W164" t="s">
        <v>342</v>
      </c>
    </row>
    <row r="165" spans="1:23" x14ac:dyDescent="0.3">
      <c r="A165">
        <v>48</v>
      </c>
      <c r="B165">
        <v>1</v>
      </c>
      <c r="C165">
        <v>1</v>
      </c>
      <c r="D165">
        <v>1</v>
      </c>
      <c r="E165" t="s">
        <v>238</v>
      </c>
      <c r="F165" t="s">
        <v>239</v>
      </c>
      <c r="G165">
        <v>242.14500000000001</v>
      </c>
      <c r="H165" t="b">
        <v>1</v>
      </c>
      <c r="I165">
        <v>4</v>
      </c>
      <c r="J165">
        <v>4</v>
      </c>
      <c r="K165">
        <v>0</v>
      </c>
      <c r="L165">
        <v>2</v>
      </c>
      <c r="M165">
        <v>2</v>
      </c>
      <c r="N165">
        <v>0</v>
      </c>
      <c r="O165">
        <v>2</v>
      </c>
      <c r="P165">
        <v>2</v>
      </c>
      <c r="Q165">
        <v>0</v>
      </c>
      <c r="R165">
        <v>4</v>
      </c>
      <c r="S165">
        <v>3</v>
      </c>
      <c r="T165">
        <v>0</v>
      </c>
      <c r="U165">
        <v>0</v>
      </c>
      <c r="V165">
        <v>100</v>
      </c>
      <c r="W165">
        <v>0</v>
      </c>
    </row>
    <row r="166" spans="1:23" x14ac:dyDescent="0.3">
      <c r="A166">
        <v>48</v>
      </c>
      <c r="B166">
        <v>1</v>
      </c>
      <c r="C166">
        <v>2</v>
      </c>
      <c r="D166">
        <v>2</v>
      </c>
      <c r="E166" t="s">
        <v>239</v>
      </c>
      <c r="F166" t="s">
        <v>240</v>
      </c>
      <c r="G166">
        <v>560.21799999999996</v>
      </c>
      <c r="H166" t="b">
        <v>0</v>
      </c>
      <c r="I166">
        <v>8</v>
      </c>
      <c r="J166">
        <v>8</v>
      </c>
      <c r="K166">
        <v>0</v>
      </c>
      <c r="L166">
        <v>4</v>
      </c>
      <c r="M166">
        <v>4</v>
      </c>
      <c r="N166">
        <v>0</v>
      </c>
      <c r="O166">
        <v>4</v>
      </c>
      <c r="P166">
        <v>4</v>
      </c>
      <c r="Q166">
        <v>0</v>
      </c>
      <c r="R166">
        <v>8</v>
      </c>
      <c r="S166">
        <v>4</v>
      </c>
      <c r="T166">
        <v>1</v>
      </c>
      <c r="U166">
        <v>1</v>
      </c>
      <c r="V166">
        <v>100</v>
      </c>
      <c r="W166">
        <v>0</v>
      </c>
    </row>
    <row r="167" spans="1:23" x14ac:dyDescent="0.3">
      <c r="A167">
        <v>48</v>
      </c>
      <c r="B167">
        <v>1</v>
      </c>
      <c r="C167">
        <v>3</v>
      </c>
      <c r="D167">
        <v>2</v>
      </c>
      <c r="E167" t="s">
        <v>240</v>
      </c>
      <c r="F167" t="s">
        <v>241</v>
      </c>
      <c r="G167">
        <v>280.65100000000001</v>
      </c>
      <c r="H167" t="b">
        <v>0</v>
      </c>
      <c r="I167">
        <v>4</v>
      </c>
      <c r="J167">
        <v>3</v>
      </c>
      <c r="K167">
        <v>1</v>
      </c>
      <c r="L167">
        <v>2</v>
      </c>
      <c r="M167">
        <v>2</v>
      </c>
      <c r="N167">
        <v>0</v>
      </c>
      <c r="O167">
        <v>2</v>
      </c>
      <c r="P167">
        <v>1</v>
      </c>
      <c r="Q167">
        <v>1</v>
      </c>
      <c r="R167">
        <v>4</v>
      </c>
      <c r="S167">
        <v>3</v>
      </c>
      <c r="T167">
        <v>0</v>
      </c>
      <c r="U167">
        <v>0</v>
      </c>
      <c r="V167">
        <v>75</v>
      </c>
      <c r="W167">
        <v>25</v>
      </c>
    </row>
    <row r="168" spans="1:23" x14ac:dyDescent="0.3">
      <c r="A168">
        <v>4</v>
      </c>
      <c r="B168">
        <v>3</v>
      </c>
      <c r="C168">
        <v>1</v>
      </c>
      <c r="D168">
        <v>8</v>
      </c>
      <c r="E168" t="s">
        <v>242</v>
      </c>
      <c r="F168" t="s">
        <v>243</v>
      </c>
      <c r="G168">
        <v>1901.673</v>
      </c>
      <c r="H168" t="b">
        <v>0</v>
      </c>
      <c r="I168">
        <v>23</v>
      </c>
      <c r="J168">
        <v>16</v>
      </c>
      <c r="K168">
        <v>7</v>
      </c>
      <c r="L168">
        <v>10</v>
      </c>
      <c r="M168">
        <v>9</v>
      </c>
      <c r="N168">
        <v>1</v>
      </c>
      <c r="O168">
        <v>13</v>
      </c>
      <c r="P168">
        <v>7</v>
      </c>
      <c r="Q168">
        <v>6</v>
      </c>
      <c r="R168">
        <v>23</v>
      </c>
      <c r="S168">
        <v>19</v>
      </c>
      <c r="T168">
        <v>0</v>
      </c>
      <c r="U168">
        <v>0</v>
      </c>
      <c r="V168">
        <v>69.565217391304301</v>
      </c>
      <c r="W168">
        <v>30.434782608695599</v>
      </c>
    </row>
    <row r="169" spans="1:23" x14ac:dyDescent="0.3">
      <c r="A169">
        <v>4</v>
      </c>
      <c r="B169">
        <v>3</v>
      </c>
      <c r="C169">
        <v>2</v>
      </c>
      <c r="D169">
        <v>1</v>
      </c>
      <c r="E169" t="s">
        <v>243</v>
      </c>
      <c r="F169" t="s">
        <v>244</v>
      </c>
      <c r="G169">
        <v>261.56900000000002</v>
      </c>
      <c r="H169" t="b">
        <v>0</v>
      </c>
      <c r="I169">
        <v>7</v>
      </c>
      <c r="J169">
        <v>6</v>
      </c>
      <c r="K169">
        <v>1</v>
      </c>
      <c r="L169">
        <v>6</v>
      </c>
      <c r="M169">
        <v>6</v>
      </c>
      <c r="N169">
        <v>0</v>
      </c>
      <c r="O169">
        <v>1</v>
      </c>
      <c r="P169">
        <v>0</v>
      </c>
      <c r="Q169">
        <v>1</v>
      </c>
      <c r="R169">
        <v>4</v>
      </c>
      <c r="S169">
        <v>3</v>
      </c>
      <c r="T169">
        <v>0</v>
      </c>
      <c r="U169">
        <v>0</v>
      </c>
      <c r="V169">
        <v>85.714285714285694</v>
      </c>
      <c r="W169">
        <v>14.285714285714199</v>
      </c>
    </row>
    <row r="170" spans="1:23" x14ac:dyDescent="0.3">
      <c r="A170">
        <v>4</v>
      </c>
      <c r="B170">
        <v>3</v>
      </c>
      <c r="C170">
        <v>3</v>
      </c>
      <c r="D170">
        <v>6</v>
      </c>
      <c r="E170" t="s">
        <v>244</v>
      </c>
      <c r="F170" t="s">
        <v>245</v>
      </c>
      <c r="G170">
        <v>1938.173</v>
      </c>
      <c r="H170" t="b">
        <v>1</v>
      </c>
      <c r="I170">
        <v>31</v>
      </c>
      <c r="J170">
        <v>29</v>
      </c>
      <c r="K170">
        <v>2</v>
      </c>
      <c r="L170">
        <v>6</v>
      </c>
      <c r="M170">
        <v>6</v>
      </c>
      <c r="N170">
        <v>0</v>
      </c>
      <c r="O170">
        <v>25</v>
      </c>
      <c r="P170">
        <v>23</v>
      </c>
      <c r="Q170">
        <v>2</v>
      </c>
      <c r="R170">
        <v>19</v>
      </c>
      <c r="S170">
        <v>14</v>
      </c>
      <c r="T170">
        <v>0</v>
      </c>
      <c r="U170">
        <v>0</v>
      </c>
      <c r="V170">
        <v>93.548387096774107</v>
      </c>
      <c r="W170">
        <v>6.4516129032257998</v>
      </c>
    </row>
    <row r="171" spans="1:23" x14ac:dyDescent="0.3">
      <c r="A171">
        <v>50</v>
      </c>
      <c r="B171">
        <v>1</v>
      </c>
      <c r="C171">
        <v>1</v>
      </c>
      <c r="D171">
        <v>8</v>
      </c>
      <c r="E171" t="s">
        <v>246</v>
      </c>
      <c r="F171" t="s">
        <v>247</v>
      </c>
      <c r="G171">
        <v>1323.45</v>
      </c>
      <c r="H171" t="b">
        <v>0</v>
      </c>
      <c r="I171">
        <v>31</v>
      </c>
      <c r="J171">
        <v>16</v>
      </c>
      <c r="K171">
        <v>15</v>
      </c>
      <c r="L171">
        <v>6</v>
      </c>
      <c r="M171">
        <v>6</v>
      </c>
      <c r="N171">
        <v>0</v>
      </c>
      <c r="O171">
        <v>25</v>
      </c>
      <c r="P171">
        <v>10</v>
      </c>
      <c r="Q171">
        <v>15</v>
      </c>
      <c r="R171">
        <v>15</v>
      </c>
      <c r="S171">
        <v>13</v>
      </c>
      <c r="T171">
        <v>0</v>
      </c>
      <c r="U171">
        <v>0</v>
      </c>
      <c r="V171">
        <v>51.612903225806399</v>
      </c>
      <c r="W171">
        <v>48.387096774193502</v>
      </c>
    </row>
    <row r="172" spans="1:23" x14ac:dyDescent="0.3">
      <c r="A172">
        <v>50</v>
      </c>
      <c r="B172">
        <v>1</v>
      </c>
      <c r="C172">
        <v>2</v>
      </c>
      <c r="D172">
        <v>1</v>
      </c>
      <c r="E172" t="s">
        <v>247</v>
      </c>
      <c r="F172" t="s">
        <v>248</v>
      </c>
      <c r="G172">
        <v>256.75599999999997</v>
      </c>
      <c r="H172" t="b">
        <v>1</v>
      </c>
      <c r="I172">
        <v>3</v>
      </c>
      <c r="J172">
        <v>3</v>
      </c>
      <c r="K172">
        <v>0</v>
      </c>
      <c r="L172">
        <v>2</v>
      </c>
      <c r="M172">
        <v>2</v>
      </c>
      <c r="N172">
        <v>0</v>
      </c>
      <c r="O172">
        <v>1</v>
      </c>
      <c r="P172">
        <v>1</v>
      </c>
      <c r="Q172">
        <v>0</v>
      </c>
      <c r="R172">
        <v>4</v>
      </c>
      <c r="S172">
        <v>4</v>
      </c>
      <c r="T172">
        <v>0</v>
      </c>
      <c r="U172">
        <v>0</v>
      </c>
      <c r="V172">
        <v>100</v>
      </c>
      <c r="W172">
        <v>0</v>
      </c>
    </row>
    <row r="173" spans="1:23" x14ac:dyDescent="0.3">
      <c r="A173">
        <v>50</v>
      </c>
      <c r="B173">
        <v>1</v>
      </c>
      <c r="C173">
        <v>1</v>
      </c>
      <c r="D173">
        <v>1</v>
      </c>
      <c r="E173" t="s">
        <v>248</v>
      </c>
      <c r="F173" t="s">
        <v>249</v>
      </c>
      <c r="G173">
        <v>53.308999999999997</v>
      </c>
      <c r="H173" t="b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s">
        <v>342</v>
      </c>
      <c r="W173" t="s">
        <v>342</v>
      </c>
    </row>
    <row r="174" spans="1:23" x14ac:dyDescent="0.3">
      <c r="A174">
        <v>50</v>
      </c>
      <c r="B174">
        <v>1</v>
      </c>
      <c r="C174">
        <v>3</v>
      </c>
      <c r="D174">
        <v>2</v>
      </c>
      <c r="E174" t="s">
        <v>249</v>
      </c>
      <c r="F174" t="s">
        <v>250</v>
      </c>
      <c r="G174">
        <v>271.24400000000003</v>
      </c>
      <c r="H174" t="b">
        <v>0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100</v>
      </c>
      <c r="W174">
        <v>0</v>
      </c>
    </row>
    <row r="175" spans="1:23" x14ac:dyDescent="0.3">
      <c r="A175">
        <v>51</v>
      </c>
      <c r="B175">
        <v>1</v>
      </c>
      <c r="C175">
        <v>1</v>
      </c>
      <c r="D175">
        <v>2</v>
      </c>
      <c r="E175" t="s">
        <v>251</v>
      </c>
      <c r="F175" t="s">
        <v>252</v>
      </c>
      <c r="G175">
        <v>694.22799999999995</v>
      </c>
      <c r="H175" t="b">
        <v>1</v>
      </c>
      <c r="I175">
        <v>9</v>
      </c>
      <c r="J175">
        <v>7</v>
      </c>
      <c r="K175">
        <v>2</v>
      </c>
      <c r="L175">
        <v>4</v>
      </c>
      <c r="M175">
        <v>3</v>
      </c>
      <c r="N175">
        <v>1</v>
      </c>
      <c r="O175">
        <v>5</v>
      </c>
      <c r="P175">
        <v>4</v>
      </c>
      <c r="Q175">
        <v>1</v>
      </c>
      <c r="R175">
        <v>8</v>
      </c>
      <c r="S175">
        <v>6</v>
      </c>
      <c r="T175">
        <v>0</v>
      </c>
      <c r="U175">
        <v>0</v>
      </c>
      <c r="V175">
        <v>77.7777777777777</v>
      </c>
      <c r="W175">
        <v>22.2222222222222</v>
      </c>
    </row>
    <row r="176" spans="1:23" x14ac:dyDescent="0.3">
      <c r="A176">
        <v>51</v>
      </c>
      <c r="B176">
        <v>1</v>
      </c>
      <c r="C176">
        <v>2</v>
      </c>
      <c r="D176">
        <v>2</v>
      </c>
      <c r="E176" t="s">
        <v>252</v>
      </c>
      <c r="F176" t="s">
        <v>253</v>
      </c>
      <c r="G176">
        <v>524.29200000000003</v>
      </c>
      <c r="H176" t="b">
        <v>1</v>
      </c>
      <c r="I176">
        <v>10</v>
      </c>
      <c r="J176">
        <v>10</v>
      </c>
      <c r="K176">
        <v>0</v>
      </c>
      <c r="L176">
        <v>4</v>
      </c>
      <c r="M176">
        <v>4</v>
      </c>
      <c r="N176">
        <v>0</v>
      </c>
      <c r="O176">
        <v>6</v>
      </c>
      <c r="P176">
        <v>6</v>
      </c>
      <c r="Q176">
        <v>0</v>
      </c>
      <c r="R176">
        <v>8</v>
      </c>
      <c r="S176">
        <v>3</v>
      </c>
      <c r="T176">
        <v>0</v>
      </c>
      <c r="U176">
        <v>0</v>
      </c>
      <c r="V176">
        <v>100</v>
      </c>
      <c r="W176">
        <v>0</v>
      </c>
    </row>
    <row r="177" spans="1:23" x14ac:dyDescent="0.3">
      <c r="A177">
        <v>51</v>
      </c>
      <c r="B177">
        <v>1</v>
      </c>
      <c r="C177">
        <v>3</v>
      </c>
      <c r="D177">
        <v>1</v>
      </c>
      <c r="E177" t="s">
        <v>253</v>
      </c>
      <c r="F177" t="s">
        <v>254</v>
      </c>
      <c r="G177">
        <v>153.41</v>
      </c>
      <c r="H177" t="b">
        <v>1</v>
      </c>
      <c r="I177">
        <v>5</v>
      </c>
      <c r="J177">
        <v>5</v>
      </c>
      <c r="K177">
        <v>0</v>
      </c>
      <c r="L177">
        <v>2</v>
      </c>
      <c r="M177">
        <v>2</v>
      </c>
      <c r="N177">
        <v>0</v>
      </c>
      <c r="O177">
        <v>3</v>
      </c>
      <c r="P177">
        <v>3</v>
      </c>
      <c r="Q177">
        <v>0</v>
      </c>
      <c r="R177">
        <v>4</v>
      </c>
      <c r="S177">
        <v>3</v>
      </c>
      <c r="T177">
        <v>0</v>
      </c>
      <c r="U177">
        <v>0</v>
      </c>
      <c r="V177">
        <v>100</v>
      </c>
      <c r="W177">
        <v>0</v>
      </c>
    </row>
    <row r="178" spans="1:23" x14ac:dyDescent="0.3">
      <c r="A178">
        <v>51</v>
      </c>
      <c r="B178">
        <v>3</v>
      </c>
      <c r="C178">
        <v>1</v>
      </c>
      <c r="D178">
        <v>3</v>
      </c>
      <c r="E178" t="s">
        <v>255</v>
      </c>
      <c r="F178" t="s">
        <v>256</v>
      </c>
      <c r="G178">
        <v>495.214</v>
      </c>
      <c r="H178" t="b">
        <v>1</v>
      </c>
      <c r="I178">
        <v>10</v>
      </c>
      <c r="J178">
        <v>9</v>
      </c>
      <c r="K178">
        <v>1</v>
      </c>
      <c r="L178">
        <v>4</v>
      </c>
      <c r="M178">
        <v>4</v>
      </c>
      <c r="N178">
        <v>0</v>
      </c>
      <c r="O178">
        <v>6</v>
      </c>
      <c r="P178">
        <v>5</v>
      </c>
      <c r="Q178">
        <v>1</v>
      </c>
      <c r="R178">
        <v>12</v>
      </c>
      <c r="S178">
        <v>9</v>
      </c>
      <c r="T178">
        <v>0</v>
      </c>
      <c r="U178">
        <v>0</v>
      </c>
      <c r="V178">
        <v>90</v>
      </c>
      <c r="W178">
        <v>10</v>
      </c>
    </row>
    <row r="179" spans="1:23" x14ac:dyDescent="0.3">
      <c r="A179">
        <v>51</v>
      </c>
      <c r="B179">
        <v>3</v>
      </c>
      <c r="C179">
        <v>2</v>
      </c>
      <c r="D179">
        <v>1</v>
      </c>
      <c r="E179" t="s">
        <v>256</v>
      </c>
      <c r="F179" t="s">
        <v>257</v>
      </c>
      <c r="G179">
        <v>253.32900000000001</v>
      </c>
      <c r="H179" t="b">
        <v>0</v>
      </c>
      <c r="I179">
        <v>5</v>
      </c>
      <c r="J179">
        <v>5</v>
      </c>
      <c r="K179">
        <v>0</v>
      </c>
      <c r="L179">
        <v>2</v>
      </c>
      <c r="M179">
        <v>2</v>
      </c>
      <c r="N179">
        <v>0</v>
      </c>
      <c r="O179">
        <v>3</v>
      </c>
      <c r="P179">
        <v>3</v>
      </c>
      <c r="Q179">
        <v>0</v>
      </c>
      <c r="R179">
        <v>4</v>
      </c>
      <c r="S179">
        <v>2</v>
      </c>
      <c r="T179">
        <v>1</v>
      </c>
      <c r="U179">
        <v>1</v>
      </c>
      <c r="V179">
        <v>100</v>
      </c>
      <c r="W179">
        <v>0</v>
      </c>
    </row>
    <row r="180" spans="1:23" x14ac:dyDescent="0.3">
      <c r="A180">
        <v>51</v>
      </c>
      <c r="B180">
        <v>3</v>
      </c>
      <c r="C180">
        <v>3</v>
      </c>
      <c r="D180">
        <v>2</v>
      </c>
      <c r="E180" t="s">
        <v>257</v>
      </c>
      <c r="F180" t="s">
        <v>258</v>
      </c>
      <c r="G180">
        <v>291.51499999999999</v>
      </c>
      <c r="H180" t="b">
        <v>1</v>
      </c>
      <c r="I180">
        <v>17</v>
      </c>
      <c r="J180">
        <v>15</v>
      </c>
      <c r="K180">
        <v>2</v>
      </c>
      <c r="L180">
        <v>4</v>
      </c>
      <c r="M180">
        <v>4</v>
      </c>
      <c r="N180">
        <v>0</v>
      </c>
      <c r="O180">
        <v>13</v>
      </c>
      <c r="P180">
        <v>11</v>
      </c>
      <c r="Q180">
        <v>2</v>
      </c>
      <c r="R180">
        <v>8</v>
      </c>
      <c r="S180">
        <v>6</v>
      </c>
      <c r="T180">
        <v>0</v>
      </c>
      <c r="U180">
        <v>0</v>
      </c>
      <c r="V180">
        <v>88.235294117647001</v>
      </c>
      <c r="W180">
        <v>11.764705882352899</v>
      </c>
    </row>
    <row r="181" spans="1:23" x14ac:dyDescent="0.3">
      <c r="A181">
        <v>52</v>
      </c>
      <c r="B181">
        <v>1</v>
      </c>
      <c r="C181">
        <v>1</v>
      </c>
      <c r="D181">
        <v>10</v>
      </c>
      <c r="E181" t="s">
        <v>259</v>
      </c>
      <c r="F181" t="s">
        <v>260</v>
      </c>
      <c r="G181">
        <v>1945.4490000000001</v>
      </c>
      <c r="H181" t="b">
        <v>0</v>
      </c>
      <c r="I181">
        <v>15</v>
      </c>
      <c r="J181">
        <v>13</v>
      </c>
      <c r="K181">
        <v>2</v>
      </c>
      <c r="L181">
        <v>7</v>
      </c>
      <c r="M181">
        <v>7</v>
      </c>
      <c r="N181">
        <v>0</v>
      </c>
      <c r="O181">
        <v>8</v>
      </c>
      <c r="P181">
        <v>6</v>
      </c>
      <c r="Q181">
        <v>2</v>
      </c>
      <c r="R181">
        <v>19</v>
      </c>
      <c r="S181">
        <v>18</v>
      </c>
      <c r="T181">
        <v>0</v>
      </c>
      <c r="U181">
        <v>0</v>
      </c>
      <c r="V181">
        <v>86.6666666666666</v>
      </c>
      <c r="W181">
        <v>13.3333333333333</v>
      </c>
    </row>
    <row r="182" spans="1:23" x14ac:dyDescent="0.3">
      <c r="A182">
        <v>53</v>
      </c>
      <c r="B182">
        <v>3</v>
      </c>
      <c r="C182">
        <v>1</v>
      </c>
      <c r="D182">
        <v>5</v>
      </c>
      <c r="E182" t="s">
        <v>261</v>
      </c>
      <c r="F182" t="s">
        <v>262</v>
      </c>
      <c r="G182">
        <v>1791.9269999999999</v>
      </c>
      <c r="H182" t="b">
        <v>1</v>
      </c>
      <c r="I182">
        <v>16</v>
      </c>
      <c r="J182">
        <v>13</v>
      </c>
      <c r="K182">
        <v>3</v>
      </c>
      <c r="L182">
        <v>9</v>
      </c>
      <c r="M182">
        <v>9</v>
      </c>
      <c r="N182">
        <v>0</v>
      </c>
      <c r="O182">
        <v>7</v>
      </c>
      <c r="P182">
        <v>4</v>
      </c>
      <c r="Q182">
        <v>3</v>
      </c>
      <c r="R182">
        <v>20</v>
      </c>
      <c r="S182">
        <v>20</v>
      </c>
      <c r="T182">
        <v>0</v>
      </c>
      <c r="U182">
        <v>0</v>
      </c>
      <c r="V182">
        <v>81.25</v>
      </c>
      <c r="W182">
        <v>18.75</v>
      </c>
    </row>
    <row r="183" spans="1:23" x14ac:dyDescent="0.3">
      <c r="A183">
        <v>53</v>
      </c>
      <c r="B183">
        <v>3</v>
      </c>
      <c r="C183">
        <v>2</v>
      </c>
      <c r="D183">
        <v>2</v>
      </c>
      <c r="E183" t="s">
        <v>262</v>
      </c>
      <c r="F183" t="s">
        <v>263</v>
      </c>
      <c r="G183">
        <v>575.88199999999995</v>
      </c>
      <c r="H183" t="b">
        <v>1</v>
      </c>
      <c r="I183">
        <v>8</v>
      </c>
      <c r="J183">
        <v>8</v>
      </c>
      <c r="K183">
        <v>0</v>
      </c>
      <c r="L183">
        <v>4</v>
      </c>
      <c r="M183">
        <v>4</v>
      </c>
      <c r="N183">
        <v>0</v>
      </c>
      <c r="O183">
        <v>4</v>
      </c>
      <c r="P183">
        <v>4</v>
      </c>
      <c r="Q183">
        <v>0</v>
      </c>
      <c r="R183">
        <v>8</v>
      </c>
      <c r="S183">
        <v>8</v>
      </c>
      <c r="T183">
        <v>0</v>
      </c>
      <c r="U183">
        <v>0</v>
      </c>
      <c r="V183">
        <v>100</v>
      </c>
      <c r="W183">
        <v>0</v>
      </c>
    </row>
    <row r="184" spans="1:23" x14ac:dyDescent="0.3">
      <c r="A184">
        <v>53</v>
      </c>
      <c r="B184">
        <v>3</v>
      </c>
      <c r="C184">
        <v>3</v>
      </c>
      <c r="D184">
        <v>1</v>
      </c>
      <c r="E184" t="s">
        <v>263</v>
      </c>
      <c r="F184" t="s">
        <v>264</v>
      </c>
      <c r="G184">
        <v>390.33800000000002</v>
      </c>
      <c r="H184" t="b">
        <v>1</v>
      </c>
      <c r="I184">
        <v>4</v>
      </c>
      <c r="J184">
        <v>4</v>
      </c>
      <c r="K184">
        <v>0</v>
      </c>
      <c r="L184">
        <v>2</v>
      </c>
      <c r="M184">
        <v>2</v>
      </c>
      <c r="N184">
        <v>0</v>
      </c>
      <c r="O184">
        <v>2</v>
      </c>
      <c r="P184">
        <v>2</v>
      </c>
      <c r="Q184">
        <v>0</v>
      </c>
      <c r="R184">
        <v>4</v>
      </c>
      <c r="S184">
        <v>4</v>
      </c>
      <c r="T184">
        <v>0</v>
      </c>
      <c r="U184">
        <v>0</v>
      </c>
      <c r="V184">
        <v>100</v>
      </c>
      <c r="W184">
        <v>0</v>
      </c>
    </row>
    <row r="185" spans="1:23" x14ac:dyDescent="0.3">
      <c r="A185">
        <v>5</v>
      </c>
      <c r="B185">
        <v>1</v>
      </c>
      <c r="C185">
        <v>1</v>
      </c>
      <c r="D185">
        <v>5</v>
      </c>
      <c r="E185" t="s">
        <v>265</v>
      </c>
      <c r="F185" t="s">
        <v>266</v>
      </c>
      <c r="G185">
        <v>1334.761</v>
      </c>
      <c r="H185" t="b">
        <v>0</v>
      </c>
      <c r="I185">
        <v>10</v>
      </c>
      <c r="J185">
        <v>4</v>
      </c>
      <c r="K185">
        <v>6</v>
      </c>
      <c r="L185">
        <v>4</v>
      </c>
      <c r="M185">
        <v>4</v>
      </c>
      <c r="N185">
        <v>0</v>
      </c>
      <c r="O185">
        <v>6</v>
      </c>
      <c r="P185">
        <v>0</v>
      </c>
      <c r="Q185">
        <v>6</v>
      </c>
      <c r="R185">
        <v>14</v>
      </c>
      <c r="S185">
        <v>10</v>
      </c>
      <c r="T185">
        <v>1</v>
      </c>
      <c r="U185">
        <v>1</v>
      </c>
      <c r="V185">
        <v>40</v>
      </c>
      <c r="W185">
        <v>60</v>
      </c>
    </row>
    <row r="186" spans="1:23" x14ac:dyDescent="0.3">
      <c r="A186">
        <v>5</v>
      </c>
      <c r="B186">
        <v>1</v>
      </c>
      <c r="C186">
        <v>2</v>
      </c>
      <c r="D186">
        <v>2</v>
      </c>
      <c r="E186" t="s">
        <v>266</v>
      </c>
      <c r="F186" t="s">
        <v>267</v>
      </c>
      <c r="G186">
        <v>3522.2469999999998</v>
      </c>
      <c r="H186" t="b">
        <v>0</v>
      </c>
      <c r="I186">
        <v>6</v>
      </c>
      <c r="J186">
        <v>5</v>
      </c>
      <c r="K186">
        <v>1</v>
      </c>
      <c r="L186">
        <v>4</v>
      </c>
      <c r="M186">
        <v>4</v>
      </c>
      <c r="N186">
        <v>0</v>
      </c>
      <c r="O186">
        <v>2</v>
      </c>
      <c r="P186">
        <v>1</v>
      </c>
      <c r="Q186">
        <v>1</v>
      </c>
      <c r="R186">
        <v>8</v>
      </c>
      <c r="S186">
        <v>4</v>
      </c>
      <c r="T186">
        <v>2</v>
      </c>
      <c r="U186">
        <v>2</v>
      </c>
      <c r="V186">
        <v>83.3333333333333</v>
      </c>
      <c r="W186">
        <v>16.6666666666666</v>
      </c>
    </row>
    <row r="187" spans="1:23" x14ac:dyDescent="0.3">
      <c r="A187">
        <v>65</v>
      </c>
      <c r="B187">
        <v>1</v>
      </c>
      <c r="C187">
        <v>1</v>
      </c>
      <c r="D187">
        <v>1</v>
      </c>
      <c r="E187" t="s">
        <v>268</v>
      </c>
      <c r="F187" t="s">
        <v>269</v>
      </c>
      <c r="G187">
        <v>136.62299999999999</v>
      </c>
      <c r="H187" t="b">
        <v>1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3</v>
      </c>
      <c r="S187">
        <v>3</v>
      </c>
      <c r="T187">
        <v>0</v>
      </c>
      <c r="U187">
        <v>0</v>
      </c>
      <c r="V187">
        <v>100</v>
      </c>
      <c r="W187">
        <v>0</v>
      </c>
    </row>
    <row r="188" spans="1:23" x14ac:dyDescent="0.3">
      <c r="A188">
        <v>6</v>
      </c>
      <c r="B188">
        <v>1</v>
      </c>
      <c r="C188">
        <v>1</v>
      </c>
      <c r="D188">
        <v>11</v>
      </c>
      <c r="E188" t="s">
        <v>270</v>
      </c>
      <c r="F188" t="s">
        <v>271</v>
      </c>
      <c r="G188">
        <v>1212.942</v>
      </c>
      <c r="H188" t="b">
        <v>0</v>
      </c>
      <c r="I188">
        <v>8</v>
      </c>
      <c r="J188">
        <v>6</v>
      </c>
      <c r="K188">
        <v>2</v>
      </c>
      <c r="L188">
        <v>4</v>
      </c>
      <c r="M188">
        <v>4</v>
      </c>
      <c r="N188">
        <v>0</v>
      </c>
      <c r="O188">
        <v>4</v>
      </c>
      <c r="P188">
        <v>2</v>
      </c>
      <c r="Q188">
        <v>2</v>
      </c>
      <c r="R188">
        <v>15</v>
      </c>
      <c r="S188">
        <v>9</v>
      </c>
      <c r="T188">
        <v>0</v>
      </c>
      <c r="U188">
        <v>0</v>
      </c>
      <c r="V188">
        <v>75</v>
      </c>
      <c r="W188">
        <v>25</v>
      </c>
    </row>
    <row r="189" spans="1:23" x14ac:dyDescent="0.3">
      <c r="A189">
        <v>6</v>
      </c>
      <c r="B189">
        <v>2</v>
      </c>
      <c r="C189">
        <v>1</v>
      </c>
      <c r="D189">
        <v>3</v>
      </c>
      <c r="E189" t="s">
        <v>272</v>
      </c>
      <c r="F189" t="s">
        <v>273</v>
      </c>
      <c r="G189">
        <v>439.37299999999999</v>
      </c>
      <c r="H189" t="b">
        <v>1</v>
      </c>
      <c r="I189">
        <v>11</v>
      </c>
      <c r="J189">
        <v>10</v>
      </c>
      <c r="K189">
        <v>1</v>
      </c>
      <c r="L189">
        <v>6</v>
      </c>
      <c r="M189">
        <v>6</v>
      </c>
      <c r="N189">
        <v>0</v>
      </c>
      <c r="O189">
        <v>5</v>
      </c>
      <c r="P189">
        <v>4</v>
      </c>
      <c r="Q189">
        <v>1</v>
      </c>
      <c r="R189">
        <v>10</v>
      </c>
      <c r="S189">
        <v>7</v>
      </c>
      <c r="T189">
        <v>0</v>
      </c>
      <c r="U189">
        <v>0</v>
      </c>
      <c r="V189">
        <v>90.909090909090907</v>
      </c>
      <c r="W189">
        <v>9.0909090909090899</v>
      </c>
    </row>
    <row r="190" spans="1:23" x14ac:dyDescent="0.3">
      <c r="A190">
        <v>6</v>
      </c>
      <c r="B190">
        <v>2</v>
      </c>
      <c r="C190">
        <v>2</v>
      </c>
      <c r="D190">
        <v>1</v>
      </c>
      <c r="E190" t="s">
        <v>273</v>
      </c>
      <c r="F190" t="s">
        <v>274</v>
      </c>
      <c r="G190">
        <v>145.673</v>
      </c>
      <c r="H190" t="b">
        <v>0</v>
      </c>
      <c r="I190">
        <v>2</v>
      </c>
      <c r="J190">
        <v>2</v>
      </c>
      <c r="K190">
        <v>0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0</v>
      </c>
      <c r="T190">
        <v>1</v>
      </c>
      <c r="U190">
        <v>1</v>
      </c>
      <c r="V190">
        <v>100</v>
      </c>
      <c r="W190">
        <v>0</v>
      </c>
    </row>
    <row r="191" spans="1:23" x14ac:dyDescent="0.3">
      <c r="A191">
        <v>6</v>
      </c>
      <c r="B191">
        <v>3</v>
      </c>
      <c r="C191">
        <v>1</v>
      </c>
      <c r="D191">
        <v>2</v>
      </c>
      <c r="E191" t="s">
        <v>275</v>
      </c>
      <c r="F191" t="s">
        <v>276</v>
      </c>
      <c r="G191">
        <v>264.03100000000001</v>
      </c>
      <c r="H191" t="b">
        <v>0</v>
      </c>
      <c r="I191">
        <v>7</v>
      </c>
      <c r="J191">
        <v>6</v>
      </c>
      <c r="K191">
        <v>1</v>
      </c>
      <c r="L191">
        <v>4</v>
      </c>
      <c r="M191">
        <v>4</v>
      </c>
      <c r="N191">
        <v>0</v>
      </c>
      <c r="O191">
        <v>3</v>
      </c>
      <c r="P191">
        <v>2</v>
      </c>
      <c r="Q191">
        <v>1</v>
      </c>
      <c r="R191">
        <v>7</v>
      </c>
      <c r="S191">
        <v>5</v>
      </c>
      <c r="T191">
        <v>0</v>
      </c>
      <c r="U191">
        <v>0</v>
      </c>
      <c r="V191">
        <v>85.714285714285694</v>
      </c>
      <c r="W191">
        <v>14.285714285714199</v>
      </c>
    </row>
    <row r="192" spans="1:23" x14ac:dyDescent="0.3">
      <c r="A192">
        <v>6</v>
      </c>
      <c r="B192">
        <v>3</v>
      </c>
      <c r="C192">
        <v>2</v>
      </c>
      <c r="D192">
        <v>2</v>
      </c>
      <c r="E192" t="s">
        <v>276</v>
      </c>
      <c r="F192" t="s">
        <v>277</v>
      </c>
      <c r="G192">
        <v>293.161</v>
      </c>
      <c r="H192" t="b">
        <v>1</v>
      </c>
      <c r="I192">
        <v>4</v>
      </c>
      <c r="J192">
        <v>4</v>
      </c>
      <c r="K192">
        <v>0</v>
      </c>
      <c r="L192">
        <v>2</v>
      </c>
      <c r="M192">
        <v>2</v>
      </c>
      <c r="N192">
        <v>0</v>
      </c>
      <c r="O192">
        <v>2</v>
      </c>
      <c r="P192">
        <v>2</v>
      </c>
      <c r="Q192">
        <v>0</v>
      </c>
      <c r="R192">
        <v>5</v>
      </c>
      <c r="S192">
        <v>2</v>
      </c>
      <c r="T192">
        <v>0</v>
      </c>
      <c r="U192">
        <v>0</v>
      </c>
      <c r="V192">
        <v>100</v>
      </c>
      <c r="W192">
        <v>0</v>
      </c>
    </row>
    <row r="193" spans="1:23" x14ac:dyDescent="0.3">
      <c r="A193">
        <v>6</v>
      </c>
      <c r="B193">
        <v>3</v>
      </c>
      <c r="C193">
        <v>3</v>
      </c>
      <c r="D193">
        <v>1</v>
      </c>
      <c r="E193" t="s">
        <v>277</v>
      </c>
      <c r="F193" t="s">
        <v>278</v>
      </c>
      <c r="G193">
        <v>166.51599999999999</v>
      </c>
      <c r="H193" t="b">
        <v>0</v>
      </c>
      <c r="I193">
        <v>4</v>
      </c>
      <c r="J193">
        <v>4</v>
      </c>
      <c r="K193">
        <v>0</v>
      </c>
      <c r="L193">
        <v>2</v>
      </c>
      <c r="M193">
        <v>2</v>
      </c>
      <c r="N193">
        <v>0</v>
      </c>
      <c r="O193">
        <v>2</v>
      </c>
      <c r="P193">
        <v>2</v>
      </c>
      <c r="Q193">
        <v>0</v>
      </c>
      <c r="R193">
        <v>4</v>
      </c>
      <c r="S193">
        <v>3</v>
      </c>
      <c r="T193">
        <v>0</v>
      </c>
      <c r="U193">
        <v>0</v>
      </c>
      <c r="V193">
        <v>100</v>
      </c>
      <c r="W193">
        <v>0</v>
      </c>
    </row>
    <row r="194" spans="1:23" x14ac:dyDescent="0.3">
      <c r="A194">
        <v>6</v>
      </c>
      <c r="B194">
        <v>3</v>
      </c>
      <c r="C194">
        <v>1</v>
      </c>
      <c r="D194">
        <v>1</v>
      </c>
      <c r="E194" t="s">
        <v>278</v>
      </c>
      <c r="F194" t="s">
        <v>279</v>
      </c>
      <c r="G194">
        <v>178.62299999999999</v>
      </c>
      <c r="H194" t="b">
        <v>0</v>
      </c>
      <c r="I194">
        <v>4</v>
      </c>
      <c r="J194">
        <v>4</v>
      </c>
      <c r="K194">
        <v>0</v>
      </c>
      <c r="L194">
        <v>2</v>
      </c>
      <c r="M194">
        <v>2</v>
      </c>
      <c r="N194">
        <v>0</v>
      </c>
      <c r="O194">
        <v>2</v>
      </c>
      <c r="P194">
        <v>2</v>
      </c>
      <c r="Q194">
        <v>0</v>
      </c>
      <c r="R194">
        <v>4</v>
      </c>
      <c r="S194">
        <v>3</v>
      </c>
      <c r="T194">
        <v>0</v>
      </c>
      <c r="U194">
        <v>0</v>
      </c>
      <c r="V194">
        <v>100</v>
      </c>
      <c r="W194">
        <v>0</v>
      </c>
    </row>
    <row r="195" spans="1:23" x14ac:dyDescent="0.3">
      <c r="A195">
        <v>6</v>
      </c>
      <c r="B195">
        <v>3</v>
      </c>
      <c r="C195">
        <v>3</v>
      </c>
      <c r="D195">
        <v>3</v>
      </c>
      <c r="E195" t="s">
        <v>279</v>
      </c>
      <c r="F195" t="s">
        <v>280</v>
      </c>
      <c r="G195">
        <v>300.98700000000002</v>
      </c>
      <c r="H195" t="b">
        <v>1</v>
      </c>
      <c r="I195">
        <v>8</v>
      </c>
      <c r="J195">
        <v>8</v>
      </c>
      <c r="K195">
        <v>0</v>
      </c>
      <c r="L195">
        <v>4</v>
      </c>
      <c r="M195">
        <v>4</v>
      </c>
      <c r="N195">
        <v>0</v>
      </c>
      <c r="O195">
        <v>4</v>
      </c>
      <c r="P195">
        <v>4</v>
      </c>
      <c r="Q195">
        <v>0</v>
      </c>
      <c r="R195">
        <v>8</v>
      </c>
      <c r="S195">
        <v>6</v>
      </c>
      <c r="T195">
        <v>0</v>
      </c>
      <c r="U195">
        <v>0</v>
      </c>
      <c r="V195">
        <v>100</v>
      </c>
      <c r="W195">
        <v>0</v>
      </c>
    </row>
    <row r="196" spans="1:23" x14ac:dyDescent="0.3">
      <c r="A196">
        <v>7</v>
      </c>
      <c r="B196">
        <v>1</v>
      </c>
      <c r="C196">
        <v>1</v>
      </c>
      <c r="D196">
        <v>2</v>
      </c>
      <c r="E196" t="s">
        <v>281</v>
      </c>
      <c r="F196" t="s">
        <v>282</v>
      </c>
      <c r="G196">
        <v>363.834</v>
      </c>
      <c r="H196" t="b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1</v>
      </c>
      <c r="T196">
        <v>0</v>
      </c>
      <c r="U196">
        <v>0</v>
      </c>
      <c r="V196" t="s">
        <v>342</v>
      </c>
      <c r="W196" t="s">
        <v>342</v>
      </c>
    </row>
    <row r="197" spans="1:23" x14ac:dyDescent="0.3">
      <c r="A197">
        <v>7</v>
      </c>
      <c r="B197">
        <v>1</v>
      </c>
      <c r="C197">
        <v>2</v>
      </c>
      <c r="D197">
        <v>2</v>
      </c>
      <c r="E197" t="s">
        <v>282</v>
      </c>
      <c r="F197" t="s">
        <v>283</v>
      </c>
      <c r="G197">
        <v>306.89299999999997</v>
      </c>
      <c r="H197" t="b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</v>
      </c>
      <c r="S197">
        <v>3</v>
      </c>
      <c r="T197">
        <v>0</v>
      </c>
      <c r="U197">
        <v>0</v>
      </c>
      <c r="V197" t="s">
        <v>342</v>
      </c>
      <c r="W197" t="s">
        <v>342</v>
      </c>
    </row>
    <row r="198" spans="1:23" x14ac:dyDescent="0.3">
      <c r="A198">
        <v>7</v>
      </c>
      <c r="B198">
        <v>1</v>
      </c>
      <c r="C198">
        <v>1</v>
      </c>
      <c r="D198">
        <v>1</v>
      </c>
      <c r="E198" t="s">
        <v>283</v>
      </c>
      <c r="F198" t="s">
        <v>284</v>
      </c>
      <c r="G198">
        <v>43.689</v>
      </c>
      <c r="H198" t="b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">
        <v>342</v>
      </c>
      <c r="W198" t="s">
        <v>342</v>
      </c>
    </row>
    <row r="199" spans="1:23" x14ac:dyDescent="0.3">
      <c r="A199">
        <v>7</v>
      </c>
      <c r="B199">
        <v>1</v>
      </c>
      <c r="C199">
        <v>3</v>
      </c>
      <c r="D199">
        <v>2</v>
      </c>
      <c r="E199" t="s">
        <v>284</v>
      </c>
      <c r="F199" t="s">
        <v>285</v>
      </c>
      <c r="G199">
        <v>204.87799999999999</v>
      </c>
      <c r="H199" t="b">
        <v>0</v>
      </c>
      <c r="I199">
        <v>3</v>
      </c>
      <c r="J199">
        <v>2</v>
      </c>
      <c r="K199">
        <v>1</v>
      </c>
      <c r="L199">
        <v>2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4</v>
      </c>
      <c r="S199">
        <v>3</v>
      </c>
      <c r="T199">
        <v>0</v>
      </c>
      <c r="U199">
        <v>1</v>
      </c>
      <c r="V199">
        <v>66.6666666666666</v>
      </c>
      <c r="W199">
        <v>33.3333333333333</v>
      </c>
    </row>
    <row r="200" spans="1:23" x14ac:dyDescent="0.3">
      <c r="A200">
        <v>7</v>
      </c>
      <c r="B200">
        <v>2</v>
      </c>
      <c r="C200">
        <v>1</v>
      </c>
      <c r="D200">
        <v>1</v>
      </c>
      <c r="E200" t="s">
        <v>286</v>
      </c>
      <c r="F200" t="s">
        <v>287</v>
      </c>
      <c r="G200">
        <v>33.176000000000002</v>
      </c>
      <c r="H200" t="b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">
        <v>342</v>
      </c>
      <c r="W200" t="s">
        <v>342</v>
      </c>
    </row>
    <row r="201" spans="1:23" x14ac:dyDescent="0.3">
      <c r="A201">
        <v>7</v>
      </c>
      <c r="B201">
        <v>3</v>
      </c>
      <c r="C201">
        <v>1</v>
      </c>
      <c r="D201">
        <v>7</v>
      </c>
      <c r="E201" t="s">
        <v>288</v>
      </c>
      <c r="F201" t="s">
        <v>289</v>
      </c>
      <c r="G201">
        <v>1414.277</v>
      </c>
      <c r="H201" t="b">
        <v>0</v>
      </c>
      <c r="I201">
        <v>29</v>
      </c>
      <c r="J201">
        <v>22</v>
      </c>
      <c r="K201">
        <v>7</v>
      </c>
      <c r="L201">
        <v>14</v>
      </c>
      <c r="M201">
        <v>13</v>
      </c>
      <c r="N201">
        <v>1</v>
      </c>
      <c r="O201">
        <v>15</v>
      </c>
      <c r="P201">
        <v>9</v>
      </c>
      <c r="Q201">
        <v>6</v>
      </c>
      <c r="R201">
        <v>13</v>
      </c>
      <c r="S201">
        <v>13</v>
      </c>
      <c r="T201">
        <v>0</v>
      </c>
      <c r="U201">
        <v>0</v>
      </c>
      <c r="V201">
        <v>75.862068965517196</v>
      </c>
      <c r="W201">
        <v>24.137931034482701</v>
      </c>
    </row>
    <row r="202" spans="1:23" x14ac:dyDescent="0.3">
      <c r="A202">
        <v>7</v>
      </c>
      <c r="B202">
        <v>3</v>
      </c>
      <c r="C202">
        <v>3</v>
      </c>
      <c r="D202">
        <v>1</v>
      </c>
      <c r="E202" t="s">
        <v>289</v>
      </c>
      <c r="F202" t="s">
        <v>290</v>
      </c>
      <c r="G202">
        <v>236.52099999999999</v>
      </c>
      <c r="H202" t="b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4</v>
      </c>
      <c r="T202">
        <v>0</v>
      </c>
      <c r="U202">
        <v>0</v>
      </c>
      <c r="V202" t="s">
        <v>342</v>
      </c>
      <c r="W202" t="s">
        <v>342</v>
      </c>
    </row>
    <row r="203" spans="1:23" x14ac:dyDescent="0.3">
      <c r="A203">
        <v>7</v>
      </c>
      <c r="B203">
        <v>3</v>
      </c>
      <c r="C203">
        <v>2</v>
      </c>
      <c r="D203">
        <v>1</v>
      </c>
      <c r="E203" t="s">
        <v>290</v>
      </c>
      <c r="F203" t="s">
        <v>291</v>
      </c>
      <c r="G203">
        <v>3.0000000000000001E-3</v>
      </c>
      <c r="H203" t="b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s">
        <v>342</v>
      </c>
      <c r="W203" t="s">
        <v>342</v>
      </c>
    </row>
    <row r="204" spans="1:23" x14ac:dyDescent="0.3">
      <c r="A204">
        <v>8</v>
      </c>
      <c r="B204">
        <v>1</v>
      </c>
      <c r="C204">
        <v>1</v>
      </c>
      <c r="D204">
        <v>3</v>
      </c>
      <c r="E204" t="s">
        <v>292</v>
      </c>
      <c r="F204" t="s">
        <v>293</v>
      </c>
      <c r="G204">
        <v>521.17200000000003</v>
      </c>
      <c r="H204" t="b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</v>
      </c>
      <c r="S204">
        <v>1</v>
      </c>
      <c r="T204">
        <v>0</v>
      </c>
      <c r="U204">
        <v>0</v>
      </c>
      <c r="V204" t="s">
        <v>342</v>
      </c>
      <c r="W204" t="s">
        <v>342</v>
      </c>
    </row>
    <row r="205" spans="1:23" x14ac:dyDescent="0.3">
      <c r="A205">
        <v>8</v>
      </c>
      <c r="B205">
        <v>1</v>
      </c>
      <c r="C205">
        <v>2</v>
      </c>
      <c r="D205">
        <v>2</v>
      </c>
      <c r="E205" t="s">
        <v>293</v>
      </c>
      <c r="F205" t="s">
        <v>294</v>
      </c>
      <c r="G205">
        <v>458.50900000000001</v>
      </c>
      <c r="H205" t="b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</v>
      </c>
      <c r="S205">
        <v>1</v>
      </c>
      <c r="T205">
        <v>0</v>
      </c>
      <c r="U205">
        <v>0</v>
      </c>
      <c r="V205" t="s">
        <v>342</v>
      </c>
      <c r="W205" t="s">
        <v>342</v>
      </c>
    </row>
    <row r="206" spans="1:23" x14ac:dyDescent="0.3">
      <c r="A206">
        <v>8</v>
      </c>
      <c r="B206">
        <v>2</v>
      </c>
      <c r="C206">
        <v>1</v>
      </c>
      <c r="D206">
        <v>8</v>
      </c>
      <c r="E206" t="s">
        <v>295</v>
      </c>
      <c r="F206" t="s">
        <v>296</v>
      </c>
      <c r="G206">
        <v>1146.846</v>
      </c>
      <c r="H206" t="b">
        <v>0</v>
      </c>
      <c r="I206">
        <v>7</v>
      </c>
      <c r="J206">
        <v>5</v>
      </c>
      <c r="K206">
        <v>2</v>
      </c>
      <c r="L206">
        <v>5</v>
      </c>
      <c r="M206">
        <v>4</v>
      </c>
      <c r="N206">
        <v>1</v>
      </c>
      <c r="O206">
        <v>2</v>
      </c>
      <c r="P206">
        <v>1</v>
      </c>
      <c r="Q206">
        <v>1</v>
      </c>
      <c r="R206">
        <v>12</v>
      </c>
      <c r="S206">
        <v>9</v>
      </c>
      <c r="T206">
        <v>0</v>
      </c>
      <c r="U206">
        <v>0</v>
      </c>
      <c r="V206">
        <v>71.428571428571402</v>
      </c>
      <c r="W206">
        <v>28.571428571428498</v>
      </c>
    </row>
    <row r="207" spans="1:23" x14ac:dyDescent="0.3">
      <c r="A207">
        <v>8</v>
      </c>
      <c r="B207">
        <v>3</v>
      </c>
      <c r="C207">
        <v>1</v>
      </c>
      <c r="D207">
        <v>13</v>
      </c>
      <c r="E207" t="s">
        <v>297</v>
      </c>
      <c r="F207" t="s">
        <v>298</v>
      </c>
      <c r="G207">
        <v>2677.895</v>
      </c>
      <c r="H207" t="b">
        <v>0</v>
      </c>
      <c r="I207">
        <v>25</v>
      </c>
      <c r="J207">
        <v>19</v>
      </c>
      <c r="K207">
        <v>6</v>
      </c>
      <c r="L207">
        <v>13</v>
      </c>
      <c r="M207">
        <v>12</v>
      </c>
      <c r="N207">
        <v>1</v>
      </c>
      <c r="O207">
        <v>12</v>
      </c>
      <c r="P207">
        <v>7</v>
      </c>
      <c r="Q207">
        <v>5</v>
      </c>
      <c r="R207">
        <v>36</v>
      </c>
      <c r="S207">
        <v>25</v>
      </c>
      <c r="T207">
        <v>2</v>
      </c>
      <c r="U207">
        <v>2</v>
      </c>
      <c r="V207">
        <v>76</v>
      </c>
      <c r="W207">
        <v>24</v>
      </c>
    </row>
    <row r="208" spans="1:23" x14ac:dyDescent="0.3">
      <c r="A208">
        <v>9</v>
      </c>
      <c r="B208">
        <v>1</v>
      </c>
      <c r="C208">
        <v>1</v>
      </c>
      <c r="D208">
        <v>7</v>
      </c>
      <c r="E208" t="s">
        <v>299</v>
      </c>
      <c r="F208" t="s">
        <v>300</v>
      </c>
      <c r="G208">
        <v>1421.896</v>
      </c>
      <c r="H208" t="b">
        <v>1</v>
      </c>
      <c r="I208">
        <v>16</v>
      </c>
      <c r="J208">
        <v>15</v>
      </c>
      <c r="K208">
        <v>1</v>
      </c>
      <c r="L208">
        <v>8</v>
      </c>
      <c r="M208">
        <v>8</v>
      </c>
      <c r="N208">
        <v>0</v>
      </c>
      <c r="O208">
        <v>8</v>
      </c>
      <c r="P208">
        <v>7</v>
      </c>
      <c r="Q208">
        <v>1</v>
      </c>
      <c r="R208">
        <v>21</v>
      </c>
      <c r="S208">
        <v>14</v>
      </c>
      <c r="T208">
        <v>0</v>
      </c>
      <c r="U208">
        <v>0</v>
      </c>
      <c r="V208">
        <v>93.75</v>
      </c>
      <c r="W208">
        <v>6.25</v>
      </c>
    </row>
    <row r="209" spans="1:23" x14ac:dyDescent="0.3">
      <c r="A209">
        <v>9</v>
      </c>
      <c r="B209">
        <v>1</v>
      </c>
      <c r="C209">
        <v>2</v>
      </c>
      <c r="D209">
        <v>2</v>
      </c>
      <c r="E209" t="s">
        <v>300</v>
      </c>
      <c r="F209" t="s">
        <v>301</v>
      </c>
      <c r="G209">
        <v>379.99400000000003</v>
      </c>
      <c r="H209" t="b">
        <v>1</v>
      </c>
      <c r="I209">
        <v>4</v>
      </c>
      <c r="J209">
        <v>4</v>
      </c>
      <c r="K209">
        <v>0</v>
      </c>
      <c r="L209">
        <v>2</v>
      </c>
      <c r="M209">
        <v>2</v>
      </c>
      <c r="N209">
        <v>0</v>
      </c>
      <c r="O209">
        <v>2</v>
      </c>
      <c r="P209">
        <v>2</v>
      </c>
      <c r="Q209">
        <v>0</v>
      </c>
      <c r="R209">
        <v>4</v>
      </c>
      <c r="S209">
        <v>2</v>
      </c>
      <c r="T209">
        <v>0</v>
      </c>
      <c r="U209">
        <v>0</v>
      </c>
      <c r="V209">
        <v>100</v>
      </c>
      <c r="W209">
        <v>0</v>
      </c>
    </row>
    <row r="210" spans="1:23" x14ac:dyDescent="0.3">
      <c r="A210">
        <v>9</v>
      </c>
      <c r="B210">
        <v>1</v>
      </c>
      <c r="C210">
        <v>3</v>
      </c>
      <c r="D210">
        <v>4</v>
      </c>
      <c r="E210" t="s">
        <v>301</v>
      </c>
      <c r="F210" t="s">
        <v>302</v>
      </c>
      <c r="G210">
        <v>284.67899999999997</v>
      </c>
      <c r="H210" t="b">
        <v>1</v>
      </c>
      <c r="I210">
        <v>3</v>
      </c>
      <c r="J210">
        <v>2</v>
      </c>
      <c r="K210">
        <v>1</v>
      </c>
      <c r="L210">
        <v>2</v>
      </c>
      <c r="M210">
        <v>2</v>
      </c>
      <c r="N210">
        <v>0</v>
      </c>
      <c r="O210">
        <v>1</v>
      </c>
      <c r="P210">
        <v>0</v>
      </c>
      <c r="Q210">
        <v>1</v>
      </c>
      <c r="R210">
        <v>9</v>
      </c>
      <c r="S210">
        <v>6</v>
      </c>
      <c r="T210">
        <v>0</v>
      </c>
      <c r="U210">
        <v>0</v>
      </c>
      <c r="V210">
        <v>66.6666666666666</v>
      </c>
      <c r="W210">
        <v>33.3333333333333</v>
      </c>
    </row>
    <row r="211" spans="1:23" x14ac:dyDescent="0.3">
      <c r="A211">
        <v>9</v>
      </c>
      <c r="B211">
        <v>3</v>
      </c>
      <c r="C211">
        <v>1</v>
      </c>
      <c r="D211">
        <v>5</v>
      </c>
      <c r="E211" t="s">
        <v>303</v>
      </c>
      <c r="F211" t="s">
        <v>304</v>
      </c>
      <c r="G211">
        <v>679.69</v>
      </c>
      <c r="H211" t="b">
        <v>1</v>
      </c>
      <c r="I211">
        <v>14</v>
      </c>
      <c r="J211">
        <v>9</v>
      </c>
      <c r="K211">
        <v>5</v>
      </c>
      <c r="L211">
        <v>7</v>
      </c>
      <c r="M211">
        <v>7</v>
      </c>
      <c r="N211">
        <v>0</v>
      </c>
      <c r="O211">
        <v>7</v>
      </c>
      <c r="P211">
        <v>2</v>
      </c>
      <c r="Q211">
        <v>5</v>
      </c>
      <c r="R211">
        <v>16</v>
      </c>
      <c r="S211">
        <v>12</v>
      </c>
      <c r="T211">
        <v>0</v>
      </c>
      <c r="U211">
        <v>0</v>
      </c>
      <c r="V211">
        <v>64.285714285714207</v>
      </c>
      <c r="W211">
        <v>35.714285714285701</v>
      </c>
    </row>
    <row r="212" spans="1:23" x14ac:dyDescent="0.3">
      <c r="A212">
        <v>9</v>
      </c>
      <c r="B212">
        <v>3</v>
      </c>
      <c r="C212">
        <v>2</v>
      </c>
      <c r="D212">
        <v>1</v>
      </c>
      <c r="E212" t="s">
        <v>304</v>
      </c>
      <c r="F212" t="s">
        <v>305</v>
      </c>
      <c r="G212">
        <v>235.70599999999999</v>
      </c>
      <c r="H212" t="b">
        <v>1</v>
      </c>
      <c r="I212">
        <v>4</v>
      </c>
      <c r="J212">
        <v>4</v>
      </c>
      <c r="K212">
        <v>0</v>
      </c>
      <c r="L212">
        <v>2</v>
      </c>
      <c r="M212">
        <v>2</v>
      </c>
      <c r="N212">
        <v>0</v>
      </c>
      <c r="O212">
        <v>2</v>
      </c>
      <c r="P212">
        <v>2</v>
      </c>
      <c r="Q212">
        <v>0</v>
      </c>
      <c r="R212">
        <v>4</v>
      </c>
      <c r="S212">
        <v>2</v>
      </c>
      <c r="T212">
        <v>0</v>
      </c>
      <c r="U212">
        <v>0</v>
      </c>
      <c r="V212">
        <v>100</v>
      </c>
      <c r="W212">
        <v>0</v>
      </c>
    </row>
    <row r="213" spans="1:23" x14ac:dyDescent="0.3">
      <c r="A213">
        <v>9</v>
      </c>
      <c r="B213">
        <v>3</v>
      </c>
      <c r="C213">
        <v>3</v>
      </c>
      <c r="D213">
        <v>4</v>
      </c>
      <c r="E213" t="s">
        <v>305</v>
      </c>
      <c r="F213" t="s">
        <v>306</v>
      </c>
      <c r="G213">
        <v>825.14700000000005</v>
      </c>
      <c r="H213" t="b">
        <v>1</v>
      </c>
      <c r="I213">
        <v>17</v>
      </c>
      <c r="J213">
        <v>14</v>
      </c>
      <c r="K213">
        <v>3</v>
      </c>
      <c r="L213">
        <v>8</v>
      </c>
      <c r="M213">
        <v>8</v>
      </c>
      <c r="N213">
        <v>0</v>
      </c>
      <c r="O213">
        <v>9</v>
      </c>
      <c r="P213">
        <v>6</v>
      </c>
      <c r="Q213">
        <v>3</v>
      </c>
      <c r="R213">
        <v>16</v>
      </c>
      <c r="S213">
        <v>12</v>
      </c>
      <c r="T213">
        <v>0</v>
      </c>
      <c r="U213">
        <v>0</v>
      </c>
      <c r="V213">
        <v>82.352941176470594</v>
      </c>
      <c r="W213">
        <v>17.647058823529399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85EF-B01C-4AE1-AEB3-AF660D18DE7B}">
  <dimension ref="A1:AF9"/>
  <sheetViews>
    <sheetView workbookViewId="0">
      <selection activeCell="E14" sqref="E14"/>
    </sheetView>
  </sheetViews>
  <sheetFormatPr baseColWidth="10" defaultRowHeight="14.4" x14ac:dyDescent="0.3"/>
  <sheetData>
    <row r="1" spans="1:32" x14ac:dyDescent="0.3">
      <c r="A1" t="s">
        <v>307</v>
      </c>
      <c r="B1" t="s">
        <v>308</v>
      </c>
      <c r="C1" t="s">
        <v>309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  <c r="U1" t="s">
        <v>327</v>
      </c>
      <c r="V1" t="s">
        <v>328</v>
      </c>
      <c r="W1" t="s">
        <v>329</v>
      </c>
      <c r="X1" t="s">
        <v>330</v>
      </c>
      <c r="Y1" t="s">
        <v>331</v>
      </c>
      <c r="Z1" t="s">
        <v>332</v>
      </c>
      <c r="AA1" t="s">
        <v>333</v>
      </c>
      <c r="AB1" t="s">
        <v>334</v>
      </c>
      <c r="AC1" t="s">
        <v>343</v>
      </c>
      <c r="AD1" t="s">
        <v>344</v>
      </c>
      <c r="AE1" t="s">
        <v>345</v>
      </c>
      <c r="AF1" t="s">
        <v>346</v>
      </c>
    </row>
    <row r="2" spans="1:32" x14ac:dyDescent="0.3">
      <c r="A2">
        <v>1</v>
      </c>
      <c r="B2">
        <f>COUNTIF(dataNiveles[Nivel],A2)</f>
        <v>94</v>
      </c>
      <c r="C2">
        <f>AVERAGEIF(dataNiveles[Nivel],A2,dataNiveles[Pasos planificados])</f>
        <v>7.3510638297872344</v>
      </c>
      <c r="D2" cm="1">
        <f t="array" ref="D2">_xlfn.STDEV.P(IF(dataNiveles[Nivel]=A2,dataNiveles[Pasos planificados]))</f>
        <v>7.9073187843685604</v>
      </c>
      <c r="E2">
        <f>AVERAGEIF(dataNiveles[Nivel],A2,dataNiveles[Pasos ejecutados])</f>
        <v>5.9787234042553195</v>
      </c>
      <c r="F2" cm="1">
        <f t="array" ref="F2">_xlfn.STDEV.P(IF(dataNiveles[Nivel]=A2,dataNiveles[Pasos ejecutados]))</f>
        <v>6.1332347568855754</v>
      </c>
      <c r="G2">
        <f>AVERAGEIF(dataNiveles[Nivel],A2,dataNiveles[Errores ejecucion])</f>
        <v>1.3723404255319149</v>
      </c>
      <c r="H2" cm="1">
        <f t="array" ref="H2">_xlfn.STDEV.P(IF(dataNiveles[Nivel]=A2,dataNiveles[Errores ejecucion]))</f>
        <v>2.4537597835973712</v>
      </c>
      <c r="I2">
        <f>AVERAGEIF(dataNiveles[Nivel],A2,dataNiveles[Num dormir planificado])</f>
        <v>3.5531914893617023</v>
      </c>
      <c r="J2" cm="1">
        <f t="array" ref="J2">_xlfn.STDEV.P(IF(dataNiveles[Nivel]=A2,dataNiveles[Num dormir planificado]))</f>
        <v>3.6338158282953916</v>
      </c>
      <c r="K2">
        <f>AVERAGEIF(dataNiveles[Nivel],A2,dataNiveles[Correctos dormir])</f>
        <v>3.3297872340425534</v>
      </c>
      <c r="L2" cm="1">
        <f t="array" ref="L2">_xlfn.STDEV.P(IF(dataNiveles[Nivel]=A2,dataNiveles[Correctos dormir]))</f>
        <v>3.3624595160810249</v>
      </c>
      <c r="M2">
        <f>AVERAGEIF(dataNiveles[Nivel],A2,dataNiveles[Errores dormir])</f>
        <v>0.22340425531914893</v>
      </c>
      <c r="N2" cm="1">
        <f t="array" ref="N2">_xlfn.STDEV.P(IF(dataNiveles[Nivel]=A2,dataNiveles[Errores dormir]))</f>
        <v>0.80098682910983265</v>
      </c>
      <c r="O2">
        <f>AVERAGEIF(dataNiveles[Nivel],A2,dataNiveles[Num ubicacion planificado])</f>
        <v>3.7978723404255321</v>
      </c>
      <c r="P2" cm="1">
        <f t="array" ref="P2">_xlfn.STDEV.P(IF(dataNiveles[Nivel]=A2,dataNiveles[Num ubicacion planificado]))</f>
        <v>4.823655776227489</v>
      </c>
      <c r="Q2">
        <f>AVERAGEIF(dataNiveles[Nivel],A2,dataNiveles[Correctos ubicacion])</f>
        <v>2.6489361702127661</v>
      </c>
      <c r="R2" cm="1">
        <f t="array" ref="R2">_xlfn.STDEV.P(IF(dataNiveles[Nivel]=A2,dataNiveles[Correctos ubicacion]))</f>
        <v>3.2212969728690211</v>
      </c>
      <c r="S2">
        <f>AVERAGEIF(dataNiveles[Nivel],A2,dataNiveles[Errores ubicacion])</f>
        <v>1.1489361702127661</v>
      </c>
      <c r="T2" cm="1">
        <f t="array" ref="T2">_xlfn.STDEV.P(IF(dataNiveles[Nivel]=A2,dataNiveles[Errores ubicacion]))</f>
        <v>2.178020997146461</v>
      </c>
      <c r="U2">
        <f>AVERAGEIF(dataNiveles[Nivel],A2,dataNiveles[Paradas posibles])</f>
        <v>7.5319148936170217</v>
      </c>
      <c r="V2" cm="1">
        <f t="array" ref="V2">_xlfn.STDEV.P(IF(dataNiveles[Nivel]=A2,dataNiveles[Paradas posibles]))</f>
        <v>6.8225254693545079</v>
      </c>
      <c r="W2">
        <f>AVERAGEIF(dataNiveles[Nivel],A2,dataNiveles[Paradas realizadas])</f>
        <v>5.5744680851063828</v>
      </c>
      <c r="X2" cm="1">
        <f t="array" ref="X2">_xlfn.STDEV.P(IF(dataNiveles[Nivel]=A2,dataNiveles[Paradas realizadas]))</f>
        <v>5.43136940865163</v>
      </c>
      <c r="Y2">
        <f>AVERAGEIF(dataNiveles[Nivel],A2,dataNiveles[Errores parada por tiempo excedido])</f>
        <v>0.1276595744680851</v>
      </c>
      <c r="Z2" cm="1">
        <f t="array" ref="Z2">_xlfn.STDEV.P(IF(dataNiveles[Nivel]=A2,dataNiveles[Errores parada por tiempo excedido]))</f>
        <v>0.39232104073586754</v>
      </c>
      <c r="AA2">
        <f>AVERAGEIF(dataNiveles[Nivel],A2,dataNiveles[Num errores por tiempo excedido])</f>
        <v>0.1276595744680851</v>
      </c>
      <c r="AB2" cm="1">
        <f t="array" ref="AB2">_xlfn.STDEV.P(IF(dataNiveles[Nivel]=A2,dataNiveles[Num errores por tiempo excedido]))</f>
        <v>0.39232104073586754</v>
      </c>
      <c r="AC2">
        <f>AVERAGEIF(dataNiveles[Nivel],A2,dataNiveles[% Aciertos])</f>
        <v>85.815476031893851</v>
      </c>
      <c r="AD2" cm="1">
        <f t="array" ref="AD2">_xlfn.STDEV.P(IF(dataNiveles[Nivel]=A2,dataNiveles[% Aciertos]))</f>
        <v>15.269100509855848</v>
      </c>
      <c r="AE2">
        <f>AVERAGEIF(dataNiveles[Nivel],A2,dataNiveles[% Mal])</f>
        <v>14.184523968106102</v>
      </c>
      <c r="AF2" cm="1">
        <f t="array" ref="AF2">_xlfn.STDEV.P(IF(dataNiveles[Nivel]=A2,dataNiveles[% Mal]))</f>
        <v>15.269100509855752</v>
      </c>
    </row>
    <row r="3" spans="1:32" x14ac:dyDescent="0.3">
      <c r="A3">
        <v>2</v>
      </c>
      <c r="B3">
        <f>COUNTIF(dataNiveles[Nivel],A3)</f>
        <v>69</v>
      </c>
      <c r="C3">
        <f>AVERAGEIF(dataNiveles[Nivel],A3,dataNiveles[Pasos planificados])</f>
        <v>5.9565217391304346</v>
      </c>
      <c r="D3" cm="1">
        <f t="array" ref="D3">_xlfn.STDEV.P(IF(dataNiveles[Nivel]=A3,dataNiveles[Pasos planificados]))</f>
        <v>6.6166999581727994</v>
      </c>
      <c r="E3">
        <f>AVERAGEIF(dataNiveles[Nivel],A3,dataNiveles[Pasos ejecutados])</f>
        <v>5.1884057971014492</v>
      </c>
      <c r="F3" cm="1">
        <f t="array" ref="F3">_xlfn.STDEV.P(IF(dataNiveles[Nivel]=A3,dataNiveles[Pasos ejecutados]))</f>
        <v>5.7034832030017339</v>
      </c>
      <c r="G3">
        <f>AVERAGEIF(dataNiveles[Nivel],A3,dataNiveles[Errores ejecucion])</f>
        <v>0.76811594202898548</v>
      </c>
      <c r="H3" cm="1">
        <f t="array" ref="H3">_xlfn.STDEV.P(IF(dataNiveles[Nivel]=A3,dataNiveles[Errores ejecucion]))</f>
        <v>1.4659905642204976</v>
      </c>
      <c r="I3">
        <f>AVERAGEIF(dataNiveles[Nivel],A3,dataNiveles[Num dormir planificado])</f>
        <v>3.2463768115942031</v>
      </c>
      <c r="J3" cm="1">
        <f t="array" ref="J3">_xlfn.STDEV.P(IF(dataNiveles[Nivel]=A3,dataNiveles[Num dormir planificado]))</f>
        <v>3.5809714377139574</v>
      </c>
      <c r="K3">
        <f>AVERAGEIF(dataNiveles[Nivel],A3,dataNiveles[Correctos dormir])</f>
        <v>3.0579710144927534</v>
      </c>
      <c r="L3" cm="1">
        <f t="array" ref="L3">_xlfn.STDEV.P(IF(dataNiveles[Nivel]=A3,dataNiveles[Correctos dormir]))</f>
        <v>3.4719749964496338</v>
      </c>
      <c r="M3">
        <f>AVERAGEIF(dataNiveles[Nivel],A3,dataNiveles[Errores dormir])</f>
        <v>0.18840579710144928</v>
      </c>
      <c r="N3" cm="1">
        <f t="array" ref="N3">_xlfn.STDEV.P(IF(dataNiveles[Nivel]=A3,dataNiveles[Errores dormir]))</f>
        <v>0.59649610513787477</v>
      </c>
      <c r="O3">
        <f>AVERAGEIF(dataNiveles[Nivel],A3,dataNiveles[Num ubicacion planificado])</f>
        <v>2.7101449275362319</v>
      </c>
      <c r="P3" cm="1">
        <f t="array" ref="P3">_xlfn.STDEV.P(IF(dataNiveles[Nivel]=A3,dataNiveles[Num ubicacion planificado]))</f>
        <v>3.2397058789178006</v>
      </c>
      <c r="Q3">
        <f>AVERAGEIF(dataNiveles[Nivel],A3,dataNiveles[Correctos ubicacion])</f>
        <v>2.1304347826086958</v>
      </c>
      <c r="R3" cm="1">
        <f t="array" ref="R3">_xlfn.STDEV.P(IF(dataNiveles[Nivel]=A3,dataNiveles[Correctos ubicacion]))</f>
        <v>2.5304696446624857</v>
      </c>
      <c r="S3">
        <f>AVERAGEIF(dataNiveles[Nivel],A3,dataNiveles[Errores ubicacion])</f>
        <v>0.57971014492753625</v>
      </c>
      <c r="T3" cm="1">
        <f t="array" ref="T3">_xlfn.STDEV.P(IF(dataNiveles[Nivel]=A3,dataNiveles[Errores ubicacion]))</f>
        <v>1.1722120437038372</v>
      </c>
      <c r="U3">
        <f>AVERAGEIF(dataNiveles[Nivel],A3,dataNiveles[Paradas posibles])</f>
        <v>7.7101449275362315</v>
      </c>
      <c r="V3" cm="1">
        <f t="array" ref="V3">_xlfn.STDEV.P(IF(dataNiveles[Nivel]=A3,dataNiveles[Paradas posibles]))</f>
        <v>8.5246470440348912</v>
      </c>
      <c r="W3">
        <f>AVERAGEIF(dataNiveles[Nivel],A3,dataNiveles[Paradas realizadas])</f>
        <v>4.7826086956521738</v>
      </c>
      <c r="X3" cm="1">
        <f t="array" ref="X3">_xlfn.STDEV.P(IF(dataNiveles[Nivel]=A3,dataNiveles[Paradas realizadas]))</f>
        <v>5.9706275377641003</v>
      </c>
      <c r="Y3">
        <f>AVERAGEIF(dataNiveles[Nivel],A3,dataNiveles[Errores parada por tiempo excedido])</f>
        <v>0.81159420289855078</v>
      </c>
      <c r="Z3" cm="1">
        <f t="array" ref="Z3">_xlfn.STDEV.P(IF(dataNiveles[Nivel]=A3,dataNiveles[Errores parada por tiempo excedido]))</f>
        <v>1.1199813963108207</v>
      </c>
      <c r="AA3">
        <f>AVERAGEIF(dataNiveles[Nivel],A3,dataNiveles[Num errores por tiempo excedido])</f>
        <v>0.95652173913043481</v>
      </c>
      <c r="AB3" cm="1">
        <f t="array" ref="AB3">_xlfn.STDEV.P(IF(dataNiveles[Nivel]=A3,dataNiveles[Num errores por tiempo excedido]))</f>
        <v>1.3876764294012549</v>
      </c>
      <c r="AC3">
        <f>AVERAGEIF(dataNiveles[Nivel],A3,dataNiveles[% Aciertos])</f>
        <v>87.697510822510807</v>
      </c>
      <c r="AD3" cm="1">
        <f t="array" ref="AD3">_xlfn.STDEV.P(IF(dataNiveles[Nivel]=A3,dataNiveles[% Aciertos]))</f>
        <v>21.073686270495209</v>
      </c>
      <c r="AE3">
        <f>AVERAGEIF(dataNiveles[Nivel],A3,dataNiveles[% Mal])</f>
        <v>12.302489177489166</v>
      </c>
      <c r="AF3" cm="1">
        <f t="array" ref="AF3">_xlfn.STDEV.P(IF(dataNiveles[Nivel]=A3,dataNiveles[% Mal]))</f>
        <v>21.073686270495212</v>
      </c>
    </row>
    <row r="4" spans="1:32" x14ac:dyDescent="0.3">
      <c r="A4">
        <v>3</v>
      </c>
      <c r="B4">
        <f>COUNTIF(dataNiveles[Nivel],A4)</f>
        <v>49</v>
      </c>
      <c r="C4">
        <f>AVERAGEIF(dataNiveles[Nivel],A4,dataNiveles[Pasos planificados])</f>
        <v>8.5102040816326525</v>
      </c>
      <c r="D4" cm="1">
        <f t="array" ref="D4">_xlfn.STDEV.P(IF(dataNiveles[Nivel]=A4,dataNiveles[Pasos planificados]))</f>
        <v>8.8135388638894341</v>
      </c>
      <c r="E4">
        <f>AVERAGEIF(dataNiveles[Nivel],A4,dataNiveles[Pasos ejecutados])</f>
        <v>7.0408163265306118</v>
      </c>
      <c r="F4" cm="1">
        <f t="array" ref="F4">_xlfn.STDEV.P(IF(dataNiveles[Nivel]=A4,dataNiveles[Pasos ejecutados]))</f>
        <v>7.1455971421067721</v>
      </c>
      <c r="G4">
        <f>AVERAGEIF(dataNiveles[Nivel],A4,dataNiveles[Errores ejecucion])</f>
        <v>1.4693877551020409</v>
      </c>
      <c r="H4" cm="1">
        <f t="array" ref="H4">_xlfn.STDEV.P(IF(dataNiveles[Nivel]=A4,dataNiveles[Errores ejecucion]))</f>
        <v>2.1005542593765001</v>
      </c>
      <c r="I4">
        <f>AVERAGEIF(dataNiveles[Nivel],A4,dataNiveles[Num dormir planificado])</f>
        <v>3.6734693877551021</v>
      </c>
      <c r="J4" cm="1">
        <f t="array" ref="J4">_xlfn.STDEV.P(IF(dataNiveles[Nivel]=A4,dataNiveles[Num dormir planificado]))</f>
        <v>3.3465654346279505</v>
      </c>
      <c r="K4">
        <f>AVERAGEIF(dataNiveles[Nivel],A4,dataNiveles[Correctos dormir])</f>
        <v>3.5918367346938775</v>
      </c>
      <c r="L4" cm="1">
        <f t="array" ref="L4">_xlfn.STDEV.P(IF(dataNiveles[Nivel]=A4,dataNiveles[Correctos dormir]))</f>
        <v>3.2820996723223876</v>
      </c>
      <c r="M4">
        <f>AVERAGEIF(dataNiveles[Nivel],A4,dataNiveles[Errores dormir])</f>
        <v>8.1632653061224483E-2</v>
      </c>
      <c r="N4" cm="1">
        <f t="array" ref="N4">_xlfn.STDEV.P(IF(dataNiveles[Nivel]=A4,dataNiveles[Errores dormir]))</f>
        <v>0.27380424214283139</v>
      </c>
      <c r="O4">
        <f>AVERAGEIF(dataNiveles[Nivel],A4,dataNiveles[Num ubicacion planificado])</f>
        <v>4.8367346938775508</v>
      </c>
      <c r="P4" cm="1">
        <f t="array" ref="P4">_xlfn.STDEV.P(IF(dataNiveles[Nivel]=A4,dataNiveles[Num ubicacion planificado]))</f>
        <v>5.9636550180665733</v>
      </c>
      <c r="Q4">
        <f>AVERAGEIF(dataNiveles[Nivel],A4,dataNiveles[Correctos ubicacion])</f>
        <v>3.4489795918367347</v>
      </c>
      <c r="R4" cm="1">
        <f t="array" ref="R4">_xlfn.STDEV.P(IF(dataNiveles[Nivel]=A4,dataNiveles[Correctos ubicacion]))</f>
        <v>4.585074385659679</v>
      </c>
      <c r="S4">
        <f>AVERAGEIF(dataNiveles[Nivel],A4,dataNiveles[Errores ubicacion])</f>
        <v>1.3877551020408163</v>
      </c>
      <c r="T4" cm="1">
        <f t="array" ref="T4">_xlfn.STDEV.P(IF(dataNiveles[Nivel]=A4,dataNiveles[Errores ubicacion]))</f>
        <v>1.9878850060221911</v>
      </c>
      <c r="U4">
        <f>AVERAGEIF(dataNiveles[Nivel],A4,dataNiveles[Paradas posibles])</f>
        <v>7.6530612244897958</v>
      </c>
      <c r="V4" cm="1">
        <f t="array" ref="V4">_xlfn.STDEV.P(IF(dataNiveles[Nivel]=A4,dataNiveles[Paradas posibles]))</f>
        <v>6.4000989163534578</v>
      </c>
      <c r="W4">
        <f>AVERAGEIF(dataNiveles[Nivel],A4,dataNiveles[Paradas realizadas])</f>
        <v>6.0408163265306118</v>
      </c>
      <c r="X4" cm="1">
        <f t="array" ref="X4">_xlfn.STDEV.P(IF(dataNiveles[Nivel]=A4,dataNiveles[Paradas realizadas]))</f>
        <v>5.2952006906272366</v>
      </c>
      <c r="Y4">
        <f>AVERAGEIF(dataNiveles[Nivel],A4,dataNiveles[Errores parada por tiempo excedido])</f>
        <v>4.0816326530612242E-2</v>
      </c>
      <c r="Z4" cm="1">
        <f t="array" ref="Z4">_xlfn.STDEV.P(IF(dataNiveles[Nivel]=A4,dataNiveles[Errores parada por tiempo excedido]))</f>
        <v>0.1978644839761767</v>
      </c>
      <c r="AA4">
        <f>AVERAGEIF(dataNiveles[Nivel],A4,dataNiveles[Num errores por tiempo excedido])</f>
        <v>0.10204081632653061</v>
      </c>
      <c r="AB4" cm="1">
        <f t="array" ref="AB4">_xlfn.STDEV.P(IF(dataNiveles[Nivel]=A4,dataNiveles[Num errores por tiempo excedido]))</f>
        <v>0.36392968367606138</v>
      </c>
      <c r="AC4">
        <f>AVERAGEIF(dataNiveles[Nivel],A4,dataNiveles[% Aciertos])</f>
        <v>84.838453427840761</v>
      </c>
      <c r="AD4" cm="1">
        <f t="array" ref="AD4">_xlfn.STDEV.P(IF(dataNiveles[Nivel]=A4,dataNiveles[% Aciertos]))</f>
        <v>12.891775925706845</v>
      </c>
      <c r="AE4">
        <f>AVERAGEIF(dataNiveles[Nivel],A4,dataNiveles[% Mal])</f>
        <v>15.161546572159182</v>
      </c>
      <c r="AF4" cm="1">
        <f t="array" ref="AF4">_xlfn.STDEV.P(IF(dataNiveles[Nivel]=A4,dataNiveles[% Mal]))</f>
        <v>12.891775925706742</v>
      </c>
    </row>
    <row r="6" spans="1:32" x14ac:dyDescent="0.3">
      <c r="C6" t="s">
        <v>335</v>
      </c>
      <c r="D6" t="s">
        <v>336</v>
      </c>
      <c r="E6" t="s">
        <v>337</v>
      </c>
      <c r="F6" t="s">
        <v>338</v>
      </c>
      <c r="G6" t="s">
        <v>347</v>
      </c>
      <c r="H6" t="s">
        <v>349</v>
      </c>
      <c r="I6" t="s">
        <v>348</v>
      </c>
      <c r="J6" t="s">
        <v>350</v>
      </c>
    </row>
    <row r="7" spans="1:32" x14ac:dyDescent="0.3">
      <c r="C7">
        <f>AVERAGEIF(dataNiveles[Nivel],A2,dataNiveles[Tiempo duracion])</f>
        <v>624.17684042553219</v>
      </c>
      <c r="D7" cm="1">
        <f t="array" ref="D7">_xlfn.STDEV.P(IF(dataNiveles[Nivel]=A2,dataNiveles[Tiempo duracion]))</f>
        <v>535.88446792869343</v>
      </c>
      <c r="E7">
        <f>AVERAGEIF(dataNiveles[Nivel],A2,dataNiveles[Num intentos])</f>
        <v>3.5744680851063828</v>
      </c>
      <c r="F7" cm="1">
        <f t="array" ref="F7">_xlfn.STDEV.P(IF(dataNiveles[Nivel]=A2,dataNiveles[Num intentos]))</f>
        <v>2.8038323382285775</v>
      </c>
      <c r="G7">
        <f>COUNTIFS(dataNiveles[Nivel],A2, dataNiveles[Completado],"VERDADERO")</f>
        <v>24</v>
      </c>
      <c r="H7">
        <f>100*G7/B2</f>
        <v>25.531914893617021</v>
      </c>
      <c r="I7">
        <f>COUNTIFS(dataNiveles[Nivel],A2, dataNiveles[Completado],"FALSO")</f>
        <v>70</v>
      </c>
      <c r="J7">
        <f>100*I7/B2</f>
        <v>74.468085106382972</v>
      </c>
    </row>
    <row r="8" spans="1:32" x14ac:dyDescent="0.3">
      <c r="C8">
        <f>AVERAGEIF(dataNiveles[Nivel],A3,dataNiveles[Tiempo duracion])</f>
        <v>611.83136231884055</v>
      </c>
      <c r="D8" cm="1">
        <f t="array" ref="D8">_xlfn.STDEV.P(IF(dataNiveles[Nivel]=A3,dataNiveles[Tiempo duracion]))</f>
        <v>668.91767655796741</v>
      </c>
      <c r="E8">
        <f>AVERAGEIF(dataNiveles[Nivel],A3,dataNiveles[Num intentos])</f>
        <v>2.9565217391304346</v>
      </c>
      <c r="F8" cm="1">
        <f t="array" ref="F8">_xlfn.STDEV.P(IF(dataNiveles[Nivel]=A3,dataNiveles[Num intentos]))</f>
        <v>3.5116154365427161</v>
      </c>
      <c r="G8">
        <f>COUNTIFS(dataNiveles[Nivel],A3, dataNiveles[Completado],"VERDADERO")</f>
        <v>22</v>
      </c>
      <c r="H8">
        <f t="shared" ref="H8:H9" si="0">100*G8/B3</f>
        <v>31.884057971014492</v>
      </c>
      <c r="I8">
        <f>COUNTIFS(dataNiveles[Nivel],A3, dataNiveles[Completado],"FALSO")</f>
        <v>47</v>
      </c>
      <c r="J8">
        <f t="shared" ref="J8:J9" si="1">100*I8/B3</f>
        <v>68.115942028985501</v>
      </c>
    </row>
    <row r="9" spans="1:32" x14ac:dyDescent="0.3">
      <c r="C9">
        <f>AVERAGEIF(dataNiveles[Nivel],A4,dataNiveles[Tiempo duracion])</f>
        <v>483.70369387755102</v>
      </c>
      <c r="D9" cm="1">
        <f t="array" ref="D9">_xlfn.STDEV.P(IF(dataNiveles[Nivel]=A4,dataNiveles[Tiempo duracion]))</f>
        <v>451.94744837981852</v>
      </c>
      <c r="E9">
        <f>AVERAGEIF(dataNiveles[Nivel],A4,dataNiveles[Num intentos])</f>
        <v>2.7346938775510203</v>
      </c>
      <c r="F9" cm="1">
        <f t="array" ref="F9">_xlfn.STDEV.P(IF(dataNiveles[Nivel]=A4,dataNiveles[Num intentos]))</f>
        <v>2.0078977757140968</v>
      </c>
      <c r="G9">
        <f>COUNTIFS(dataNiveles[Nivel],A4, dataNiveles[Completado],"VERDADERO")</f>
        <v>26</v>
      </c>
      <c r="H9">
        <f t="shared" si="0"/>
        <v>53.061224489795919</v>
      </c>
      <c r="I9">
        <f>COUNTIFS(dataNiveles[Nivel],A4, dataNiveles[Completado],"FALSO")</f>
        <v>23</v>
      </c>
      <c r="J9">
        <f t="shared" si="1"/>
        <v>46.938775510204081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6012-538D-4879-B4D7-76AF65331837}">
  <dimension ref="A1:AN4"/>
  <sheetViews>
    <sheetView tabSelected="1" workbookViewId="0">
      <selection activeCell="AJ1" sqref="AJ1"/>
    </sheetView>
  </sheetViews>
  <sheetFormatPr baseColWidth="10" defaultRowHeight="14.4" x14ac:dyDescent="0.3"/>
  <cols>
    <col min="38" max="38" width="13.5546875" customWidth="1"/>
  </cols>
  <sheetData>
    <row r="1" spans="1:40" ht="72" x14ac:dyDescent="0.3">
      <c r="A1" s="3" t="s">
        <v>307</v>
      </c>
      <c r="B1" s="3" t="s">
        <v>308</v>
      </c>
      <c r="C1" s="4" t="s">
        <v>309</v>
      </c>
      <c r="D1" s="5" t="s">
        <v>310</v>
      </c>
      <c r="E1" s="4" t="s">
        <v>311</v>
      </c>
      <c r="F1" s="5" t="s">
        <v>312</v>
      </c>
      <c r="G1" s="4" t="s">
        <v>313</v>
      </c>
      <c r="H1" s="5" t="s">
        <v>314</v>
      </c>
      <c r="I1" s="4" t="s">
        <v>315</v>
      </c>
      <c r="J1" s="5" t="s">
        <v>316</v>
      </c>
      <c r="K1" s="4" t="s">
        <v>317</v>
      </c>
      <c r="L1" s="5" t="s">
        <v>318</v>
      </c>
      <c r="M1" s="4" t="s">
        <v>319</v>
      </c>
      <c r="N1" s="5" t="s">
        <v>320</v>
      </c>
      <c r="O1" s="4" t="s">
        <v>321</v>
      </c>
      <c r="P1" s="5" t="s">
        <v>322</v>
      </c>
      <c r="Q1" s="4" t="s">
        <v>323</v>
      </c>
      <c r="R1" s="5" t="s">
        <v>324</v>
      </c>
      <c r="S1" s="4" t="s">
        <v>325</v>
      </c>
      <c r="T1" s="5" t="s">
        <v>326</v>
      </c>
      <c r="U1" s="4" t="s">
        <v>327</v>
      </c>
      <c r="V1" s="5" t="s">
        <v>328</v>
      </c>
      <c r="W1" s="4" t="s">
        <v>329</v>
      </c>
      <c r="X1" s="5" t="s">
        <v>330</v>
      </c>
      <c r="Y1" s="4" t="s">
        <v>331</v>
      </c>
      <c r="Z1" s="5" t="s">
        <v>332</v>
      </c>
      <c r="AA1" s="4" t="s">
        <v>333</v>
      </c>
      <c r="AB1" s="5" t="s">
        <v>334</v>
      </c>
      <c r="AC1" s="4" t="s">
        <v>343</v>
      </c>
      <c r="AD1" s="5" t="s">
        <v>344</v>
      </c>
      <c r="AE1" s="4" t="s">
        <v>345</v>
      </c>
      <c r="AF1" s="5" t="s">
        <v>346</v>
      </c>
      <c r="AG1" s="4" t="s">
        <v>335</v>
      </c>
      <c r="AH1" s="5" t="s">
        <v>336</v>
      </c>
      <c r="AI1" s="4" t="s">
        <v>337</v>
      </c>
      <c r="AJ1" s="5" t="s">
        <v>338</v>
      </c>
      <c r="AK1" s="4" t="s">
        <v>347</v>
      </c>
      <c r="AL1" s="4" t="s">
        <v>349</v>
      </c>
      <c r="AM1" s="4" t="s">
        <v>348</v>
      </c>
      <c r="AN1" s="4" t="s">
        <v>350</v>
      </c>
    </row>
    <row r="2" spans="1:40" x14ac:dyDescent="0.3">
      <c r="A2">
        <v>1</v>
      </c>
      <c r="B2">
        <f>COUNTIFS(dataNiveles[Nivel],A2,dataNiveles[Pasos planificados],"&gt;0")</f>
        <v>70</v>
      </c>
      <c r="C2">
        <f>AVERAGEIFS(dataNiveles[Pasos planificados],dataNiveles[Nivel],A2,dataNiveles[Pasos planificados],"&gt;0")</f>
        <v>9.8714285714285719</v>
      </c>
      <c r="D2" cm="1">
        <f t="array" ref="D2">_xlfn.STDEV.P(IF((dataNiveles[Nivel]=A2)*(dataNiveles[Pasos planificados]&lt;&gt;0),dataNiveles[Pasos planificados]))</f>
        <v>7.6865772218689834</v>
      </c>
      <c r="E2">
        <f>AVERAGEIFS(dataNiveles[Pasos ejecutados],dataNiveles[Nivel],A2,dataNiveles[Pasos planificados],"&gt;0")</f>
        <v>8.0285714285714285</v>
      </c>
      <c r="F2" cm="1">
        <f t="array" ref="F2">_xlfn.STDEV.P(IF((dataNiveles[Nivel]=A2)*(dataNiveles[Pasos planificados]&lt;&gt;0),dataNiveles[Pasos ejecutados]))</f>
        <v>5.8357798562499124</v>
      </c>
      <c r="G2">
        <f>AVERAGEIFS(dataNiveles[Errores ejecucion],dataNiveles[Nivel],A2,dataNiveles[Pasos planificados],"&gt;0")</f>
        <v>1.8428571428571427</v>
      </c>
      <c r="H2" cm="1">
        <f t="array" ref="H2">_xlfn.STDEV.P(IF((dataNiveles[Nivel]=A2)*(dataNiveles[Pasos planificados]&lt;&gt;0),dataNiveles[Errores ejecucion]))</f>
        <v>2.6866639658331151</v>
      </c>
      <c r="I2">
        <f>AVERAGEIFS(dataNiveles[Num dormir planificado],dataNiveles[Nivel],A2,dataNiveles[Pasos planificados],"&gt;0")</f>
        <v>4.7714285714285714</v>
      </c>
      <c r="J2" cm="1">
        <f t="array" ref="J2">_xlfn.STDEV.P(IF((dataNiveles[Nivel]=A2)*(dataNiveles[Pasos planificados]&lt;&gt;0),dataNiveles[Num dormir planificado]))</f>
        <v>3.4524170769866998</v>
      </c>
      <c r="K2">
        <f>AVERAGEIFS(dataNiveles[Correctos dormir],dataNiveles[Nivel],A2,dataNiveles[Pasos planificados],"&gt;0")</f>
        <v>4.4714285714285715</v>
      </c>
      <c r="L2" cm="1">
        <f t="array" ref="L2">_xlfn.STDEV.P(IF((dataNiveles[Nivel]=A2)*(dataNiveles[Pasos planificados]&lt;&gt;0),dataNiveles[Correctos dormir]))</f>
        <v>3.1745480153938161</v>
      </c>
      <c r="M2">
        <f>AVERAGEIFS(dataNiveles[Errores dormir],dataNiveles[Nivel],A2,dataNiveles[Pasos planificados],"&gt;0")</f>
        <v>0.3</v>
      </c>
      <c r="N2" cm="1">
        <f t="array" ref="N2">_xlfn.STDEV.P(IF((dataNiveles[Nivel]=A2)*(dataNiveles[Pasos planificados]&lt;&gt;0),dataNiveles[Errores dormir]))</f>
        <v>0.91573545774499121</v>
      </c>
      <c r="O2">
        <f>AVERAGEIFS(dataNiveles[Num ubicacion planificado],dataNiveles[Nivel],A2,dataNiveles[Pasos planificados],"&gt;0")</f>
        <v>5.0999999999999996</v>
      </c>
      <c r="P2" cm="1">
        <f t="array" ref="P2">_xlfn.STDEV.P(IF((dataNiveles[Nivel]=A2)*(dataNiveles[Pasos planificados]&lt;&gt;0),dataNiveles[Num ubicacion planificado]))</f>
        <v>4.9602707299386104</v>
      </c>
      <c r="Q2">
        <f>AVERAGEIFS(dataNiveles[Correctos ubicacion],dataNiveles[Nivel],A2,dataNiveles[Pasos planificados],"&gt;0")</f>
        <v>3.5571428571428569</v>
      </c>
      <c r="R2" cm="1">
        <f t="array" ref="R2">_xlfn.STDEV.P(IF((dataNiveles[Nivel]=A2)*(dataNiveles[Pasos planificados]&lt;&gt;0),dataNiveles[Correctos ubicacion]))</f>
        <v>3.2716780940398777</v>
      </c>
      <c r="S2">
        <f>AVERAGEIFS(dataNiveles[Errores ubicacion],dataNiveles[Nivel],A2,dataNiveles[Pasos planificados],"&gt;0")</f>
        <v>1.5428571428571429</v>
      </c>
      <c r="T2" cm="1">
        <f t="array" ref="T2">_xlfn.STDEV.P(IF((dataNiveles[Nivel]=A2)*(dataNiveles[Pasos planificados]&lt;&gt;0),dataNiveles[Errores ubicacion]))</f>
        <v>2.4005101498622823</v>
      </c>
      <c r="U2">
        <f>AVERAGEIFS(dataNiveles[Paradas posibles],dataNiveles[Nivel],A2,dataNiveles[Pasos planificados],"&gt;0")</f>
        <v>9.6857142857142851</v>
      </c>
      <c r="V2" cm="1">
        <f t="array" ref="V2">_xlfn.STDEV.P(IF((dataNiveles[Nivel]=A2)*(dataNiveles[Pasos planificados]&lt;&gt;0),dataNiveles[Paradas posibles]))</f>
        <v>6.6150107593970526</v>
      </c>
      <c r="W2">
        <f>AVERAGEIFS(dataNiveles[Paradas realizadas],dataNiveles[Nivel],A2,dataNiveles[Pasos planificados],"&gt;0")</f>
        <v>7.2142857142857144</v>
      </c>
      <c r="X2" cm="1">
        <f t="array" ref="X2">_xlfn.STDEV.P(IF((dataNiveles[Nivel]=A2)*(dataNiveles[Pasos planificados]&lt;&gt;0),dataNiveles[Paradas realizadas]))</f>
        <v>5.3556188308378045</v>
      </c>
      <c r="Y2">
        <f>AVERAGEIFS(dataNiveles[Errores parada por tiempo excedido],dataNiveles[Nivel],A2,dataNiveles[Pasos planificados],"&gt;0")</f>
        <v>0.14285714285714285</v>
      </c>
      <c r="Z2" cm="1">
        <f t="array" ref="Z2">_xlfn.STDEV.P(IF((dataNiveles[Nivel]=A2)*(dataNiveles[Pasos planificados]&lt;&gt;0),dataNiveles[Errores parada por tiempo excedido]))</f>
        <v>0.4237827706911807</v>
      </c>
      <c r="AA2">
        <f>AVERAGEIFS(dataNiveles[Num errores por tiempo excedido],dataNiveles[Nivel],A2,dataNiveles[Pasos planificados],"&gt;0")</f>
        <v>0.14285714285714285</v>
      </c>
      <c r="AB2" cm="1">
        <f t="array" ref="AB2">_xlfn.STDEV.P(IF((dataNiveles[Nivel]=A2)*(dataNiveles[Pasos planificados]&lt;&gt;0),dataNiveles[Num errores por tiempo excedido]))</f>
        <v>0.4237827706911807</v>
      </c>
      <c r="AC2">
        <f>AVERAGEIFS(dataNiveles[% Aciertos],dataNiveles[Nivel],A2,dataNiveles[Pasos planificados],"&gt;0")</f>
        <v>85.815476031893851</v>
      </c>
      <c r="AD2" cm="1">
        <f t="array" ref="AD2">_xlfn.STDEV.P(IF((dataNiveles[Nivel]=A2)*(dataNiveles[Pasos planificados]&lt;&gt;0),dataNiveles[% Aciertos]))</f>
        <v>15.269100509855848</v>
      </c>
      <c r="AE2">
        <f>AVERAGEIFS(dataNiveles[% Mal],dataNiveles[Nivel],A2,dataNiveles[Pasos planificados],"&gt;0")</f>
        <v>14.184523968106102</v>
      </c>
      <c r="AF2" cm="1">
        <f t="array" ref="AF2">_xlfn.STDEV.P(IF((dataNiveles[Nivel]=A2)*(dataNiveles[Pasos planificados]&lt;&gt;0),dataNiveles[% Mal]))</f>
        <v>15.269100509855752</v>
      </c>
      <c r="AG2">
        <f>AVERAGEIFS(dataNiveles[Tiempo duracion],dataNiveles[Nivel],A2,dataNiveles[Pasos planificados],"&gt;0")</f>
        <v>745.82640000000004</v>
      </c>
      <c r="AH2" cm="1">
        <f t="array" ref="AH2">_xlfn.STDEV.P(IF((dataNiveles[Nivel]=A2)*(dataNiveles[Pasos planificados]&lt;&gt;0),dataNiveles[Tiempo duracion]))</f>
        <v>540.96108448069128</v>
      </c>
      <c r="AI2">
        <f>AVERAGEIFS(dataNiveles[Num intentos],dataNiveles[Nivel],A2,dataNiveles[Pasos planificados],"&gt;0")</f>
        <v>4.1857142857142859</v>
      </c>
      <c r="AJ2" cm="1">
        <f t="array" ref="AJ2">_xlfn.STDEV.P(IF((dataNiveles[Nivel]=A2)*(dataNiveles[Pasos planificados]&lt;&gt;0),dataNiveles[Num intentos]))</f>
        <v>2.9340019336971772</v>
      </c>
      <c r="AK2">
        <f>COUNTIFS(dataNiveles[Nivel],A2, dataNiveles[Completado],"VERDADERO",dataNiveles[Pasos planificados],"&gt;0")</f>
        <v>24</v>
      </c>
      <c r="AL2">
        <f>100*AK2/B2</f>
        <v>34.285714285714285</v>
      </c>
      <c r="AM2">
        <f>COUNTIFS(dataNiveles[Nivel],A2, dataNiveles[Completado],"FALSO",dataNiveles[Pasos planificados],"&gt;0")</f>
        <v>46</v>
      </c>
      <c r="AN2">
        <f>100*AM2/B2</f>
        <v>65.714285714285708</v>
      </c>
    </row>
    <row r="3" spans="1:40" x14ac:dyDescent="0.3">
      <c r="A3">
        <v>2</v>
      </c>
      <c r="B3">
        <f>COUNTIFS(dataNiveles[Nivel],A3,dataNiveles[Pasos planificados],"&gt;0")</f>
        <v>54</v>
      </c>
      <c r="C3">
        <f>AVERAGEIFS(dataNiveles[Pasos planificados],dataNiveles[Nivel],A3,dataNiveles[Pasos planificados],"&gt;0")</f>
        <v>7.6111111111111107</v>
      </c>
      <c r="D3" cm="1">
        <f t="array" ref="D3">_xlfn.STDEV.P(IF((dataNiveles[Nivel]=A3)*(dataNiveles[Pasos planificados]&lt;&gt;0),dataNiveles[Pasos planificados]))</f>
        <v>6.5839779337493809</v>
      </c>
      <c r="E3">
        <f>AVERAGEIFS(dataNiveles[Pasos ejecutados],dataNiveles[Nivel],A3,dataNiveles[Pasos planificados],"&gt;0")</f>
        <v>6.6296296296296298</v>
      </c>
      <c r="F3" cm="1">
        <f t="array" ref="F3">_xlfn.STDEV.P(IF((dataNiveles[Nivel]=A3)*(dataNiveles[Pasos planificados]&lt;&gt;0),dataNiveles[Pasos ejecutados]))</f>
        <v>5.6578241344972771</v>
      </c>
      <c r="G3">
        <f>AVERAGEIFS(dataNiveles[Errores ejecucion],dataNiveles[Nivel],A3,dataNiveles[Pasos planificados],"&gt;0")</f>
        <v>0.98148148148148151</v>
      </c>
      <c r="H3" cm="1">
        <f t="array" ref="H3">_xlfn.STDEV.P(IF((dataNiveles[Nivel]=A3)*(dataNiveles[Pasos planificados]&lt;&gt;0),dataNiveles[Errores ejecucion]))</f>
        <v>1.5927002547588534</v>
      </c>
      <c r="I3">
        <f>AVERAGEIFS(dataNiveles[Num dormir planificado],dataNiveles[Nivel],A3,dataNiveles[Pasos planificados],"&gt;0")</f>
        <v>4.1481481481481479</v>
      </c>
      <c r="J3" cm="1">
        <f t="array" ref="J3">_xlfn.STDEV.P(IF((dataNiveles[Nivel]=A3)*(dataNiveles[Pasos planificados]&lt;&gt;0),dataNiveles[Num dormir planificado]))</f>
        <v>3.5559413370958386</v>
      </c>
      <c r="K3">
        <f>AVERAGEIFS(dataNiveles[Correctos dormir],dataNiveles[Nivel],A3,dataNiveles[Pasos planificados],"&gt;0")</f>
        <v>3.9074074074074074</v>
      </c>
      <c r="L3" cm="1">
        <f t="array" ref="L3">_xlfn.STDEV.P(IF((dataNiveles[Nivel]=A3)*(dataNiveles[Pasos planificados]&lt;&gt;0),dataNiveles[Correctos dormir]))</f>
        <v>3.4762075893694231</v>
      </c>
      <c r="M3">
        <f>AVERAGEIFS(dataNiveles[Errores dormir],dataNiveles[Nivel],A3,dataNiveles[Pasos planificados],"&gt;0")</f>
        <v>0.24074074074074073</v>
      </c>
      <c r="N3" cm="1">
        <f t="array" ref="N3">_xlfn.STDEV.P(IF((dataNiveles[Nivel]=A3)*(dataNiveles[Pasos planificados]&lt;&gt;0),dataNiveles[Errores dormir]))</f>
        <v>0.66486381744504597</v>
      </c>
      <c r="O3">
        <f>AVERAGEIFS(dataNiveles[Num ubicacion planificado],dataNiveles[Nivel],A3,dataNiveles[Pasos planificados],"&gt;0")</f>
        <v>3.4629629629629628</v>
      </c>
      <c r="P3" cm="1">
        <f t="array" ref="P3">_xlfn.STDEV.P(IF((dataNiveles[Nivel]=A3)*(dataNiveles[Pasos planificados]&lt;&gt;0),dataNiveles[Num ubicacion planificado]))</f>
        <v>3.2869718303391458</v>
      </c>
      <c r="Q3">
        <f>AVERAGEIFS(dataNiveles[Correctos ubicacion],dataNiveles[Nivel],A3,dataNiveles[Pasos planificados],"&gt;0")</f>
        <v>2.7222222222222223</v>
      </c>
      <c r="R3" cm="1">
        <f t="array" ref="R3">_xlfn.STDEV.P(IF((dataNiveles[Nivel]=A3)*(dataNiveles[Pasos planificados]&lt;&gt;0),dataNiveles[Correctos ubicacion]))</f>
        <v>2.5633937766798507</v>
      </c>
      <c r="S3">
        <f>AVERAGEIFS(dataNiveles[Errores ubicacion],dataNiveles[Nivel],A3,dataNiveles[Pasos planificados],"&gt;0")</f>
        <v>0.7407407407407407</v>
      </c>
      <c r="T3" cm="1">
        <f t="array" ref="T3">_xlfn.STDEV.P(IF((dataNiveles[Nivel]=A3)*(dataNiveles[Pasos planificados]&lt;&gt;0),dataNiveles[Errores ubicacion]))</f>
        <v>1.2792530399385587</v>
      </c>
      <c r="U3">
        <f>AVERAGEIFS(dataNiveles[Paradas posibles],dataNiveles[Nivel],A3,dataNiveles[Pasos planificados],"&gt;0")</f>
        <v>8.8518518518518512</v>
      </c>
      <c r="V3" cm="1">
        <f t="array" ref="V3">_xlfn.STDEV.P(IF((dataNiveles[Nivel]=A3)*(dataNiveles[Pasos planificados]&lt;&gt;0),dataNiveles[Paradas posibles]))</f>
        <v>9.1841397254490111</v>
      </c>
      <c r="W3">
        <f>AVERAGEIFS(dataNiveles[Paradas realizadas],dataNiveles[Nivel],A3,dataNiveles[Pasos planificados],"&gt;0")</f>
        <v>5.6481481481481479</v>
      </c>
      <c r="X3" cm="1">
        <f t="array" ref="X3">_xlfn.STDEV.P(IF((dataNiveles[Nivel]=A3)*(dataNiveles[Pasos planificados]&lt;&gt;0),dataNiveles[Paradas realizadas]))</f>
        <v>6.4439388903446755</v>
      </c>
      <c r="Y3">
        <f>AVERAGEIFS(dataNiveles[Errores parada por tiempo excedido],dataNiveles[Nivel],A3,dataNiveles[Pasos planificados],"&gt;0")</f>
        <v>0.81481481481481477</v>
      </c>
      <c r="Z3" cm="1">
        <f t="array" ref="Z3">_xlfn.STDEV.P(IF((dataNiveles[Nivel]=A3)*(dataNiveles[Pasos planificados]&lt;&gt;0),dataNiveles[Errores parada por tiempo excedido]))</f>
        <v>1.1233889546743037</v>
      </c>
      <c r="AA3">
        <f>AVERAGEIFS(dataNiveles[Num errores por tiempo excedido],dataNiveles[Nivel],A3,dataNiveles[Pasos planificados],"&gt;0")</f>
        <v>1</v>
      </c>
      <c r="AB3" cm="1">
        <f t="array" ref="AB3">_xlfn.STDEV.P(IF((dataNiveles[Nivel]=A3)*(dataNiveles[Pasos planificados]&lt;&gt;0),dataNiveles[Num errores por tiempo excedido]))</f>
        <v>1.4529663145135578</v>
      </c>
      <c r="AC3">
        <f>AVERAGEIFS(dataNiveles[% Aciertos],dataNiveles[Nivel],A3,dataNiveles[Pasos planificados],"&gt;0")</f>
        <v>87.697510822510807</v>
      </c>
      <c r="AD3" cm="1">
        <f t="array" ref="AD3">_xlfn.STDEV.P(IF((dataNiveles[Nivel]=A3)*(dataNiveles[Pasos planificados]&lt;&gt;0),dataNiveles[% Aciertos]))</f>
        <v>21.073686270495209</v>
      </c>
      <c r="AE3">
        <f>AVERAGEIFS(dataNiveles[% Mal],dataNiveles[Nivel],A3,dataNiveles[Pasos planificados],"&gt;0")</f>
        <v>12.302489177489166</v>
      </c>
      <c r="AF3" cm="1">
        <f t="array" ref="AF3">_xlfn.STDEV.P(IF((dataNiveles[Nivel]=A3)*(dataNiveles[Pasos planificados]&lt;&gt;0),dataNiveles[% Mal]))</f>
        <v>21.073686270495212</v>
      </c>
      <c r="AG3">
        <f>AVERAGEIFS(dataNiveles[Tiempo duracion],dataNiveles[Nivel],A3,dataNiveles[Pasos planificados],"&gt;0")</f>
        <v>678.47790740740754</v>
      </c>
      <c r="AH3" cm="1">
        <f t="array" ref="AH3">_xlfn.STDEV.P(IF((dataNiveles[Nivel]=A3)*(dataNiveles[Pasos planificados]&lt;&gt;0),dataNiveles[Tiempo duracion]))</f>
        <v>720.47346805872417</v>
      </c>
      <c r="AI3">
        <f>AVERAGEIFS(dataNiveles[Num intentos],dataNiveles[Nivel],A3,dataNiveles[Pasos planificados],"&gt;0")</f>
        <v>3.074074074074074</v>
      </c>
      <c r="AJ3" cm="1">
        <f t="array" ref="AJ3">_xlfn.STDEV.P(IF((dataNiveles[Nivel]=A3)*(dataNiveles[Pasos planificados]&lt;&gt;0),dataNiveles[Num intentos]))</f>
        <v>3.7998628233127723</v>
      </c>
      <c r="AK3">
        <f>COUNTIFS(dataNiveles[Nivel],A3, dataNiveles[Completado],"VERDADERO",dataNiveles[Pasos planificados],"&gt;0")</f>
        <v>22</v>
      </c>
      <c r="AL3">
        <f>100*AK3/B3</f>
        <v>40.74074074074074</v>
      </c>
      <c r="AM3">
        <f>COUNTIFS(dataNiveles[Nivel],A3, dataNiveles[Completado],"FALSO",dataNiveles[Pasos planificados],"&gt;0")</f>
        <v>32</v>
      </c>
      <c r="AN3">
        <f>100*AM3/B3</f>
        <v>59.25925925925926</v>
      </c>
    </row>
    <row r="4" spans="1:40" x14ac:dyDescent="0.3">
      <c r="A4">
        <v>3</v>
      </c>
      <c r="B4">
        <f>COUNTIFS(dataNiveles[Nivel],A4,dataNiveles[Pasos planificados],"&gt;0")</f>
        <v>42</v>
      </c>
      <c r="C4">
        <f>AVERAGEIFS(dataNiveles[Pasos planificados],dataNiveles[Nivel],A4,dataNiveles[Pasos planificados],"&gt;0")</f>
        <v>9.9285714285714288</v>
      </c>
      <c r="D4" cm="1">
        <f t="array" ref="D4">_xlfn.STDEV.P(IF((dataNiveles[Nivel]=A4)*(dataNiveles[Pasos planificados]&lt;&gt;0),dataNiveles[Pasos planificados]))</f>
        <v>8.7488580401560245</v>
      </c>
      <c r="E4">
        <f>AVERAGEIFS(dataNiveles[Pasos ejecutados],dataNiveles[Nivel],A4,dataNiveles[Pasos planificados],"&gt;0")</f>
        <v>8.2142857142857135</v>
      </c>
      <c r="F4" cm="1">
        <f t="array" ref="F4">_xlfn.STDEV.P(IF((dataNiveles[Nivel]=A4)*(dataNiveles[Pasos planificados]&lt;&gt;0),dataNiveles[Pasos ejecutados]))</f>
        <v>7.0661355852292802</v>
      </c>
      <c r="G4">
        <f>AVERAGEIFS(dataNiveles[Errores ejecucion],dataNiveles[Nivel],A4,dataNiveles[Pasos planificados],"&gt;0")</f>
        <v>1.7142857142857142</v>
      </c>
      <c r="H4" cm="1">
        <f t="array" ref="H4">_xlfn.STDEV.P(IF((dataNiveles[Nivel]=A4)*(dataNiveles[Pasos planificados]&lt;&gt;0),dataNiveles[Errores ejecucion]))</f>
        <v>2.1743714393963569</v>
      </c>
      <c r="I4">
        <f>AVERAGEIFS(dataNiveles[Num dormir planificado],dataNiveles[Nivel],A4,dataNiveles[Pasos planificados],"&gt;0")</f>
        <v>4.2857142857142856</v>
      </c>
      <c r="J4" cm="1">
        <f t="array" ref="J4">_xlfn.STDEV.P(IF((dataNiveles[Nivel]=A4)*(dataNiveles[Pasos planificados]&lt;&gt;0),dataNiveles[Num dormir planificado]))</f>
        <v>3.231435729014009</v>
      </c>
      <c r="K4">
        <f>AVERAGEIFS(dataNiveles[Correctos dormir],dataNiveles[Nivel],A4,dataNiveles[Pasos planificados],"&gt;0")</f>
        <v>4.1904761904761907</v>
      </c>
      <c r="L4" cm="1">
        <f t="array" ref="L4">_xlfn.STDEV.P(IF((dataNiveles[Nivel]=A4)*(dataNiveles[Pasos planificados]&lt;&gt;0),dataNiveles[Correctos dormir]))</f>
        <v>3.1715858676850881</v>
      </c>
      <c r="M4">
        <f>AVERAGEIFS(dataNiveles[Errores dormir],dataNiveles[Nivel],A4,dataNiveles[Pasos planificados],"&gt;0")</f>
        <v>9.5238095238095233E-2</v>
      </c>
      <c r="N4" cm="1">
        <f t="array" ref="N4">_xlfn.STDEV.P(IF((dataNiveles[Nivel]=A4)*(dataNiveles[Pasos planificados]&lt;&gt;0),dataNiveles[Errores dormir]))</f>
        <v>0.29354352395090366</v>
      </c>
      <c r="O4">
        <f>AVERAGEIFS(dataNiveles[Num ubicacion planificado],dataNiveles[Nivel],A4,dataNiveles[Pasos planificados],"&gt;0")</f>
        <v>5.6428571428571432</v>
      </c>
      <c r="P4" cm="1">
        <f t="array" ref="P4">_xlfn.STDEV.P(IF((dataNiveles[Nivel]=A4)*(dataNiveles[Pasos planificados]&lt;&gt;0),dataNiveles[Num ubicacion planificado]))</f>
        <v>6.0781475427156595</v>
      </c>
      <c r="Q4">
        <f>AVERAGEIFS(dataNiveles[Correctos ubicacion],dataNiveles[Nivel],A4,dataNiveles[Pasos planificados],"&gt;0")</f>
        <v>4.0238095238095237</v>
      </c>
      <c r="R4" cm="1">
        <f t="array" ref="R4">_xlfn.STDEV.P(IF((dataNiveles[Nivel]=A4)*(dataNiveles[Pasos planificados]&lt;&gt;0),dataNiveles[Correctos ubicacion]))</f>
        <v>4.7131431996982309</v>
      </c>
      <c r="S4">
        <f>AVERAGEIFS(dataNiveles[Errores ubicacion],dataNiveles[Nivel],A4,dataNiveles[Pasos planificados],"&gt;0")</f>
        <v>1.6190476190476191</v>
      </c>
      <c r="T4" cm="1">
        <f t="array" ref="T4">_xlfn.STDEV.P(IF((dataNiveles[Nivel]=A4)*(dataNiveles[Pasos planificados]&lt;&gt;0),dataNiveles[Errores ubicacion]))</f>
        <v>2.0581126461880292</v>
      </c>
      <c r="U4">
        <f>AVERAGEIFS(dataNiveles[Paradas posibles],dataNiveles[Nivel],A4,dataNiveles[Pasos planificados],"&gt;0")</f>
        <v>8.6904761904761898</v>
      </c>
      <c r="V4" cm="1">
        <f t="array" ref="V4">_xlfn.STDEV.P(IF((dataNiveles[Nivel]=A4)*(dataNiveles[Pasos planificados]&lt;&gt;0),dataNiveles[Paradas posibles]))</f>
        <v>6.3263925447592557</v>
      </c>
      <c r="W4">
        <f>AVERAGEIFS(dataNiveles[Paradas realizadas],dataNiveles[Nivel],A4,dataNiveles[Pasos planificados],"&gt;0")</f>
        <v>6.8809523809523814</v>
      </c>
      <c r="X4" cm="1">
        <f t="array" ref="X4">_xlfn.STDEV.P(IF((dataNiveles[Nivel]=A4)*(dataNiveles[Pasos planificados]&lt;&gt;0),dataNiveles[Paradas realizadas]))</f>
        <v>5.2426927875280933</v>
      </c>
      <c r="Y4">
        <f>AVERAGEIFS(dataNiveles[Errores parada por tiempo excedido],dataNiveles[Nivel],A4,dataNiveles[Pasos planificados],"&gt;0")</f>
        <v>4.7619047619047616E-2</v>
      </c>
      <c r="Z4" cm="1">
        <f t="array" ref="Z4">_xlfn.STDEV.P(IF((dataNiveles[Nivel]=A4)*(dataNiveles[Pasos planificados]&lt;&gt;0),dataNiveles[Errores parada por tiempo excedido]))</f>
        <v>0.21295885499997996</v>
      </c>
      <c r="AA4">
        <f>AVERAGEIFS(dataNiveles[Num errores por tiempo excedido],dataNiveles[Nivel],A4,dataNiveles[Pasos planificados],"&gt;0")</f>
        <v>0.11904761904761904</v>
      </c>
      <c r="AB4" cm="1">
        <f t="array" ref="AB4">_xlfn.STDEV.P(IF((dataNiveles[Nivel]=A4)*(dataNiveles[Pasos planificados]&lt;&gt;0),dataNiveles[Num errores por tiempo excedido]))</f>
        <v>0.39050522540135058</v>
      </c>
      <c r="AC4">
        <f>AVERAGEIFS(dataNiveles[% Aciertos],dataNiveles[Nivel],A4,dataNiveles[Pasos planificados],"&gt;0")</f>
        <v>84.838453427840761</v>
      </c>
      <c r="AD4" cm="1">
        <f t="array" ref="AD4">_xlfn.STDEV.P(IF((dataNiveles[Nivel]=A4)*(dataNiveles[Pasos planificados]&lt;&gt;0),dataNiveles[% Aciertos]))</f>
        <v>12.891775925706845</v>
      </c>
      <c r="AE4">
        <f>AVERAGEIFS(dataNiveles[% Mal],dataNiveles[Nivel],A4,dataNiveles[Pasos planificados],"&gt;0")</f>
        <v>15.161546572159182</v>
      </c>
      <c r="AF4" cm="1">
        <f t="array" ref="AF4">_xlfn.STDEV.P(IF((dataNiveles[Nivel]=A4)*(dataNiveles[Pasos planificados]&lt;&gt;0),dataNiveles[% Mal]))</f>
        <v>12.891775925706742</v>
      </c>
      <c r="AG4">
        <f>AVERAGEIFS(dataNiveles[Tiempo duracion],dataNiveles[Nivel],A4,dataNiveles[Pasos planificados],"&gt;0")</f>
        <v>501.5519523809524</v>
      </c>
      <c r="AH4" cm="1">
        <f t="array" ref="AH4">_xlfn.STDEV.P(IF((dataNiveles[Nivel]=A4)*(dataNiveles[Pasos planificados]&lt;&gt;0),dataNiveles[Tiempo duracion]))</f>
        <v>451.29781997932702</v>
      </c>
      <c r="AI4">
        <f>AVERAGEIFS(dataNiveles[Num intentos],dataNiveles[Nivel],A4,dataNiveles[Pasos planificados],"&gt;0")</f>
        <v>2.7857142857142856</v>
      </c>
      <c r="AJ4" cm="1">
        <f t="array" ref="AJ4">_xlfn.STDEV.P(IF((dataNiveles[Nivel]=A4)*(dataNiveles[Pasos planificados]&lt;&gt;0),dataNiveles[Num intentos]))</f>
        <v>2.0648499805498872</v>
      </c>
      <c r="AK4">
        <f>COUNTIFS(dataNiveles[Nivel],A4, dataNiveles[Completado],"VERDADERO",dataNiveles[Pasos planificados],"&gt;0")</f>
        <v>26</v>
      </c>
      <c r="AL4">
        <f>100*AK4/B4</f>
        <v>61.904761904761905</v>
      </c>
      <c r="AM4">
        <f>COUNTIFS(dataNiveles[Nivel],A4, dataNiveles[Completado],"FALSO",dataNiveles[Pasos planificados],"&gt;0")</f>
        <v>16</v>
      </c>
      <c r="AN4">
        <f>100*AM4/B4</f>
        <v>38.095238095238095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2026-07-07T19:22:25Z</dcterms:created>
  <dcterms:modified xsi:type="dcterms:W3CDTF">2026-08-29T17:31:33Z</dcterms:modified>
</cp:coreProperties>
</file>