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266D01B4-6635-42CB-A21C-FED8AC6AA5A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3" r:id="rId2"/>
    <sheet name="Hoja2" sheetId="2" r:id="rId3"/>
  </sheets>
  <definedNames>
    <definedName name="_xlchart.v1.0" hidden="1">Sheet1!$B$2:$B$76</definedName>
    <definedName name="_xlchart.v1.1" hidden="1">Sheet1!$K$1</definedName>
    <definedName name="_xlchart.v1.2" hidden="1">Sheet1!$K$2:$K$76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2" i="2"/>
  <c r="N8" i="2" a="1"/>
  <c r="N9" i="2" a="1"/>
  <c r="N7" i="2" a="1"/>
  <c r="L8" i="2" a="1"/>
  <c r="L9" i="2" a="1"/>
  <c r="L7" i="2" a="1"/>
  <c r="J8" i="2" a="1"/>
  <c r="J9" i="2" a="1"/>
  <c r="J7" i="2" a="1"/>
  <c r="H8" i="2" a="1"/>
  <c r="H9" i="2" a="1"/>
  <c r="H7" i="2" a="1"/>
  <c r="F8" i="2" a="1"/>
  <c r="F9" i="2" a="1"/>
  <c r="F7" i="2" a="1"/>
  <c r="D8" i="2" a="1"/>
  <c r="D9" i="2" a="1"/>
  <c r="D7" i="2" a="1"/>
  <c r="AB3" i="2" a="1"/>
  <c r="AB4" i="2" a="1"/>
  <c r="AB2" i="2" a="1"/>
  <c r="Z3" i="2" a="1"/>
  <c r="Z4" i="2" a="1"/>
  <c r="Z2" i="2" a="1"/>
  <c r="X3" i="2" a="1"/>
  <c r="X4" i="2" a="1"/>
  <c r="X2" i="2" a="1"/>
  <c r="V3" i="2" a="1"/>
  <c r="V4" i="2" a="1"/>
  <c r="V2" i="2" a="1"/>
  <c r="T3" i="2" a="1"/>
  <c r="T4" i="2" a="1"/>
  <c r="T2" i="2" a="1"/>
  <c r="R3" i="2" a="1"/>
  <c r="R4" i="2" a="1"/>
  <c r="R2" i="2" a="1"/>
  <c r="P3" i="2" a="1"/>
  <c r="P4" i="2" a="1"/>
  <c r="P2" i="2" a="1"/>
  <c r="N3" i="2" a="1"/>
  <c r="N4" i="2" a="1"/>
  <c r="N2" i="2" a="1"/>
  <c r="L3" i="2" a="1"/>
  <c r="L4" i="2" a="1"/>
  <c r="L2" i="2" a="1"/>
  <c r="J3" i="2" a="1"/>
  <c r="J4" i="2" a="1"/>
  <c r="J2" i="2" a="1"/>
  <c r="H3" i="2" a="1"/>
  <c r="H4" i="2" a="1"/>
  <c r="H2" i="2" a="1"/>
  <c r="F3" i="2" a="1"/>
  <c r="F4" i="2" a="1"/>
  <c r="F2" i="2" a="1"/>
  <c r="D3" i="2" a="1"/>
  <c r="D4" i="2" a="1"/>
  <c r="D2" i="2" a="1"/>
  <c r="I13" i="2"/>
  <c r="I14" i="2"/>
  <c r="I12" i="2"/>
  <c r="K12" i="2" s="1"/>
  <c r="L12" i="2" s="1"/>
  <c r="H13" i="2"/>
  <c r="H14" i="2"/>
  <c r="H12" i="2"/>
  <c r="M8" i="2"/>
  <c r="M9" i="2"/>
  <c r="M7" i="2"/>
  <c r="K8" i="2"/>
  <c r="K9" i="2"/>
  <c r="K7" i="2"/>
  <c r="I8" i="2"/>
  <c r="I9" i="2"/>
  <c r="I7" i="2"/>
  <c r="G8" i="2"/>
  <c r="G9" i="2"/>
  <c r="G7" i="2"/>
  <c r="E8" i="2"/>
  <c r="E9" i="2"/>
  <c r="E7" i="2"/>
  <c r="C8" i="2"/>
  <c r="C9" i="2"/>
  <c r="C7" i="2"/>
  <c r="AA3" i="2"/>
  <c r="AA4" i="2"/>
  <c r="AA2" i="2"/>
  <c r="Y3" i="2"/>
  <c r="Y4" i="2"/>
  <c r="Y2" i="2"/>
  <c r="W3" i="2"/>
  <c r="W4" i="2"/>
  <c r="W2" i="2"/>
  <c r="U3" i="2"/>
  <c r="U4" i="2"/>
  <c r="U2" i="2"/>
  <c r="S3" i="2"/>
  <c r="S4" i="2"/>
  <c r="S2" i="2"/>
  <c r="Q3" i="2"/>
  <c r="Q4" i="2"/>
  <c r="Q2" i="2"/>
  <c r="O3" i="2"/>
  <c r="O4" i="2"/>
  <c r="O2" i="2"/>
  <c r="M3" i="2"/>
  <c r="M4" i="2"/>
  <c r="M2" i="2"/>
  <c r="K3" i="2"/>
  <c r="K4" i="2"/>
  <c r="K2" i="2"/>
  <c r="I3" i="2"/>
  <c r="I4" i="2"/>
  <c r="I2" i="2"/>
  <c r="G3" i="2"/>
  <c r="G4" i="2"/>
  <c r="G2" i="2"/>
  <c r="E3" i="2"/>
  <c r="E4" i="2"/>
  <c r="E2" i="2"/>
  <c r="C4" i="2"/>
  <c r="C3" i="2"/>
  <c r="C2" i="2"/>
  <c r="I14" i="3"/>
  <c r="J14" i="3" s="1"/>
  <c r="H14" i="3"/>
  <c r="K14" i="3" s="1"/>
  <c r="L14" i="3" s="1"/>
  <c r="I13" i="3"/>
  <c r="J13" i="3" s="1"/>
  <c r="H13" i="3"/>
  <c r="K13" i="3" s="1"/>
  <c r="L13" i="3" s="1"/>
  <c r="I12" i="3"/>
  <c r="J12" i="3" s="1"/>
  <c r="H12" i="3"/>
  <c r="K12" i="3" s="1"/>
  <c r="L12" i="3" s="1"/>
  <c r="N9" i="3" a="1"/>
  <c r="M9" i="3"/>
  <c r="L9" i="3" a="1"/>
  <c r="K9" i="3"/>
  <c r="J9" i="3" a="1"/>
  <c r="I9" i="3"/>
  <c r="H9" i="3" a="1"/>
  <c r="G9" i="3"/>
  <c r="F9" i="3" a="1"/>
  <c r="E9" i="3"/>
  <c r="D9" i="3" a="1"/>
  <c r="C9" i="3"/>
  <c r="N8" i="3" a="1"/>
  <c r="M8" i="3"/>
  <c r="L8" i="3" a="1"/>
  <c r="K8" i="3"/>
  <c r="J8" i="3" a="1"/>
  <c r="I8" i="3"/>
  <c r="H8" i="3" a="1"/>
  <c r="G8" i="3"/>
  <c r="F8" i="3" a="1"/>
  <c r="E8" i="3"/>
  <c r="D8" i="3" a="1"/>
  <c r="C8" i="3"/>
  <c r="N7" i="3" a="1"/>
  <c r="M7" i="3"/>
  <c r="L7" i="3" a="1"/>
  <c r="K7" i="3"/>
  <c r="J7" i="3" a="1"/>
  <c r="I7" i="3"/>
  <c r="H7" i="3" a="1"/>
  <c r="G7" i="3"/>
  <c r="F7" i="3" a="1"/>
  <c r="E7" i="3"/>
  <c r="D7" i="3" a="1"/>
  <c r="C7" i="3"/>
  <c r="AB4" i="3" a="1"/>
  <c r="AA4" i="3"/>
  <c r="Z4" i="3" a="1"/>
  <c r="Y4" i="3"/>
  <c r="X4" i="3" a="1"/>
  <c r="W4" i="3"/>
  <c r="V4" i="3" a="1"/>
  <c r="U4" i="3"/>
  <c r="T4" i="3" a="1"/>
  <c r="S4" i="3"/>
  <c r="R4" i="3" a="1"/>
  <c r="Q4" i="3"/>
  <c r="P4" i="3" a="1"/>
  <c r="O4" i="3"/>
  <c r="N4" i="3" a="1"/>
  <c r="M4" i="3"/>
  <c r="L4" i="3" a="1"/>
  <c r="K4" i="3"/>
  <c r="J4" i="3" a="1"/>
  <c r="I4" i="3"/>
  <c r="H4" i="3" a="1"/>
  <c r="G4" i="3"/>
  <c r="F4" i="3" a="1"/>
  <c r="E4" i="3"/>
  <c r="D4" i="3" a="1"/>
  <c r="C4" i="3"/>
  <c r="B4" i="3"/>
  <c r="AB3" i="3" a="1"/>
  <c r="AA3" i="3"/>
  <c r="Z3" i="3" a="1"/>
  <c r="Y3" i="3"/>
  <c r="X3" i="3" a="1"/>
  <c r="W3" i="3"/>
  <c r="V3" i="3" a="1"/>
  <c r="U3" i="3"/>
  <c r="T3" i="3" a="1"/>
  <c r="S3" i="3"/>
  <c r="R3" i="3" a="1"/>
  <c r="Q3" i="3"/>
  <c r="P3" i="3" a="1"/>
  <c r="O3" i="3"/>
  <c r="N3" i="3" a="1"/>
  <c r="M3" i="3"/>
  <c r="L3" i="3" a="1"/>
  <c r="K3" i="3"/>
  <c r="J3" i="3" a="1"/>
  <c r="I3" i="3"/>
  <c r="H3" i="3" a="1"/>
  <c r="G3" i="3"/>
  <c r="F3" i="3" a="1"/>
  <c r="E3" i="3"/>
  <c r="D3" i="3" a="1"/>
  <c r="C3" i="3"/>
  <c r="B3" i="3"/>
  <c r="AB2" i="3" a="1"/>
  <c r="AA2" i="3"/>
  <c r="Z2" i="3" a="1"/>
  <c r="Y2" i="3"/>
  <c r="X2" i="3" a="1"/>
  <c r="W2" i="3"/>
  <c r="V2" i="3" a="1"/>
  <c r="U2" i="3"/>
  <c r="T2" i="3" a="1"/>
  <c r="S2" i="3"/>
  <c r="R2" i="3" a="1"/>
  <c r="Q2" i="3"/>
  <c r="P2" i="3" a="1"/>
  <c r="O2" i="3"/>
  <c r="N2" i="3" a="1"/>
  <c r="M2" i="3"/>
  <c r="L2" i="3" a="1"/>
  <c r="K2" i="3"/>
  <c r="J2" i="3" a="1"/>
  <c r="I2" i="3"/>
  <c r="H2" i="3" a="1"/>
  <c r="G2" i="3"/>
  <c r="F2" i="3" a="1"/>
  <c r="E2" i="3"/>
  <c r="D2" i="3" a="1"/>
  <c r="C2" i="3"/>
  <c r="B2" i="3"/>
  <c r="J12" i="2"/>
  <c r="K13" i="2" l="1"/>
  <c r="L13" i="2" s="1"/>
  <c r="J13" i="2"/>
  <c r="K14" i="2"/>
  <c r="L14" i="2" s="1"/>
  <c r="J1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<sst xmlns="http://schemas.openxmlformats.org/spreadsheetml/2006/main" count="285" uniqueCount="217">
  <si>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</si>
  <si>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</si>
  <si>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</si>
  <si>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</si>
  <si>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</si>
  <si>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</si>
  <si>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</si>
  <si>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</si>
  <si>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</si>
  <si>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</si>
  <si>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</si>
  <si>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</si>
  <si>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</si>
  <si>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</si>
  <si>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</si>
  <si>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</si>
  <si>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</si>
  <si>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</si>
  <si>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</si>
  <si>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</si>
  <si>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</si>
  <si>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</si>
  <si>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</si>
  <si>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</si>
  <si>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</si>
  <si>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</si>
  <si>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</si>
  <si>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</si>
  <si>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</si>
  <si>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</si>
  <si>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</si>
  <si>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</si>
  <si>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</si>
  <si>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</si>
  <si>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</si>
  <si>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</si>
  <si>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</si>
  <si>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</si>
  <si>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</si>
  <si>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</si>
  <si>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</si>
  <si>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</si>
  <si>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</si>
  <si>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</si>
  <si>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</si>
  <si>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</si>
  <si>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</si>
  <si>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</si>
  <si>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</si>
  <si>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</si>
  <si>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</si>
  <si>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</si>
  <si>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</si>
  <si>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</si>
  <si>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</si>
  <si>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</si>
  <si>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</si>
  <si>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</si>
  <si>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</si>
  <si>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</si>
  <si>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</si>
  <si>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</si>
  <si>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</si>
  <si>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</si>
  <si>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</si>
  <si>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</si>
  <si>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</si>
  <si>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</si>
  <si>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</si>
  <si>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</si>
  <si>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</si>
  <si>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</si>
  <si>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</si>
  <si>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</si>
  <si>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</si>
  <si>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</si>
  <si>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</si>
  <si>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</si>
  <si>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</si>
  <si>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</si>
  <si>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</si>
  <si>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</si>
  <si>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</si>
  <si>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</si>
  <si>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</si>
  <si>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</si>
  <si>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</si>
  <si>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</si>
  <si>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</si>
  <si>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</si>
  <si>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</si>
  <si>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</si>
  <si>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</si>
  <si>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</si>
  <si>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</si>
  <si>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</si>
  <si>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</si>
  <si>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</si>
  <si>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</si>
  <si>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</si>
  <si>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</si>
  <si>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</si>
  <si>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</si>
  <si>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</si>
  <si>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</si>
  <si>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</si>
  <si>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</si>
  <si>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</si>
  <si>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</si>
  <si>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</si>
  <si>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</si>
  <si>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</si>
  <si>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</si>
  <si>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</si>
  <si>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</si>
  <si>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</si>
  <si>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</si>
  <si>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</si>
  <si>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</si>
  <si>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</si>
  <si>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</si>
  <si>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</si>
  <si>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</si>
  <si>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</si>
  <si>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</si>
  <si>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</si>
  <si>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</si>
  <si>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</si>
  <si>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</si>
  <si>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</si>
  <si>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</si>
  <si>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</si>
  <si>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</si>
  <si>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</si>
  <si>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</si>
  <si>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</si>
  <si>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</si>
  <si>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</si>
  <si>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</si>
  <si>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</si>
  <si>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</si>
  <si>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</si>
  <si>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</si>
  <si>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</si>
  <si>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</si>
  <si>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</si>
  <si>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</si>
  <si>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</si>
  <si>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</si>
  <si>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</si>
  <si>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</si>
  <si>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</si>
  <si>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</si>
  <si>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</si>
  <si>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</si>
  <si>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</si>
  <si>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</si>
  <si>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</si>
  <si>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</si>
  <si>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</si>
  <si>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</si>
  <si>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</si>
  <si>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</si>
  <si>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</si>
  <si>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</si>
  <si>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</si>
  <si>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</si>
  <si>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</si>
  <si>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</si>
  <si>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</si>
  <si>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</si>
  <si>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</si>
  <si>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</si>
  <si>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</si>
  <si>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</si>
  <si>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</si>
  <si>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</si>
  <si>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</si>
  <si>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</si>
  <si>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</si>
  <si>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</si>
  <si>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</si>
  <si>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</si>
  <si>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</si>
  <si>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</si>
  <si>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</si>
  <si>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</si>
  <si>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</si>
  <si>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</si>
  <si>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</si>
  <si>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</si>
  <si>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</si>
  <si>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</si>
  <si>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</si>
  <si>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</si>
  <si>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</si>
  <si>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</si>
  <si>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</si>
  <si>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</si>
  <si>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niveles</t>
  </si>
  <si>
    <t>Stdev n niveles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</si>
  <si>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</si>
  <si>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</si>
  <si>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</si>
  <si>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</si>
  <si>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</si>
  <si>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</si>
  <si>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</si>
  <si>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0 planificado</t>
  </si>
  <si>
    <t>Num completados</t>
  </si>
  <si>
    <t>% completados</t>
  </si>
  <si>
    <t>No completados</t>
  </si>
  <si>
    <t>% no completados</t>
  </si>
  <si>
    <t>Media % aciertos</t>
  </si>
  <si>
    <t>Media % errores</t>
  </si>
  <si>
    <t>Stdev % aciertos</t>
  </si>
  <si>
    <t>Stdev % errores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</si>
</sst>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386715</xdr:colOff>
      <xdr:row>51</xdr:row>
      <xdr:rowOff>82867</xdr:rowOff>
    </xdr:from>
    <xdr:to>
      <xdr:col>11</xdr:col>
      <xdr:colOff>1259205</xdr:colOff>
      <xdr:row>65</xdr:row>
      <xdr:rowOff>159067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45755" y="9409747"/>
              <a:ext cx="4720590" cy="2636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W76" totalsRowShown="0" headerRowDxfId="2" headerRowBorderDxfId="1" tableBorderDxfId="0">
  <autoFilter ref="A1:W76" xr:uid="{AD8B7A24-8C82-432D-8F40-107C6140EF70}"/>
  <tableColumns count="23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  <tableColumn id="22" xr3:uid="{6BB76774-135C-4D4D-BE0D-D83590AFB522}" name="% Aciertos"/>
    <tableColumn id="23" xr3:uid="{9C9F4625-8EA8-476D-A95C-1546132B3A03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6"/>
  <sheetViews>
    <sheetView zoomScaleNormal="100" workbookViewId="0">
      <selection activeCell="X15" sqref="X15"/>
    </sheetView>
  </sheetViews>
  <sheetFormatPr baseColWidth="10" defaultColWidth="9.109375" defaultRowHeight="14.4" x14ac:dyDescent="0.3"/>
  <cols>
    <col min="3" max="3" width="14.33203125" customWidth="1"/>
    <col min="4" max="4" width="15.33203125" customWidth="1"/>
    <col min="5" max="5" width="14.88671875" customWidth="1"/>
    <col min="6" max="6" width="15.109375" customWidth="1"/>
    <col min="7" max="7" width="14.33203125" customWidth="1"/>
    <col min="8" max="8" width="18" customWidth="1"/>
    <col min="9" max="9" width="19.33203125" customWidth="1"/>
    <col min="10" max="10" width="18.33203125" customWidth="1"/>
    <col min="11" max="11" width="18.44140625" customWidth="1"/>
    <col min="12" max="12" width="24.109375" customWidth="1"/>
    <col min="13" max="13" width="18" customWidth="1"/>
    <col min="14" max="14" width="15.88671875" customWidth="1"/>
    <col min="15" max="15" width="26.5546875" customWidth="1"/>
    <col min="16" max="16" width="20.44140625" customWidth="1"/>
    <col min="17" max="17" width="18.33203125" customWidth="1"/>
    <col min="18" max="18" width="17.88671875" customWidth="1"/>
    <col min="19" max="19" width="19.33203125" customWidth="1"/>
    <col min="20" max="20" width="34.6640625" customWidth="1"/>
    <col min="21" max="21" width="33.109375" customWidth="1"/>
    <col min="22" max="23" width="18.6640625" bestFit="1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206</v>
      </c>
      <c r="W1" s="1" t="s">
        <v>207</v>
      </c>
    </row>
    <row r="2" spans="1:23" x14ac:dyDescent="0.3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>
        <v>78.571428571428498</v>
      </c>
      <c r="W2">
        <v>21.428571428571399</v>
      </c>
    </row>
    <row r="3" spans="1:23" x14ac:dyDescent="0.3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  <c r="V3">
        <v>88.235294117647001</v>
      </c>
      <c r="W3">
        <v>11.764705882352899</v>
      </c>
    </row>
    <row r="4" spans="1:23" x14ac:dyDescent="0.3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  <c r="V4">
        <v>84.615384615384599</v>
      </c>
      <c r="W4">
        <v>15.3846153846153</v>
      </c>
    </row>
    <row r="5" spans="1:23" x14ac:dyDescent="0.3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  <c r="V5">
        <v>84.210526315789394</v>
      </c>
      <c r="W5">
        <v>15.789473684210501</v>
      </c>
    </row>
    <row r="6" spans="1:23" x14ac:dyDescent="0.3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  <c r="V6">
        <v>88.8888888888888</v>
      </c>
      <c r="W6">
        <v>11.1111111111111</v>
      </c>
    </row>
    <row r="7" spans="1:23" x14ac:dyDescent="0.3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  <c r="V7">
        <v>95</v>
      </c>
      <c r="W7">
        <v>5</v>
      </c>
    </row>
    <row r="8" spans="1:23" x14ac:dyDescent="0.3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  <c r="V8" t="s">
        <v>208</v>
      </c>
      <c r="W8" t="s">
        <v>208</v>
      </c>
    </row>
    <row r="9" spans="1:23" x14ac:dyDescent="0.3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  <c r="V9">
        <v>62.5</v>
      </c>
      <c r="W9">
        <v>37.5</v>
      </c>
    </row>
    <row r="10" spans="1:23" x14ac:dyDescent="0.3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  <c r="V10">
        <v>95.238095238095198</v>
      </c>
      <c r="W10">
        <v>4.7619047619047503</v>
      </c>
    </row>
    <row r="11" spans="1:23" x14ac:dyDescent="0.3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  <c r="V11">
        <v>92.857142857142804</v>
      </c>
      <c r="W11">
        <v>7.1428571428571299</v>
      </c>
    </row>
    <row r="12" spans="1:23" x14ac:dyDescent="0.3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  <c r="V12">
        <v>93.75</v>
      </c>
      <c r="W12">
        <v>6.25</v>
      </c>
    </row>
    <row r="13" spans="1:23" x14ac:dyDescent="0.3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  <c r="V13">
        <v>76.470588235294102</v>
      </c>
      <c r="W13">
        <v>23.529411764705799</v>
      </c>
    </row>
    <row r="14" spans="1:23" x14ac:dyDescent="0.3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  <c r="V14">
        <v>86.6666666666666</v>
      </c>
      <c r="W14">
        <v>13.3333333333333</v>
      </c>
    </row>
    <row r="15" spans="1:23" x14ac:dyDescent="0.3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  <c r="V15">
        <v>83.3333333333333</v>
      </c>
      <c r="W15">
        <v>16.6666666666666</v>
      </c>
    </row>
    <row r="16" spans="1:23" x14ac:dyDescent="0.3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  <c r="V16">
        <v>81.25</v>
      </c>
      <c r="W16">
        <v>18.75</v>
      </c>
    </row>
    <row r="17" spans="1:23" x14ac:dyDescent="0.3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  <c r="V17">
        <v>92.592592592592595</v>
      </c>
      <c r="W17">
        <v>7.4074074074074003</v>
      </c>
    </row>
    <row r="18" spans="1:23" x14ac:dyDescent="0.3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 t="s">
        <v>208</v>
      </c>
      <c r="W18" t="s">
        <v>208</v>
      </c>
    </row>
    <row r="19" spans="1:23" x14ac:dyDescent="0.3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  <c r="V19">
        <v>90.322580645161295</v>
      </c>
      <c r="W19">
        <v>9.6774193548386993</v>
      </c>
    </row>
    <row r="20" spans="1:23" x14ac:dyDescent="0.3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  <c r="V20">
        <v>90.909090909090907</v>
      </c>
      <c r="W20">
        <v>9.0909090909090899</v>
      </c>
    </row>
    <row r="21" spans="1:23" x14ac:dyDescent="0.3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  <c r="V21">
        <v>94.736842105263094</v>
      </c>
      <c r="W21">
        <v>5.26315789473683</v>
      </c>
    </row>
    <row r="22" spans="1:23" x14ac:dyDescent="0.3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  <c r="V22">
        <v>88.636363636363598</v>
      </c>
      <c r="W22">
        <v>11.363636363636299</v>
      </c>
    </row>
    <row r="23" spans="1:23" x14ac:dyDescent="0.3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  <c r="V23">
        <v>78.571428571428498</v>
      </c>
      <c r="W23">
        <v>21.428571428571399</v>
      </c>
    </row>
    <row r="24" spans="1:23" x14ac:dyDescent="0.3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  <c r="V24">
        <v>50</v>
      </c>
      <c r="W24">
        <v>50</v>
      </c>
    </row>
    <row r="25" spans="1:23" x14ac:dyDescent="0.3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  <c r="V25">
        <v>76.744186046511601</v>
      </c>
      <c r="W25">
        <v>23.2558139534883</v>
      </c>
    </row>
    <row r="26" spans="1:23" x14ac:dyDescent="0.3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  <c r="V26">
        <v>95</v>
      </c>
      <c r="W26">
        <v>5</v>
      </c>
    </row>
    <row r="27" spans="1:23" x14ac:dyDescent="0.3">
      <c r="A27">
        <v>25</v>
      </c>
      <c r="B27">
        <v>3</v>
      </c>
      <c r="C27">
        <v>3</v>
      </c>
      <c r="D27">
        <v>15</v>
      </c>
      <c r="E27">
        <v>0</v>
      </c>
      <c r="F27" t="s">
        <v>71</v>
      </c>
      <c r="G27" t="s">
        <v>205</v>
      </c>
      <c r="H27">
        <v>2688.6970000000001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  <c r="V27">
        <v>87.5</v>
      </c>
      <c r="W27">
        <v>12.5</v>
      </c>
    </row>
    <row r="28" spans="1:23" x14ac:dyDescent="0.3">
      <c r="A28">
        <v>26</v>
      </c>
      <c r="B28">
        <v>1</v>
      </c>
      <c r="C28">
        <v>2</v>
      </c>
      <c r="D28">
        <v>7</v>
      </c>
      <c r="E28">
        <v>0</v>
      </c>
      <c r="F28" t="s">
        <v>72</v>
      </c>
      <c r="G28" t="s">
        <v>73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  <c r="V28">
        <v>100</v>
      </c>
      <c r="W28">
        <v>0</v>
      </c>
    </row>
    <row r="29" spans="1:23" x14ac:dyDescent="0.3">
      <c r="A29">
        <v>26</v>
      </c>
      <c r="B29">
        <v>3</v>
      </c>
      <c r="C29">
        <v>3</v>
      </c>
      <c r="D29">
        <v>16</v>
      </c>
      <c r="E29">
        <v>0</v>
      </c>
      <c r="F29" t="s">
        <v>74</v>
      </c>
      <c r="G29" t="s">
        <v>75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  <c r="V29">
        <v>75</v>
      </c>
      <c r="W29">
        <v>25</v>
      </c>
    </row>
    <row r="30" spans="1:23" x14ac:dyDescent="0.3">
      <c r="A30">
        <v>27</v>
      </c>
      <c r="B30">
        <v>1</v>
      </c>
      <c r="C30">
        <v>2</v>
      </c>
      <c r="D30">
        <v>6</v>
      </c>
      <c r="E30">
        <v>0</v>
      </c>
      <c r="F30" t="s">
        <v>76</v>
      </c>
      <c r="G30" t="s">
        <v>77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  <c r="V30">
        <v>60</v>
      </c>
      <c r="W30">
        <v>40</v>
      </c>
    </row>
    <row r="31" spans="1:23" x14ac:dyDescent="0.3">
      <c r="A31">
        <v>27</v>
      </c>
      <c r="B31">
        <v>3</v>
      </c>
      <c r="C31">
        <v>5</v>
      </c>
      <c r="D31">
        <v>19</v>
      </c>
      <c r="E31">
        <v>0</v>
      </c>
      <c r="F31" t="s">
        <v>78</v>
      </c>
      <c r="G31" t="s">
        <v>79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  <c r="V31">
        <v>75</v>
      </c>
      <c r="W31">
        <v>25</v>
      </c>
    </row>
    <row r="32" spans="1:23" x14ac:dyDescent="0.3">
      <c r="A32">
        <v>2</v>
      </c>
      <c r="B32">
        <v>1</v>
      </c>
      <c r="C32">
        <v>2</v>
      </c>
      <c r="D32">
        <v>11</v>
      </c>
      <c r="E32">
        <v>1</v>
      </c>
      <c r="F32" t="s">
        <v>80</v>
      </c>
      <c r="G32" t="s">
        <v>81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  <c r="V32">
        <v>87.5</v>
      </c>
      <c r="W32">
        <v>12.5</v>
      </c>
    </row>
    <row r="33" spans="1:23" x14ac:dyDescent="0.3">
      <c r="A33">
        <v>30</v>
      </c>
      <c r="B33">
        <v>1</v>
      </c>
      <c r="C33">
        <v>3</v>
      </c>
      <c r="D33">
        <v>9</v>
      </c>
      <c r="E33">
        <v>3</v>
      </c>
      <c r="F33" t="s">
        <v>82</v>
      </c>
      <c r="G33" t="s">
        <v>83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  <c r="V33">
        <v>78.947368421052602</v>
      </c>
      <c r="W33">
        <v>21.052631578947299</v>
      </c>
    </row>
    <row r="34" spans="1:23" x14ac:dyDescent="0.3">
      <c r="A34">
        <v>30</v>
      </c>
      <c r="B34">
        <v>3</v>
      </c>
      <c r="C34">
        <v>5</v>
      </c>
      <c r="D34">
        <v>13</v>
      </c>
      <c r="E34">
        <v>4</v>
      </c>
      <c r="F34" t="s">
        <v>84</v>
      </c>
      <c r="G34" t="s">
        <v>85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  <c r="V34">
        <v>76.785714285714207</v>
      </c>
      <c r="W34">
        <v>23.214285714285701</v>
      </c>
    </row>
    <row r="35" spans="1:23" x14ac:dyDescent="0.3">
      <c r="A35">
        <v>31</v>
      </c>
      <c r="B35">
        <v>1</v>
      </c>
      <c r="C35">
        <v>2</v>
      </c>
      <c r="D35">
        <v>11</v>
      </c>
      <c r="E35">
        <v>0</v>
      </c>
      <c r="F35" t="s">
        <v>86</v>
      </c>
      <c r="G35" t="s">
        <v>87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  <c r="V35">
        <v>92.307692307692307</v>
      </c>
      <c r="W35">
        <v>7.6923076923076898</v>
      </c>
    </row>
    <row r="36" spans="1:23" x14ac:dyDescent="0.3">
      <c r="A36">
        <v>31</v>
      </c>
      <c r="B36">
        <v>3</v>
      </c>
      <c r="C36">
        <v>2</v>
      </c>
      <c r="D36">
        <v>23</v>
      </c>
      <c r="E36">
        <v>0</v>
      </c>
      <c r="F36" t="s">
        <v>88</v>
      </c>
      <c r="G36" t="s">
        <v>89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  <c r="V36">
        <v>83.783783783783704</v>
      </c>
      <c r="W36">
        <v>16.2162162162162</v>
      </c>
    </row>
    <row r="37" spans="1:23" x14ac:dyDescent="0.3">
      <c r="A37">
        <v>32</v>
      </c>
      <c r="B37">
        <v>1</v>
      </c>
      <c r="C37">
        <v>2</v>
      </c>
      <c r="D37">
        <v>14</v>
      </c>
      <c r="E37">
        <v>2</v>
      </c>
      <c r="F37" t="s">
        <v>90</v>
      </c>
      <c r="G37" t="s">
        <v>91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  <c r="V37">
        <v>90.243902439024396</v>
      </c>
      <c r="W37">
        <v>9.7560975609756007</v>
      </c>
    </row>
    <row r="38" spans="1:23" x14ac:dyDescent="0.3">
      <c r="A38">
        <v>32</v>
      </c>
      <c r="B38">
        <v>3</v>
      </c>
      <c r="C38">
        <v>3</v>
      </c>
      <c r="D38">
        <v>5</v>
      </c>
      <c r="E38">
        <v>3</v>
      </c>
      <c r="F38" t="s">
        <v>92</v>
      </c>
      <c r="G38" t="s">
        <v>93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  <c r="V38">
        <v>90.476190476190396</v>
      </c>
      <c r="W38">
        <v>9.5238095238095095</v>
      </c>
    </row>
    <row r="39" spans="1:23" x14ac:dyDescent="0.3">
      <c r="A39">
        <v>33</v>
      </c>
      <c r="B39">
        <v>1</v>
      </c>
      <c r="C39">
        <v>1</v>
      </c>
      <c r="D39">
        <v>6</v>
      </c>
      <c r="E39">
        <v>0</v>
      </c>
      <c r="F39" t="s">
        <v>94</v>
      </c>
      <c r="G39" t="s">
        <v>95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  <c r="V39" t="s">
        <v>208</v>
      </c>
      <c r="W39" t="s">
        <v>208</v>
      </c>
    </row>
    <row r="40" spans="1:23" x14ac:dyDescent="0.3">
      <c r="A40">
        <v>34</v>
      </c>
      <c r="B40">
        <v>1</v>
      </c>
      <c r="C40">
        <v>3</v>
      </c>
      <c r="D40">
        <v>14</v>
      </c>
      <c r="E40">
        <v>0</v>
      </c>
      <c r="F40" t="s">
        <v>96</v>
      </c>
      <c r="G40" t="s">
        <v>97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  <c r="V40" t="s">
        <v>208</v>
      </c>
      <c r="W40" t="s">
        <v>208</v>
      </c>
    </row>
    <row r="41" spans="1:23" x14ac:dyDescent="0.3">
      <c r="A41">
        <v>35</v>
      </c>
      <c r="B41">
        <v>1</v>
      </c>
      <c r="C41">
        <v>4</v>
      </c>
      <c r="D41">
        <v>10</v>
      </c>
      <c r="E41">
        <v>0</v>
      </c>
      <c r="F41" t="s">
        <v>98</v>
      </c>
      <c r="G41" t="s">
        <v>99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  <c r="V41" t="s">
        <v>208</v>
      </c>
      <c r="W41" t="s">
        <v>208</v>
      </c>
    </row>
    <row r="42" spans="1:23" x14ac:dyDescent="0.3">
      <c r="A42">
        <v>35</v>
      </c>
      <c r="B42">
        <v>3</v>
      </c>
      <c r="C42">
        <v>6</v>
      </c>
      <c r="D42">
        <v>15</v>
      </c>
      <c r="E42">
        <v>0</v>
      </c>
      <c r="F42" t="s">
        <v>100</v>
      </c>
      <c r="G42" t="s">
        <v>101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  <c r="V42">
        <v>83.870967741935402</v>
      </c>
      <c r="W42">
        <v>16.129032258064498</v>
      </c>
    </row>
    <row r="43" spans="1:23" x14ac:dyDescent="0.3">
      <c r="A43">
        <v>37</v>
      </c>
      <c r="B43">
        <v>1</v>
      </c>
      <c r="C43">
        <v>6</v>
      </c>
      <c r="D43">
        <v>10</v>
      </c>
      <c r="E43">
        <v>1</v>
      </c>
      <c r="F43" t="s">
        <v>102</v>
      </c>
      <c r="G43" t="s">
        <v>103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  <c r="V43">
        <v>80.769230769230703</v>
      </c>
      <c r="W43">
        <v>19.230769230769202</v>
      </c>
    </row>
    <row r="44" spans="1:23" x14ac:dyDescent="0.3">
      <c r="A44">
        <v>37</v>
      </c>
      <c r="B44">
        <v>3</v>
      </c>
      <c r="C44">
        <v>5</v>
      </c>
      <c r="D44">
        <v>7</v>
      </c>
      <c r="E44">
        <v>1</v>
      </c>
      <c r="F44" t="s">
        <v>104</v>
      </c>
      <c r="G44" t="s">
        <v>105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  <c r="V44">
        <v>96.428571428571402</v>
      </c>
      <c r="W44">
        <v>3.5714285714285601</v>
      </c>
    </row>
    <row r="45" spans="1:23" x14ac:dyDescent="0.3">
      <c r="A45">
        <v>3</v>
      </c>
      <c r="B45">
        <v>1</v>
      </c>
      <c r="C45">
        <v>1</v>
      </c>
      <c r="D45">
        <v>1</v>
      </c>
      <c r="E45">
        <v>0</v>
      </c>
      <c r="F45" t="s">
        <v>106</v>
      </c>
      <c r="G45" t="s">
        <v>107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 t="s">
        <v>208</v>
      </c>
      <c r="W45" t="s">
        <v>208</v>
      </c>
    </row>
    <row r="46" spans="1:23" x14ac:dyDescent="0.3">
      <c r="A46">
        <v>3</v>
      </c>
      <c r="B46">
        <v>1</v>
      </c>
      <c r="C46">
        <v>1</v>
      </c>
      <c r="D46">
        <v>3</v>
      </c>
      <c r="E46">
        <v>0</v>
      </c>
      <c r="F46" t="s">
        <v>108</v>
      </c>
      <c r="G46" t="s">
        <v>109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  <c r="V46" t="s">
        <v>208</v>
      </c>
      <c r="W46" t="s">
        <v>208</v>
      </c>
    </row>
    <row r="47" spans="1:23" x14ac:dyDescent="0.3">
      <c r="A47">
        <v>41</v>
      </c>
      <c r="B47">
        <v>1</v>
      </c>
      <c r="C47">
        <v>4</v>
      </c>
      <c r="D47">
        <v>8</v>
      </c>
      <c r="E47">
        <v>1</v>
      </c>
      <c r="F47" t="s">
        <v>110</v>
      </c>
      <c r="G47" t="s">
        <v>111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  <c r="V47">
        <v>80.952380952380906</v>
      </c>
      <c r="W47">
        <v>19.047619047619001</v>
      </c>
    </row>
    <row r="48" spans="1:23" x14ac:dyDescent="0.3">
      <c r="A48">
        <v>42</v>
      </c>
      <c r="B48">
        <v>1</v>
      </c>
      <c r="C48">
        <v>3</v>
      </c>
      <c r="D48">
        <v>6</v>
      </c>
      <c r="E48">
        <v>0</v>
      </c>
      <c r="F48" t="s">
        <v>112</v>
      </c>
      <c r="G48" t="s">
        <v>113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  <c r="V48" t="s">
        <v>208</v>
      </c>
      <c r="W48" t="s">
        <v>208</v>
      </c>
    </row>
    <row r="49" spans="1:23" x14ac:dyDescent="0.3">
      <c r="A49">
        <v>43</v>
      </c>
      <c r="B49">
        <v>1</v>
      </c>
      <c r="C49">
        <v>1</v>
      </c>
      <c r="D49">
        <v>10</v>
      </c>
      <c r="E49">
        <v>0</v>
      </c>
      <c r="F49" t="s">
        <v>114</v>
      </c>
      <c r="G49" t="s">
        <v>115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  <c r="V49">
        <v>88.8888888888888</v>
      </c>
      <c r="W49">
        <v>11.1111111111111</v>
      </c>
    </row>
    <row r="50" spans="1:23" x14ac:dyDescent="0.3">
      <c r="A50">
        <v>43</v>
      </c>
      <c r="B50">
        <v>5</v>
      </c>
      <c r="C50">
        <v>3</v>
      </c>
      <c r="D50">
        <v>7</v>
      </c>
      <c r="E50">
        <v>1</v>
      </c>
      <c r="F50" t="s">
        <v>116</v>
      </c>
      <c r="G50" t="s">
        <v>117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  <c r="V50">
        <v>78.787878787878697</v>
      </c>
      <c r="W50">
        <v>21.2121212121212</v>
      </c>
    </row>
    <row r="51" spans="1:23" x14ac:dyDescent="0.3">
      <c r="A51">
        <v>44</v>
      </c>
      <c r="B51">
        <v>1</v>
      </c>
      <c r="C51">
        <v>2</v>
      </c>
      <c r="D51">
        <v>4</v>
      </c>
      <c r="E51">
        <v>0</v>
      </c>
      <c r="F51" t="s">
        <v>118</v>
      </c>
      <c r="G51" t="s">
        <v>119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  <c r="V51" t="s">
        <v>208</v>
      </c>
      <c r="W51" t="s">
        <v>208</v>
      </c>
    </row>
    <row r="52" spans="1:23" x14ac:dyDescent="0.3">
      <c r="A52">
        <v>45</v>
      </c>
      <c r="B52">
        <v>1</v>
      </c>
      <c r="C52">
        <v>2</v>
      </c>
      <c r="D52">
        <v>5</v>
      </c>
      <c r="E52">
        <v>1</v>
      </c>
      <c r="F52" t="s">
        <v>120</v>
      </c>
      <c r="G52" t="s">
        <v>121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  <c r="V52">
        <v>57.142857142857103</v>
      </c>
      <c r="W52">
        <v>42.857142857142797</v>
      </c>
    </row>
    <row r="53" spans="1:23" x14ac:dyDescent="0.3">
      <c r="A53">
        <v>45</v>
      </c>
      <c r="B53">
        <v>3</v>
      </c>
      <c r="C53">
        <v>3</v>
      </c>
      <c r="D53">
        <v>8</v>
      </c>
      <c r="E53">
        <v>3</v>
      </c>
      <c r="F53" t="s">
        <v>122</v>
      </c>
      <c r="G53" t="s">
        <v>123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  <c r="V53">
        <v>90</v>
      </c>
      <c r="W53">
        <v>10</v>
      </c>
    </row>
    <row r="54" spans="1:23" x14ac:dyDescent="0.3">
      <c r="A54">
        <v>46</v>
      </c>
      <c r="B54">
        <v>1</v>
      </c>
      <c r="C54">
        <v>3</v>
      </c>
      <c r="D54">
        <v>5</v>
      </c>
      <c r="E54">
        <v>0</v>
      </c>
      <c r="F54" t="s">
        <v>124</v>
      </c>
      <c r="G54" t="s">
        <v>125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  <c r="V54">
        <v>75</v>
      </c>
      <c r="W54">
        <v>25</v>
      </c>
    </row>
    <row r="55" spans="1:23" x14ac:dyDescent="0.3">
      <c r="A55">
        <v>47</v>
      </c>
      <c r="B55">
        <v>1</v>
      </c>
      <c r="C55">
        <v>1</v>
      </c>
      <c r="D55">
        <v>3</v>
      </c>
      <c r="E55">
        <v>0</v>
      </c>
      <c r="F55" t="s">
        <v>126</v>
      </c>
      <c r="G55" t="s">
        <v>127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  <c r="V55">
        <v>100</v>
      </c>
      <c r="W55">
        <v>0</v>
      </c>
    </row>
    <row r="56" spans="1:23" x14ac:dyDescent="0.3">
      <c r="A56">
        <v>47</v>
      </c>
      <c r="B56">
        <v>3</v>
      </c>
      <c r="C56">
        <v>3</v>
      </c>
      <c r="D56">
        <v>26</v>
      </c>
      <c r="E56">
        <v>1</v>
      </c>
      <c r="F56" t="s">
        <v>128</v>
      </c>
      <c r="G56" t="s">
        <v>129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  <c r="V56">
        <v>50</v>
      </c>
      <c r="W56">
        <v>50</v>
      </c>
    </row>
    <row r="57" spans="1:23" x14ac:dyDescent="0.3">
      <c r="A57">
        <v>48</v>
      </c>
      <c r="B57">
        <v>1</v>
      </c>
      <c r="C57">
        <v>6</v>
      </c>
      <c r="D57">
        <v>12</v>
      </c>
      <c r="E57">
        <v>1</v>
      </c>
      <c r="F57" t="s">
        <v>130</v>
      </c>
      <c r="G57" t="s">
        <v>131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  <c r="V57">
        <v>94.117647058823493</v>
      </c>
      <c r="W57">
        <v>5.8823529411764603</v>
      </c>
    </row>
    <row r="58" spans="1:23" x14ac:dyDescent="0.3">
      <c r="A58">
        <v>4</v>
      </c>
      <c r="B58">
        <v>3</v>
      </c>
      <c r="C58">
        <v>3</v>
      </c>
      <c r="D58">
        <v>15</v>
      </c>
      <c r="E58">
        <v>1</v>
      </c>
      <c r="F58" t="s">
        <v>132</v>
      </c>
      <c r="G58" t="s">
        <v>133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  <c r="V58">
        <v>83.6065573770491</v>
      </c>
      <c r="W58">
        <v>16.393442622950801</v>
      </c>
    </row>
    <row r="59" spans="1:23" x14ac:dyDescent="0.3">
      <c r="A59">
        <v>50</v>
      </c>
      <c r="B59">
        <v>1</v>
      </c>
      <c r="C59">
        <v>4</v>
      </c>
      <c r="D59">
        <v>12</v>
      </c>
      <c r="E59">
        <v>1</v>
      </c>
      <c r="F59" t="s">
        <v>134</v>
      </c>
      <c r="G59" t="s">
        <v>135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  <c r="V59">
        <v>57.142857142857103</v>
      </c>
      <c r="W59">
        <v>42.857142857142797</v>
      </c>
    </row>
    <row r="60" spans="1:23" x14ac:dyDescent="0.3">
      <c r="A60">
        <v>51</v>
      </c>
      <c r="B60">
        <v>1</v>
      </c>
      <c r="C60">
        <v>3</v>
      </c>
      <c r="D60">
        <v>5</v>
      </c>
      <c r="E60">
        <v>4</v>
      </c>
      <c r="F60" t="s">
        <v>136</v>
      </c>
      <c r="G60" t="s">
        <v>137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  <c r="V60">
        <v>91.6666666666666</v>
      </c>
      <c r="W60">
        <v>8.3333333333333197</v>
      </c>
    </row>
    <row r="61" spans="1:23" x14ac:dyDescent="0.3">
      <c r="A61">
        <v>51</v>
      </c>
      <c r="B61">
        <v>3</v>
      </c>
      <c r="C61">
        <v>3</v>
      </c>
      <c r="D61">
        <v>6</v>
      </c>
      <c r="E61">
        <v>3</v>
      </c>
      <c r="F61" t="s">
        <v>138</v>
      </c>
      <c r="G61" t="s">
        <v>139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  <c r="V61">
        <v>90.625</v>
      </c>
      <c r="W61">
        <v>9.375</v>
      </c>
    </row>
    <row r="62" spans="1:23" x14ac:dyDescent="0.3">
      <c r="A62">
        <v>52</v>
      </c>
      <c r="B62">
        <v>1</v>
      </c>
      <c r="C62">
        <v>1</v>
      </c>
      <c r="D62">
        <v>10</v>
      </c>
      <c r="E62">
        <v>0</v>
      </c>
      <c r="F62" t="s">
        <v>140</v>
      </c>
      <c r="G62" t="s">
        <v>141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  <c r="V62">
        <v>86.6666666666666</v>
      </c>
      <c r="W62">
        <v>13.3333333333333</v>
      </c>
    </row>
    <row r="63" spans="1:23" x14ac:dyDescent="0.3">
      <c r="A63">
        <v>53</v>
      </c>
      <c r="B63">
        <v>3</v>
      </c>
      <c r="C63">
        <v>3</v>
      </c>
      <c r="D63">
        <v>8</v>
      </c>
      <c r="E63">
        <v>3</v>
      </c>
      <c r="F63" t="s">
        <v>142</v>
      </c>
      <c r="G63" t="s">
        <v>143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  <c r="V63">
        <v>89.285714285714207</v>
      </c>
      <c r="W63">
        <v>10.714285714285699</v>
      </c>
    </row>
    <row r="64" spans="1:23" x14ac:dyDescent="0.3">
      <c r="A64">
        <v>5</v>
      </c>
      <c r="B64">
        <v>1</v>
      </c>
      <c r="C64">
        <v>2</v>
      </c>
      <c r="D64">
        <v>7</v>
      </c>
      <c r="E64">
        <v>0</v>
      </c>
      <c r="F64" t="s">
        <v>144</v>
      </c>
      <c r="G64" t="s">
        <v>145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  <c r="V64">
        <v>56.25</v>
      </c>
      <c r="W64">
        <v>43.75</v>
      </c>
    </row>
    <row r="65" spans="1:23" x14ac:dyDescent="0.3">
      <c r="A65">
        <v>65</v>
      </c>
      <c r="B65">
        <v>1</v>
      </c>
      <c r="C65">
        <v>1</v>
      </c>
      <c r="D65">
        <v>1</v>
      </c>
      <c r="E65">
        <v>1</v>
      </c>
      <c r="F65" t="s">
        <v>146</v>
      </c>
      <c r="G65" t="s">
        <v>147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  <c r="V65">
        <v>100</v>
      </c>
      <c r="W65">
        <v>0</v>
      </c>
    </row>
    <row r="66" spans="1:23" x14ac:dyDescent="0.3">
      <c r="A66">
        <v>6</v>
      </c>
      <c r="B66">
        <v>1</v>
      </c>
      <c r="C66">
        <v>1</v>
      </c>
      <c r="D66">
        <v>11</v>
      </c>
      <c r="E66">
        <v>0</v>
      </c>
      <c r="F66" t="s">
        <v>148</v>
      </c>
      <c r="G66" t="s">
        <v>149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  <c r="V66">
        <v>75</v>
      </c>
      <c r="W66">
        <v>25</v>
      </c>
    </row>
    <row r="67" spans="1:23" x14ac:dyDescent="0.3">
      <c r="A67">
        <v>6</v>
      </c>
      <c r="B67">
        <v>2</v>
      </c>
      <c r="C67">
        <v>2</v>
      </c>
      <c r="D67">
        <v>4</v>
      </c>
      <c r="E67">
        <v>2</v>
      </c>
      <c r="F67" t="s">
        <v>150</v>
      </c>
      <c r="G67" t="s">
        <v>151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  <c r="V67">
        <v>92.307692307692307</v>
      </c>
      <c r="W67">
        <v>7.6923076923076898</v>
      </c>
    </row>
    <row r="68" spans="1:23" x14ac:dyDescent="0.3">
      <c r="A68">
        <v>6</v>
      </c>
      <c r="B68">
        <v>3</v>
      </c>
      <c r="C68">
        <v>5</v>
      </c>
      <c r="D68">
        <v>9</v>
      </c>
      <c r="E68">
        <v>3</v>
      </c>
      <c r="F68" t="s">
        <v>152</v>
      </c>
      <c r="G68" t="s">
        <v>153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  <c r="V68">
        <v>96.296296296296205</v>
      </c>
      <c r="W68">
        <v>3.7037037037037002</v>
      </c>
    </row>
    <row r="69" spans="1:23" x14ac:dyDescent="0.3">
      <c r="A69">
        <v>7</v>
      </c>
      <c r="B69">
        <v>1</v>
      </c>
      <c r="C69">
        <v>4</v>
      </c>
      <c r="D69">
        <v>7</v>
      </c>
      <c r="E69">
        <v>0</v>
      </c>
      <c r="F69" t="s">
        <v>154</v>
      </c>
      <c r="G69" t="s">
        <v>155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  <c r="V69">
        <v>66.6666666666666</v>
      </c>
      <c r="W69">
        <v>33.3333333333333</v>
      </c>
    </row>
    <row r="70" spans="1:23" x14ac:dyDescent="0.3">
      <c r="A70">
        <v>7</v>
      </c>
      <c r="B70">
        <v>2</v>
      </c>
      <c r="C70">
        <v>1</v>
      </c>
      <c r="D70">
        <v>1</v>
      </c>
      <c r="E70">
        <v>0</v>
      </c>
      <c r="F70" t="s">
        <v>156</v>
      </c>
      <c r="G70" t="s">
        <v>157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208</v>
      </c>
      <c r="W70" t="s">
        <v>208</v>
      </c>
    </row>
    <row r="71" spans="1:23" x14ac:dyDescent="0.3">
      <c r="A71">
        <v>7</v>
      </c>
      <c r="B71">
        <v>3</v>
      </c>
      <c r="C71">
        <v>3</v>
      </c>
      <c r="D71">
        <v>9</v>
      </c>
      <c r="E71">
        <v>0</v>
      </c>
      <c r="F71" t="s">
        <v>158</v>
      </c>
      <c r="G71" t="s">
        <v>159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  <c r="V71">
        <v>75.862068965517196</v>
      </c>
      <c r="W71">
        <v>24.137931034482701</v>
      </c>
    </row>
    <row r="72" spans="1:23" x14ac:dyDescent="0.3">
      <c r="A72">
        <v>8</v>
      </c>
      <c r="B72">
        <v>1</v>
      </c>
      <c r="C72">
        <v>2</v>
      </c>
      <c r="D72">
        <v>5</v>
      </c>
      <c r="E72">
        <v>0</v>
      </c>
      <c r="F72" t="s">
        <v>160</v>
      </c>
      <c r="G72" t="s">
        <v>161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  <c r="V72" t="s">
        <v>208</v>
      </c>
      <c r="W72" t="s">
        <v>208</v>
      </c>
    </row>
    <row r="73" spans="1:23" x14ac:dyDescent="0.3">
      <c r="A73">
        <v>8</v>
      </c>
      <c r="B73">
        <v>2</v>
      </c>
      <c r="C73">
        <v>1</v>
      </c>
      <c r="D73">
        <v>8</v>
      </c>
      <c r="E73">
        <v>0</v>
      </c>
      <c r="F73" t="s">
        <v>162</v>
      </c>
      <c r="G73" t="s">
        <v>163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  <c r="V73">
        <v>71.428571428571402</v>
      </c>
      <c r="W73">
        <v>28.571428571428498</v>
      </c>
    </row>
    <row r="74" spans="1:23" x14ac:dyDescent="0.3">
      <c r="A74">
        <v>8</v>
      </c>
      <c r="B74">
        <v>3</v>
      </c>
      <c r="C74">
        <v>1</v>
      </c>
      <c r="D74">
        <v>13</v>
      </c>
      <c r="E74">
        <v>0</v>
      </c>
      <c r="F74" t="s">
        <v>164</v>
      </c>
      <c r="G74" t="s">
        <v>165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  <c r="V74">
        <v>76</v>
      </c>
      <c r="W74">
        <v>24</v>
      </c>
    </row>
    <row r="75" spans="1:23" x14ac:dyDescent="0.3">
      <c r="A75">
        <v>9</v>
      </c>
      <c r="B75">
        <v>1</v>
      </c>
      <c r="C75">
        <v>3</v>
      </c>
      <c r="D75">
        <v>13</v>
      </c>
      <c r="E75">
        <v>4</v>
      </c>
      <c r="F75" t="s">
        <v>166</v>
      </c>
      <c r="G75" t="s">
        <v>167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  <c r="V75">
        <v>91.304347826086897</v>
      </c>
      <c r="W75">
        <v>8.6956521739130395</v>
      </c>
    </row>
    <row r="76" spans="1:23" x14ac:dyDescent="0.3">
      <c r="A76">
        <v>9</v>
      </c>
      <c r="B76">
        <v>3</v>
      </c>
      <c r="C76">
        <v>3</v>
      </c>
      <c r="D76">
        <v>10</v>
      </c>
      <c r="E76">
        <v>3</v>
      </c>
      <c r="F76" t="s">
        <v>168</v>
      </c>
      <c r="G76" t="s">
        <v>169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  <c r="V76">
        <v>77.142857142857096</v>
      </c>
      <c r="W76">
        <v>22.857142857142801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84CE-9629-4DFF-819E-3ECA9135BC5B}">
  <dimension ref="A1:AB14"/>
  <sheetViews>
    <sheetView workbookViewId="0">
      <selection activeCell="B4" sqref="B4"/>
    </sheetView>
  </sheetViews>
  <sheetFormatPr baseColWidth="10" defaultRowHeight="14.4" x14ac:dyDescent="0.3"/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3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3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AVERAGEIF(data[Sesion],A2,data[Tiempo duracion])</f>
        <v>1391.2371627906978</v>
      </c>
      <c r="D7" cm="1">
        <f t="array" ref="D7">_xlfn.STDEV.P(IF(data[Sesion]=A2,data[Tiempo duracion]))</f>
        <v>752.30981030420571</v>
      </c>
      <c r="E7">
        <f>AVERAGEIF(data[Sesion],A2,data[Num niveles])</f>
        <v>2.5116279069767442</v>
      </c>
      <c r="F7" cm="1">
        <f t="array" ref="F7">_xlfn.STDEV.P(IF(data[Sesion]=A2,data[Num niveles]))</f>
        <v>1.2270610193742251</v>
      </c>
      <c r="G7">
        <f>AVERAGEIF(data[Sesion],A2,data[Num intentos])</f>
        <v>7.9767441860465116</v>
      </c>
      <c r="H7" cm="1">
        <f t="array" ref="H7">_xlfn.STDEV.P(IF(data[Sesion]=A2,data[Num intentos]))</f>
        <v>3.2456652458390702</v>
      </c>
      <c r="I7">
        <f>AVERAGEIF(data[Sesion],A2,data[Completados])</f>
        <v>0.81395348837209303</v>
      </c>
      <c r="J7" cm="1">
        <f t="array" ref="J7">_xlfn.STDEV.P(IF(data[Sesion]=A2,data[Completados]))</f>
        <v>1.2985826612384852</v>
      </c>
      <c r="K7">
        <f>AVERAGEIF(data[Sesion],A2,data[% Aciertos])</f>
        <v>81.500533061927996</v>
      </c>
      <c r="L7" cm="1">
        <f t="array" ref="L7">_xlfn.STDEV.P(IF(data[Sesion]=A2,data[% Aciertos]))</f>
        <v>13.661094774056064</v>
      </c>
      <c r="M7">
        <f>AVERAGEIF(data[Sesion],A2,data[% Mal])</f>
        <v>18.499466938071933</v>
      </c>
      <c r="N7" cm="1">
        <f t="array" ref="N7">_xlfn.STDEV.P(IF(data[Sesion]=A2,data[% Mal]))</f>
        <v>13.661094774056048</v>
      </c>
    </row>
    <row r="8" spans="1:28" x14ac:dyDescent="0.3">
      <c r="C8">
        <f>AVERAGEIF(data[Sesion],A3,data[Tiempo duracion])</f>
        <v>548.99350000000004</v>
      </c>
      <c r="D8" cm="1">
        <f t="array" ref="D8">_xlfn.STDEV.P(IF(data[Sesion]=A3,data[Tiempo duracion]))</f>
        <v>399.60607282578923</v>
      </c>
      <c r="E8">
        <f>AVERAGEIF(data[Sesion],A3,data[Num niveles])</f>
        <v>1.25</v>
      </c>
      <c r="F8" cm="1">
        <f t="array" ref="F8">_xlfn.STDEV.P(IF(data[Sesion]=A3,data[Num niveles]))</f>
        <v>0.4330127018922193</v>
      </c>
      <c r="G8">
        <f>AVERAGEIF(data[Sesion],A3,data[Num intentos])</f>
        <v>3.5</v>
      </c>
      <c r="H8" cm="1">
        <f t="array" ref="H8">_xlfn.STDEV.P(IF(data[Sesion]=A3,data[Num intentos]))</f>
        <v>2.8722813232690143</v>
      </c>
      <c r="I8">
        <f>AVERAGEIF(data[Sesion],A3,data[Completados])</f>
        <v>0.5</v>
      </c>
      <c r="J8" cm="1">
        <f t="array" ref="J8">_xlfn.STDEV.P(IF(data[Sesion]=A3,data[Completados]))</f>
        <v>0.8660254037844386</v>
      </c>
      <c r="K8">
        <f>AVERAGEIF(data[Sesion],A3,data[% Aciertos])</f>
        <v>81.868131868131854</v>
      </c>
      <c r="L8" cm="1">
        <f t="array" ref="L8">_xlfn.STDEV.P(IF(data[Sesion]=A3,data[% Aciertos]))</f>
        <v>10.439560439560449</v>
      </c>
      <c r="M8">
        <f>AVERAGEIF(data[Sesion],A3,data[% Mal])</f>
        <v>18.131868131868096</v>
      </c>
      <c r="N8" cm="1">
        <f t="array" ref="N8">_xlfn.STDEV.P(IF(data[Sesion]=A3,data[% Mal]))</f>
        <v>10.439560439560402</v>
      </c>
    </row>
    <row r="9" spans="1:28" x14ac:dyDescent="0.3">
      <c r="C9">
        <f>AVERAGEIF(data[Sesion],A4,data[Tiempo duracion])</f>
        <v>2271.3278518518518</v>
      </c>
      <c r="D9" cm="1">
        <f t="array" ref="D9">_xlfn.STDEV.P(IF(data[Sesion]=A4,data[Tiempo duracion]))</f>
        <v>881.82186350690699</v>
      </c>
      <c r="E9">
        <f>AVERAGEIF(data[Sesion],A4,data[Num niveles])</f>
        <v>3.5555555555555554</v>
      </c>
      <c r="F9" cm="1">
        <f t="array" ref="F9">_xlfn.STDEV.P(IF(data[Sesion]=A4,data[Num niveles]))</f>
        <v>1.1653431646335017</v>
      </c>
      <c r="G9">
        <f>AVERAGEIF(data[Sesion],A4,data[Num intentos])</f>
        <v>11.481481481481481</v>
      </c>
      <c r="H9" cm="1">
        <f t="array" ref="H9">_xlfn.STDEV.P(IF(data[Sesion]=A4,data[Num intentos]))</f>
        <v>5.3704980827726274</v>
      </c>
      <c r="I9">
        <f>AVERAGEIF(data[Sesion],A4,data[Completados])</f>
        <v>1.7037037037037037</v>
      </c>
      <c r="J9" cm="1">
        <f t="array" ref="J9">_xlfn.STDEV.P(IF(data[Sesion]=A4,data[Completados]))</f>
        <v>1.4609691054308163</v>
      </c>
      <c r="K9">
        <f>AVERAGEIF(data[Sesion],A4,data[% Aciertos])</f>
        <v>84.678266813816748</v>
      </c>
      <c r="L9" cm="1">
        <f t="array" ref="L9">_xlfn.STDEV.P(IF(data[Sesion]=A4,data[% Aciertos]))</f>
        <v>9.7359064227108103</v>
      </c>
      <c r="M9">
        <f>AVERAGEIF(data[Sesion],A4,data[% Mal])</f>
        <v>15.321733186183183</v>
      </c>
      <c r="N9" cm="1">
        <f t="array" ref="N9">_xlfn.STDEV.P(IF(data[Sesion]=A4,data[%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SUMIF(data[Sesion],A2,data[Num intentos])</f>
        <v>343</v>
      </c>
      <c r="I12">
        <f>SUMIF(data[Sesion],A2,data[Completados])</f>
        <v>35</v>
      </c>
      <c r="J12">
        <f>100*I12/H12</f>
        <v>10.204081632653061</v>
      </c>
      <c r="K12">
        <f>H12-I12</f>
        <v>308</v>
      </c>
      <c r="L12">
        <f>100*K12/H12</f>
        <v>89.795918367346943</v>
      </c>
    </row>
    <row r="13" spans="1:28" x14ac:dyDescent="0.3">
      <c r="H13">
        <f>SUMIF(data[Sesion],A3,data[Num intentos])</f>
        <v>14</v>
      </c>
      <c r="I13">
        <f>SUMIF(data[Sesion],A3,data[Completados])</f>
        <v>2</v>
      </c>
      <c r="J13">
        <f t="shared" ref="J13:J14" si="0">100*I13/H13</f>
        <v>14.285714285714286</v>
      </c>
      <c r="K13">
        <f t="shared" ref="K13:K14" si="1">H13-I13</f>
        <v>12</v>
      </c>
      <c r="L13">
        <f t="shared" ref="L13:L14" si="2">100*K13/H13</f>
        <v>85.714285714285708</v>
      </c>
    </row>
    <row r="14" spans="1:28" x14ac:dyDescent="0.3">
      <c r="H14">
        <f>SUMIF(data[Sesion],A4,data[Num intentos])</f>
        <v>310</v>
      </c>
      <c r="I14">
        <f>SUMIF(data[Sesion],A4,data[Completados])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14"/>
  <sheetViews>
    <sheetView tabSelected="1" workbookViewId="0">
      <selection activeCell="I19" sqref="I19"/>
    </sheetView>
  </sheetViews>
  <sheetFormatPr baseColWidth="10" defaultRowHeight="14.4" x14ac:dyDescent="0.3"/>
  <cols>
    <col min="3" max="3" width="11.88671875" bestFit="1" customWidth="1"/>
    <col min="9" max="9" width="11.6640625" customWidth="1"/>
  </cols>
  <sheetData>
    <row r="1" spans="1:28" x14ac:dyDescent="0.3">
      <c r="A1" t="s">
        <v>1</v>
      </c>
      <c r="B1" t="s">
        <v>170</v>
      </c>
      <c r="C1" t="s">
        <v>173</v>
      </c>
      <c r="D1" t="s">
        <v>174</v>
      </c>
      <c r="E1" t="s">
        <v>175</v>
      </c>
      <c r="F1" t="s">
        <v>176</v>
      </c>
      <c r="G1" t="s">
        <v>171</v>
      </c>
      <c r="H1" t="s">
        <v>172</v>
      </c>
      <c r="I1" t="s">
        <v>177</v>
      </c>
      <c r="J1" t="s">
        <v>178</v>
      </c>
      <c r="K1" t="s">
        <v>179</v>
      </c>
      <c r="L1" t="s">
        <v>180</v>
      </c>
      <c r="M1" t="s">
        <v>181</v>
      </c>
      <c r="N1" t="s">
        <v>182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  <c r="T1" t="s">
        <v>188</v>
      </c>
      <c r="U1" t="s">
        <v>189</v>
      </c>
      <c r="V1" t="s">
        <v>190</v>
      </c>
      <c r="W1" t="s">
        <v>191</v>
      </c>
      <c r="X1" t="s">
        <v>192</v>
      </c>
      <c r="Y1" t="s">
        <v>193</v>
      </c>
      <c r="Z1" t="s">
        <v>194</v>
      </c>
      <c r="AA1" t="s">
        <v>195</v>
      </c>
      <c r="AB1" t="s">
        <v>196</v>
      </c>
    </row>
    <row r="2" spans="1:28" x14ac:dyDescent="0.3">
      <c r="A2">
        <v>1</v>
      </c>
      <c r="B2">
        <f>COUNTIFS(data[Sesion],A2,data[Pasos planificados],"&gt;0")</f>
        <v>34</v>
      </c>
      <c r="C2">
        <f>AVERAGEIFS(data[Pasos planificados],data[Sesion],A2,data[Pasos planificados],"&gt;0")</f>
        <v>17.882352941176471</v>
      </c>
      <c r="D2" cm="1">
        <f t="array" ref="D2">_xlfn.STDEV.P(IF((data[Sesion]=A2)*(data[Pasos planificados]&lt;&gt;0),data[Pasos planificados]))</f>
        <v>11.395986666836999</v>
      </c>
      <c r="E2">
        <f>AVERAGEIFS(data[Pasos ejecutados],data[Sesion],A2,data[Pasos planificados],"&gt;0")</f>
        <v>14.735294117647058</v>
      </c>
      <c r="F2" cm="1">
        <f t="array" ref="F2">_xlfn.STDEV.P(IF((data[Sesion]=A2)*(data[Pasos planificados]&lt;&gt;0),data[Pasos ejecutados]))</f>
        <v>9.7958839601413015</v>
      </c>
      <c r="G2">
        <f>AVERAGEIFS(data[Errores ejecucion],data[Sesion],A2,data[Pasos planificados],"&gt;0")</f>
        <v>3.1470588235294117</v>
      </c>
      <c r="H2" cm="1">
        <f t="array" ref="H2">_xlfn.STDEV.P(IF((data[Sesion]=A2)*(data[Pasos planificados]&lt;&gt;0),data[Errores ejecucion]))</f>
        <v>2.9318971266478084</v>
      </c>
      <c r="I2">
        <f>AVERAGEIFS(data[Num dormir planificado],data[Sesion],A2,data[Pasos planificados],"&gt;0")</f>
        <v>8.5</v>
      </c>
      <c r="J2" cm="1">
        <f t="array" ref="J2">_xlfn.STDEV.P(IF((data[Sesion]=A2)*(data[Pasos planificados]&lt;&gt;0),data[Num dormir planificado]))</f>
        <v>5.1004613401488443</v>
      </c>
      <c r="K2">
        <f>AVERAGEIFS(data[Correctos dormir],data[Sesion],A2,data[Pasos planificados],"&gt;0")</f>
        <v>8.1470588235294112</v>
      </c>
      <c r="L2" cm="1">
        <f t="array" ref="L2">_xlfn.STDEV.P(IF((data[Sesion]=A2)*(data[Pasos planificados]&lt;&gt;0),data[Correctos dormir]))</f>
        <v>5.0125275586226516</v>
      </c>
      <c r="M2">
        <f>AVERAGEIFS(data[Errores dormir],data[Sesion],A2,data[Pasos planificados],"&gt;0")</f>
        <v>0.35294117647058826</v>
      </c>
      <c r="N2" cm="1">
        <f t="array" ref="N2">_xlfn.STDEV.P(IF((data[Sesion]=A2)*(data[Pasos planificados]&lt;&gt;0),data[Errores dormir]))</f>
        <v>0.58823529411764708</v>
      </c>
      <c r="O2">
        <f>AVERAGEIFS(data[Num ubicacion planificado],data[Sesion],A2,data[Pasos planificados],"&gt;0")</f>
        <v>9.382352941176471</v>
      </c>
      <c r="P2" cm="1">
        <f t="array" ref="P2">_xlfn.STDEV.P(IF((data[Sesion]=A2)*(data[Pasos planificados]&lt;&gt;0),data[Num ubicacion planificado]))</f>
        <v>7.1907403933700937</v>
      </c>
      <c r="Q2">
        <f>AVERAGEIFS(data[Correctos ubicacion],data[Sesion],A2,data[Pasos planificados],"&gt;0")</f>
        <v>6.5882352941176467</v>
      </c>
      <c r="R2" cm="1">
        <f t="array" ref="R2">_xlfn.STDEV.P(IF((data[Sesion]=A2)*(data[Pasos planificados]&lt;&gt;0),data[Correctos ubicacion]))</f>
        <v>5.5153136919949768</v>
      </c>
      <c r="S2">
        <f>AVERAGEIFS(data[Errores ubicacion],data[Sesion],A2,data[Pasos planificados],"&gt;0")</f>
        <v>2.7941176470588234</v>
      </c>
      <c r="T2" cm="1">
        <f t="array" ref="T2">_xlfn.STDEV.P(IF((data[Sesion]=A2)*(data[Pasos planificados]&lt;&gt;0),data[Errores ubicacion]))</f>
        <v>2.8674585156720829</v>
      </c>
      <c r="U2">
        <f>AVERAGEIFS(data[Paradas posibles],data[Sesion],A2,data[Pasos planificados],"&gt;0")</f>
        <v>18.911764705882351</v>
      </c>
      <c r="V2" cm="1">
        <f t="array" ref="V2">_xlfn.STDEV.P(IF((data[Sesion]=A2)*(data[Pasos planificados]&lt;&gt;0),data[Paradas posibles]))</f>
        <v>7.8903054703366786</v>
      </c>
      <c r="W2">
        <f>AVERAGEIFS(data[Paradas realizadas],data[Sesion],A2,data[Pasos planificados],"&gt;0")</f>
        <v>13.205882352941176</v>
      </c>
      <c r="X2" cm="1">
        <f t="array" ref="X2">_xlfn.STDEV.P(IF((data[Sesion]=A2)*(data[Pasos planificados]&lt;&gt;0),data[Paradas realizadas]))</f>
        <v>6.6499863412717133</v>
      </c>
      <c r="Y2">
        <f>AVERAGEIFS(data[Errores parada por tiempo excedido],data[Sesion],A2,data[Pasos planificados],"&gt;0")</f>
        <v>0.76470588235294112</v>
      </c>
      <c r="Z2" cm="1">
        <f t="array" ref="Z2">_xlfn.STDEV.P(IF((data[Sesion]=A2)*(data[Pasos planificados]&lt;&gt;0),data[Errores parada por tiempo excedido]))</f>
        <v>1.0588235294117647</v>
      </c>
      <c r="AA2">
        <f>AVERAGEIFS(data[Num errores por tiempo excedido],data[Sesion],A2,data[Pasos planificados],"&gt;0")</f>
        <v>0.91176470588235292</v>
      </c>
      <c r="AB2" cm="1">
        <f t="array" ref="AB2">_xlfn.STDEV.P(IF((data[Sesion]=A2)*(data[Pasos planificados]&lt;&gt;0),data[Num errores por tiempo excedido]))</f>
        <v>1.268803212360176</v>
      </c>
    </row>
    <row r="3" spans="1:28" x14ac:dyDescent="0.3">
      <c r="A3">
        <v>2</v>
      </c>
      <c r="B3">
        <f>COUNTIFS(data[Sesion],A3,data[Pasos planificados],"&gt;0")</f>
        <v>2</v>
      </c>
      <c r="C3">
        <f>AVERAGEIFS(data[Pasos planificados],data[Sesion],A3,data[Pasos planificados],"&gt;0")</f>
        <v>10</v>
      </c>
      <c r="D3" cm="1">
        <f t="array" ref="D3">_xlfn.STDEV.P(IF((data[Sesion]=A3)*(data[Pasos planificados]&lt;&gt;0),data[Pasos planificados]))</f>
        <v>3</v>
      </c>
      <c r="E3">
        <f>AVERAGEIFS(data[Pasos ejecutados],data[Sesion],A3,data[Pasos planificados],"&gt;0")</f>
        <v>8.5</v>
      </c>
      <c r="F3" cm="1">
        <f t="array" ref="F3">_xlfn.STDEV.P(IF((data[Sesion]=A3)*(data[Pasos planificados]&lt;&gt;0),data[Pasos ejecutados]))</f>
        <v>3.5</v>
      </c>
      <c r="G3">
        <f>AVERAGEIFS(data[Errores ejecucion],data[Sesion],A3,data[Pasos planificados],"&gt;0")</f>
        <v>1.5</v>
      </c>
      <c r="H3" cm="1">
        <f t="array" ref="H3">_xlfn.STDEV.P(IF((data[Sesion]=A3)*(data[Pasos planificados]&lt;&gt;0),data[Errores ejecucion]))</f>
        <v>0.5</v>
      </c>
      <c r="I3">
        <f>AVERAGEIFS(data[Num dormir planificado],data[Sesion],A3,data[Pasos planificados],"&gt;0")</f>
        <v>6.5</v>
      </c>
      <c r="J3" cm="1">
        <f t="array" ref="J3">_xlfn.STDEV.P(IF((data[Sesion]=A3)*(data[Pasos planificados]&lt;&gt;0),data[Num dormir planificado]))</f>
        <v>1.5</v>
      </c>
      <c r="K3">
        <f>AVERAGEIFS(data[Correctos dormir],data[Sesion],A3,data[Pasos planificados],"&gt;0")</f>
        <v>6</v>
      </c>
      <c r="L3" cm="1">
        <f t="array" ref="L3">_xlfn.STDEV.P(IF((data[Sesion]=A3)*(data[Pasos planificados]&lt;&gt;0),data[Correctos dormir]))</f>
        <v>2</v>
      </c>
      <c r="M3">
        <f>AVERAGEIFS(data[Errores dormir],data[Sesion],A3,data[Pasos planificados],"&gt;0")</f>
        <v>0.5</v>
      </c>
      <c r="N3" cm="1">
        <f t="array" ref="N3">_xlfn.STDEV.P(IF((data[Sesion]=A3)*(data[Pasos planificados]&lt;&gt;0),data[Errores dormir]))</f>
        <v>0.5</v>
      </c>
      <c r="O3">
        <f>AVERAGEIFS(data[Num ubicacion planificado],data[Sesion],A3,data[Pasos planificados],"&gt;0")</f>
        <v>3.5</v>
      </c>
      <c r="P3" cm="1">
        <f t="array" ref="P3">_xlfn.STDEV.P(IF((data[Sesion]=A3)*(data[Pasos planificados]&lt;&gt;0),data[Num ubicacion planificado]))</f>
        <v>1.5</v>
      </c>
      <c r="Q3">
        <f>AVERAGEIFS(data[Correctos ubicacion],data[Sesion],A3,data[Pasos planificados],"&gt;0")</f>
        <v>2.5</v>
      </c>
      <c r="R3" cm="1">
        <f t="array" ref="R3">_xlfn.STDEV.P(IF((data[Sesion]=A3)*(data[Pasos planificados]&lt;&gt;0),data[Correctos ubicacion]))</f>
        <v>1.5</v>
      </c>
      <c r="S3">
        <f>AVERAGEIFS(data[Errores ubicacion],data[Sesion],A3,data[Pasos planificados],"&gt;0")</f>
        <v>1</v>
      </c>
      <c r="T3" cm="1">
        <f t="array" ref="T3">_xlfn.STDEV.P(IF((data[Sesion]=A3)*(data[Pasos planificados]&lt;&gt;0),data[Errores ubicacion]))</f>
        <v>0</v>
      </c>
      <c r="U3">
        <f>AVERAGEIFS(data[Paradas posibles],data[Sesion],A3,data[Pasos planificados],"&gt;0")</f>
        <v>12</v>
      </c>
      <c r="V3" cm="1">
        <f t="array" ref="V3">_xlfn.STDEV.P(IF((data[Sesion]=A3)*(data[Pasos planificados]&lt;&gt;0),data[Paradas posibles]))</f>
        <v>0</v>
      </c>
      <c r="W3">
        <f>AVERAGEIFS(data[Paradas realizadas],data[Sesion],A3,data[Pasos planificados],"&gt;0")</f>
        <v>8</v>
      </c>
      <c r="X3" cm="1">
        <f t="array" ref="X3">_xlfn.STDEV.P(IF((data[Sesion]=A3)*(data[Pasos planificados]&lt;&gt;0),data[Paradas realizadas]))</f>
        <v>1</v>
      </c>
      <c r="Y3">
        <f>AVERAGEIFS(data[Errores parada por tiempo excedido],data[Sesion],A3,data[Pasos planificados],"&gt;0")</f>
        <v>0.5</v>
      </c>
      <c r="Z3" cm="1">
        <f t="array" ref="Z3">_xlfn.STDEV.P(IF((data[Sesion]=A3)*(data[Pasos planificados]&lt;&gt;0),data[Errores parada por tiempo excedido]))</f>
        <v>0.5</v>
      </c>
      <c r="AA3">
        <f>AVERAGEIFS(data[Num errores por tiempo excedido],data[Sesion],A3,data[Pasos planificados],"&gt;0")</f>
        <v>0.5</v>
      </c>
      <c r="AB3" cm="1">
        <f t="array" ref="AB3">_xlfn.STDEV.P(IF((data[Sesion]=A3)*(data[Pasos planificados]&lt;&gt;0),data[Num errores por tiempo excedido]))</f>
        <v>0.5</v>
      </c>
    </row>
    <row r="4" spans="1:28" x14ac:dyDescent="0.3">
      <c r="A4">
        <v>3</v>
      </c>
      <c r="B4">
        <f>COUNTIFS(data[Sesion],A4,data[Pasos planificados],"&gt;0")</f>
        <v>27</v>
      </c>
      <c r="C4">
        <f>AVERAGEIFS(data[Pasos planificados],data[Sesion],A4,data[Pasos planificados],"&gt;0")</f>
        <v>31.777777777777779</v>
      </c>
      <c r="D4" cm="1">
        <f t="array" ref="D4">_xlfn.STDEV.P(IF((data[Sesion]=A4)*(data[Pasos planificados]&lt;&gt;0),data[Pasos planificados]))</f>
        <v>11.901862080685287</v>
      </c>
      <c r="E4">
        <f>AVERAGEIFS(data[Pasos ejecutados],data[Sesion],A4,data[Pasos planificados],"&gt;0")</f>
        <v>26.703703703703702</v>
      </c>
      <c r="F4" cm="1">
        <f t="array" ref="F4">_xlfn.STDEV.P(IF((data[Sesion]=A4)*(data[Pasos planificados]&lt;&gt;0),data[Pasos ejecutados]))</f>
        <v>10.10249259603536</v>
      </c>
      <c r="G4">
        <f>AVERAGEIFS(data[Errores ejecucion],data[Sesion],A4,data[Pasos planificados],"&gt;0")</f>
        <v>5.0740740740740744</v>
      </c>
      <c r="H4" cm="1">
        <f t="array" ref="H4">_xlfn.STDEV.P(IF((data[Sesion]=A4)*(data[Pasos planificados]&lt;&gt;0),data[Errores ejecucion]))</f>
        <v>3.7508115262732336</v>
      </c>
      <c r="I4">
        <f>AVERAGEIFS(data[Num dormir planificado],data[Sesion],A4,data[Pasos planificados],"&gt;0")</f>
        <v>15.777777777777779</v>
      </c>
      <c r="J4" cm="1">
        <f t="array" ref="J4">_xlfn.STDEV.P(IF((data[Sesion]=A4)*(data[Pasos planificados]&lt;&gt;0),data[Num dormir planificado]))</f>
        <v>5.3147825524895103</v>
      </c>
      <c r="K4">
        <f>AVERAGEIFS(data[Correctos dormir],data[Sesion],A4,data[Pasos planificados],"&gt;0")</f>
        <v>14.851851851851851</v>
      </c>
      <c r="L4" cm="1">
        <f t="array" ref="L4">_xlfn.STDEV.P(IF((data[Sesion]=A4)*(data[Pasos planificados]&lt;&gt;0),data[Correctos dormir]))</f>
        <v>5.2543012623782719</v>
      </c>
      <c r="M4">
        <f>AVERAGEIFS(data[Errores dormir],data[Sesion],A4,data[Pasos planificados],"&gt;0")</f>
        <v>0.92592592592592593</v>
      </c>
      <c r="N4" cm="1">
        <f t="array" ref="N4">_xlfn.STDEV.P(IF((data[Sesion]=A4)*(data[Pasos planificados]&lt;&gt;0),data[Errores dormir]))</f>
        <v>2.0534690778709797</v>
      </c>
      <c r="O4">
        <f>AVERAGEIFS(data[Num ubicacion planificado],data[Sesion],A4,data[Pasos planificados],"&gt;0")</f>
        <v>16</v>
      </c>
      <c r="P4" cm="1">
        <f t="array" ref="P4">_xlfn.STDEV.P(IF((data[Sesion]=A4)*(data[Pasos planificados]&lt;&gt;0),data[Num ubicacion planificado]))</f>
        <v>8.1649658092772608</v>
      </c>
      <c r="Q4">
        <f>AVERAGEIFS(data[Correctos ubicacion],data[Sesion],A4,data[Pasos planificados],"&gt;0")</f>
        <v>11.851851851851851</v>
      </c>
      <c r="R4" cm="1">
        <f t="array" ref="R4">_xlfn.STDEV.P(IF((data[Sesion]=A4)*(data[Pasos planificados]&lt;&gt;0),data[Correctos ubicacion]))</f>
        <v>6.6092174899835134</v>
      </c>
      <c r="S4">
        <f>AVERAGEIFS(data[Errores ubicacion],data[Sesion],A4,data[Pasos planificados],"&gt;0")</f>
        <v>4.1481481481481479</v>
      </c>
      <c r="T4" cm="1">
        <f t="array" ref="T4">_xlfn.STDEV.P(IF((data[Sesion]=A4)*(data[Pasos planificados]&lt;&gt;0),data[Errores ubicacion]))</f>
        <v>2.8376268606485855</v>
      </c>
      <c r="U4">
        <f>AVERAGEIFS(data[Paradas posibles],data[Sesion],A4,data[Pasos planificados],"&gt;0")</f>
        <v>32.111111111111114</v>
      </c>
      <c r="V4" cm="1">
        <f t="array" ref="V4">_xlfn.STDEV.P(IF((data[Sesion]=A4)*(data[Pasos planificados]&lt;&gt;0),data[Paradas posibles]))</f>
        <v>11.951548275133206</v>
      </c>
      <c r="W4">
        <f>AVERAGEIFS(data[Paradas realizadas],data[Sesion],A4,data[Pasos planificados],"&gt;0")</f>
        <v>23.777777777777779</v>
      </c>
      <c r="X4" cm="1">
        <f t="array" ref="X4">_xlfn.STDEV.P(IF((data[Sesion]=A4)*(data[Pasos planificados]&lt;&gt;0),data[Paradas realizadas]))</f>
        <v>9.1016210738988423</v>
      </c>
      <c r="Y4">
        <f>AVERAGEIFS(data[Errores parada por tiempo excedido],data[Sesion],A4,data[Pasos planificados],"&gt;0")</f>
        <v>1.1851851851851851</v>
      </c>
      <c r="Z4" cm="1">
        <f t="array" ref="Z4">_xlfn.STDEV.P(IF((data[Sesion]=A4)*(data[Pasos planificados]&lt;&gt;0),data[Errores parada por tiempo excedido]))</f>
        <v>1.4665918424609874</v>
      </c>
      <c r="AA4">
        <f>AVERAGEIFS(data[Num errores por tiempo excedido],data[Sesion],A4,data[Pasos planificados],"&gt;0")</f>
        <v>1.4814814814814814</v>
      </c>
      <c r="AB4" cm="1">
        <f t="array" ref="AB4">_xlfn.STDEV.P(IF((data[Sesion]=A4)*(data[Pasos planificados]&lt;&gt;0),data[Num errores por tiempo excedido]))</f>
        <v>1.8129241852622839</v>
      </c>
    </row>
    <row r="6" spans="1:28" x14ac:dyDescent="0.3">
      <c r="C6" t="s">
        <v>197</v>
      </c>
      <c r="D6" t="s">
        <v>198</v>
      </c>
      <c r="E6" t="s">
        <v>199</v>
      </c>
      <c r="F6" t="s">
        <v>200</v>
      </c>
      <c r="G6" t="s">
        <v>201</v>
      </c>
      <c r="H6" t="s">
        <v>202</v>
      </c>
      <c r="I6" t="s">
        <v>203</v>
      </c>
      <c r="J6" t="s">
        <v>204</v>
      </c>
      <c r="K6" t="s">
        <v>213</v>
      </c>
      <c r="L6" t="s">
        <v>215</v>
      </c>
      <c r="M6" t="s">
        <v>214</v>
      </c>
      <c r="N6" t="s">
        <v>216</v>
      </c>
    </row>
    <row r="7" spans="1:28" x14ac:dyDescent="0.3">
      <c r="C7">
        <f>AVERAGEIFS(data[Tiempo duracion],data[Sesion],A2,data[Pasos planificados],"&gt;0")</f>
        <v>1499.0487352941179</v>
      </c>
      <c r="D7" cm="1">
        <f t="array" ref="D7">_xlfn.STDEV.P(IF((data[Sesion]=A2)*(data[Pasos planificados]&lt;&gt;0),data[Tiempo duracion]))</f>
        <v>765.3270031362332</v>
      </c>
      <c r="E7">
        <f>AVERAGEIFS(data[Num niveles],data[Sesion],A2,data[Pasos planificados],"&gt;0")</f>
        <v>2.6176470588235294</v>
      </c>
      <c r="F7" cm="1">
        <f t="array" ref="F7">_xlfn.STDEV.P(IF((data[Sesion]=A2)*(data[Pasos planificados]&lt;&gt;0),data[Num niveles]))</f>
        <v>1.2605952348080494</v>
      </c>
      <c r="G7">
        <f>AVERAGEIFS(data[Num intentos],data[Sesion],A2,data[Pasos planificados],"&gt;0")</f>
        <v>8.5</v>
      </c>
      <c r="H7" cm="1">
        <f t="array" ref="H7">_xlfn.STDEV.P(IF((data[Sesion]=A2)*(data[Pasos planificados]&lt;&gt;0),data[Num intentos]))</f>
        <v>2.9129528176142947</v>
      </c>
      <c r="I7">
        <f>AVERAGEIFS(data[Completados],data[Sesion],A2,data[Pasos planificados],"&gt;0")</f>
        <v>1.0294117647058822</v>
      </c>
      <c r="J7" cm="1">
        <f t="array" ref="J7">_xlfn.STDEV.P(IF((data[Sesion]=A2)*(data[Pasos planificados]&lt;&gt;0),data[Completados]))</f>
        <v>1.3823529411764706</v>
      </c>
      <c r="K7">
        <f>AVERAGEIFS(data[% Aciertos],data[Sesion],A2,data[Pasos planificados],"&gt;0")</f>
        <v>81.500533061927996</v>
      </c>
      <c r="L7" cm="1">
        <f t="array" ref="L7">_xlfn.STDEV.P(IF((data[Sesion]=A2)*(data[Pasos planificados]&lt;&gt;0),data[% Aciertos]))</f>
        <v>13.661094774056064</v>
      </c>
      <c r="M7">
        <f>AVERAGEIFS(data[% Mal],data[Sesion],A2,data[Pasos planificados],"&gt;0")</f>
        <v>18.499466938071933</v>
      </c>
      <c r="N7" cm="1">
        <f t="array" ref="N7">_xlfn.STDEV.P(IF((data[Sesion]=A2)*(data[Pasos planificados]&lt;&gt;0),data[% Mal]))</f>
        <v>13.661094774056048</v>
      </c>
    </row>
    <row r="8" spans="1:28" x14ac:dyDescent="0.3">
      <c r="C8">
        <f>AVERAGEIFS(data[Tiempo duracion],data[Sesion],A3,data[Pasos planificados],"&gt;0")</f>
        <v>865.94650000000001</v>
      </c>
      <c r="D8" cm="1">
        <f t="array" ref="D8">_xlfn.STDEV.P(IF((data[Sesion]=A3)*(data[Pasos planificados]&lt;&gt;0),data[Tiempo duracion]))</f>
        <v>280.89949999999999</v>
      </c>
      <c r="E8">
        <f>AVERAGEIFS(data[Num niveles],data[Sesion],A3,data[Pasos planificados],"&gt;0")</f>
        <v>1.5</v>
      </c>
      <c r="F8" cm="1">
        <f t="array" ref="F8">_xlfn.STDEV.P(IF((data[Sesion]=A3)*(data[Pasos planificados]&lt;&gt;0),data[Num niveles]))</f>
        <v>0.5</v>
      </c>
      <c r="G8">
        <f>AVERAGEIFS(data[Num intentos],data[Sesion],A3,data[Pasos planificados],"&gt;0")</f>
        <v>6</v>
      </c>
      <c r="H8" cm="1">
        <f t="array" ref="H8">_xlfn.STDEV.P(IF((data[Sesion]=A3)*(data[Pasos planificados]&lt;&gt;0),data[Num intentos]))</f>
        <v>2</v>
      </c>
      <c r="I8">
        <f>AVERAGEIFS(data[Completados],data[Sesion],A3,data[Pasos planificados],"&gt;0")</f>
        <v>1</v>
      </c>
      <c r="J8" cm="1">
        <f t="array" ref="J8">_xlfn.STDEV.P(IF((data[Sesion]=A3)*(data[Pasos planificados]&lt;&gt;0),data[Completados]))</f>
        <v>1</v>
      </c>
      <c r="K8">
        <f>AVERAGEIFS(data[% Aciertos],data[Sesion],A3,data[Pasos planificados],"&gt;0")</f>
        <v>81.868131868131854</v>
      </c>
      <c r="L8" cm="1">
        <f t="array" ref="L8">_xlfn.STDEV.P(IF((data[Sesion]=A3)*(data[Pasos planificados]&lt;&gt;0),data[% Aciertos]))</f>
        <v>10.439560439560449</v>
      </c>
      <c r="M8">
        <f>AVERAGEIFS(data[% Mal],data[Sesion],A3,data[Pasos planificados],"&gt;0")</f>
        <v>18.131868131868096</v>
      </c>
      <c r="N8" cm="1">
        <f t="array" ref="N8">_xlfn.STDEV.P(IF((data[Sesion]=A3)*(data[Pasos planificados]&lt;&gt;0),data[% Mal]))</f>
        <v>10.439560439560402</v>
      </c>
    </row>
    <row r="9" spans="1:28" x14ac:dyDescent="0.3">
      <c r="C9">
        <f>AVERAGEIFS(data[Tiempo duracion],data[Sesion],A4,data[Pasos planificados],"&gt;0")</f>
        <v>2271.3278518518518</v>
      </c>
      <c r="D9" cm="1">
        <f t="array" ref="D9">_xlfn.STDEV.P(IF((data[Sesion]=A4)*(data[Pasos planificados]&lt;&gt;0),data[Tiempo duracion]))</f>
        <v>881.82186350690699</v>
      </c>
      <c r="E9">
        <f>AVERAGEIFS(data[Num niveles],data[Sesion],A4,data[Pasos planificados],"&gt;0")</f>
        <v>3.5555555555555554</v>
      </c>
      <c r="F9" cm="1">
        <f t="array" ref="F9">_xlfn.STDEV.P(IF((data[Sesion]=A4)*(data[Pasos planificados]&lt;&gt;0),data[Num niveles]))</f>
        <v>1.1653431646335017</v>
      </c>
      <c r="G9">
        <f>AVERAGEIFS(data[Num intentos],data[Sesion],A4,data[Pasos planificados],"&gt;0")</f>
        <v>11.481481481481481</v>
      </c>
      <c r="H9" cm="1">
        <f t="array" ref="H9">_xlfn.STDEV.P(IF((data[Sesion]=A4)*(data[Pasos planificados]&lt;&gt;0),data[Num intentos]))</f>
        <v>5.3704980827726274</v>
      </c>
      <c r="I9">
        <f>AVERAGEIFS(data[Completados],data[Sesion],A4,data[Pasos planificados],"&gt;0")</f>
        <v>1.7037037037037037</v>
      </c>
      <c r="J9" cm="1">
        <f t="array" ref="J9">_xlfn.STDEV.P(IF((data[Sesion]=A4)*(data[Pasos planificados]&lt;&gt;0),data[Completados]))</f>
        <v>1.4609691054308163</v>
      </c>
      <c r="K9">
        <f>AVERAGEIFS(data[% Aciertos],data[Sesion],A4,data[Pasos planificados],"&gt;0")</f>
        <v>84.678266813816748</v>
      </c>
      <c r="L9" cm="1">
        <f t="array" ref="L9">_xlfn.STDEV.P(IF((data[Sesion]=A4)*(data[Pasos planificados]&lt;&gt;0),data[% Aciertos]))</f>
        <v>9.7359064227108103</v>
      </c>
      <c r="M9">
        <f>AVERAGEIFS(data[% Mal],data[Sesion],A4,data[Pasos planificados],"&gt;0")</f>
        <v>15.321733186183183</v>
      </c>
      <c r="N9" cm="1">
        <f t="array" ref="N9">_xlfn.STDEV.P(IF((data[Sesion]=A4)*(data[Pasos planificados]&lt;&gt;0),data[% Mal]))</f>
        <v>9.7359064227106646</v>
      </c>
    </row>
    <row r="11" spans="1:28" x14ac:dyDescent="0.3">
      <c r="H11" t="s">
        <v>3</v>
      </c>
      <c r="I11" t="s">
        <v>209</v>
      </c>
      <c r="J11" t="s">
        <v>210</v>
      </c>
      <c r="K11" t="s">
        <v>211</v>
      </c>
      <c r="L11" t="s">
        <v>212</v>
      </c>
    </row>
    <row r="12" spans="1:28" x14ac:dyDescent="0.3">
      <c r="H12">
        <f>SUMIFS(data[Num intentos],data[Sesion],A2,data[Pasos planificados],"&gt;0")</f>
        <v>289</v>
      </c>
      <c r="I12">
        <f>SUMIFS(data[Completados],data[Sesion],A2,data[Pasos planificados],"&gt;0")</f>
        <v>35</v>
      </c>
      <c r="J12">
        <f>100*I12/H12</f>
        <v>12.110726643598616</v>
      </c>
      <c r="K12">
        <f>H12-I12</f>
        <v>254</v>
      </c>
      <c r="L12">
        <f>100*K12/H12</f>
        <v>87.889273356401389</v>
      </c>
    </row>
    <row r="13" spans="1:28" x14ac:dyDescent="0.3">
      <c r="H13">
        <f>SUMIFS(data[Num intentos],data[Sesion],A3,data[Pasos planificados],"&gt;0")</f>
        <v>12</v>
      </c>
      <c r="I13">
        <f>SUMIFS(data[Completados],data[Sesion],A3,data[Pasos planificados],"&gt;0")</f>
        <v>2</v>
      </c>
      <c r="J13">
        <f t="shared" ref="J13:J14" si="0">100*I13/H13</f>
        <v>16.666666666666668</v>
      </c>
      <c r="K13">
        <f t="shared" ref="K13:K14" si="1">H13-I13</f>
        <v>10</v>
      </c>
      <c r="L13">
        <f t="shared" ref="L13:L14" si="2">100*K13/H13</f>
        <v>83.333333333333329</v>
      </c>
    </row>
    <row r="14" spans="1:28" x14ac:dyDescent="0.3">
      <c r="H14">
        <f>SUMIFS(data[Num intentos],data[Sesion],A4,data[Pasos planificados],"&gt;0")</f>
        <v>310</v>
      </c>
      <c r="I14">
        <f>SUMIFS(data[Completados],data[Sesion],A4,data[Pasos planificados],"&gt;0")</f>
        <v>46</v>
      </c>
      <c r="J14">
        <f t="shared" si="0"/>
        <v>14.838709677419354</v>
      </c>
      <c r="K14">
        <f t="shared" si="1"/>
        <v>264</v>
      </c>
      <c r="L14">
        <f t="shared" si="2"/>
        <v>85.161290322580641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2026-07-30T09:13:01Z</dcterms:modified>
</cp:coreProperties>
</file>