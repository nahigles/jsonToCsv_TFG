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D5651021-4444-4F33-89E3-47BFCB2921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</sheets>
  <definedNames>
    <definedName name="_xlchart.v1.0" hidden="1">Sheet1!$B$2:$B$76</definedName>
    <definedName name="_xlchart.v1.1" hidden="1">Sheet1!$K$1</definedName>
    <definedName name="_xlchart.v1.2" hidden="1">Sheet1!$K$2:$K$76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 a="1"/>
  <c r="J9" i="2" a="1"/>
  <c r="J7" i="2" a="1"/>
  <c r="I8" i="2"/>
  <c r="I9" i="2"/>
  <c r="I7" i="2"/>
  <c r="H8" i="2" a="1"/>
  <c r="H9" i="2" a="1"/>
  <c r="H7" i="2" a="1"/>
  <c r="G8" i="2"/>
  <c r="G9" i="2"/>
  <c r="G7" i="2"/>
  <c r="F8" i="2" a="1"/>
  <c r="F9" i="2" a="1"/>
  <c r="F7" i="2" a="1"/>
  <c r="E8" i="2"/>
  <c r="E9" i="2"/>
  <c r="E7" i="2"/>
  <c r="D8" i="2" a="1"/>
  <c r="D9" i="2" a="1"/>
  <c r="D7" i="2" a="1"/>
  <c r="AB2" i="2" a="1"/>
  <c r="C8" i="2"/>
  <c r="C9" i="2"/>
  <c r="C7" i="2"/>
  <c r="AB3" i="2" a="1"/>
  <c r="AB4" i="2" a="1"/>
  <c r="AA3" i="2"/>
  <c r="AA4" i="2"/>
  <c r="AA2" i="2"/>
  <c r="Z3" i="2" a="1"/>
  <c r="Z4" i="2" a="1"/>
  <c r="Z2" i="2" a="1"/>
  <c r="Y3" i="2"/>
  <c r="Y4" i="2"/>
  <c r="Y2" i="2"/>
  <c r="X3" i="2" a="1"/>
  <c r="X4" i="2" a="1"/>
  <c r="X2" i="2" a="1"/>
  <c r="W3" i="2"/>
  <c r="W4" i="2"/>
  <c r="W2" i="2"/>
  <c r="V3" i="2" a="1"/>
  <c r="V4" i="2" a="1"/>
  <c r="V2" i="2" a="1"/>
  <c r="U3" i="2"/>
  <c r="U4" i="2"/>
  <c r="U2" i="2"/>
  <c r="T3" i="2" a="1"/>
  <c r="T4" i="2" a="1"/>
  <c r="T2" i="2" a="1"/>
  <c r="S3" i="2"/>
  <c r="S4" i="2"/>
  <c r="S2" i="2"/>
  <c r="R3" i="2" a="1"/>
  <c r="R4" i="2" a="1"/>
  <c r="R2" i="2" a="1"/>
  <c r="Q3" i="2"/>
  <c r="Q4" i="2"/>
  <c r="Q2" i="2"/>
  <c r="P3" i="2" a="1"/>
  <c r="P4" i="2" a="1"/>
  <c r="P2" i="2" a="1"/>
  <c r="O3" i="2"/>
  <c r="O4" i="2"/>
  <c r="O2" i="2"/>
  <c r="N3" i="2" a="1"/>
  <c r="N4" i="2" a="1"/>
  <c r="N2" i="2" a="1"/>
  <c r="M3" i="2"/>
  <c r="M4" i="2"/>
  <c r="M2" i="2"/>
  <c r="L3" i="2" a="1"/>
  <c r="L4" i="2" a="1"/>
  <c r="L2" i="2" a="1"/>
  <c r="K3" i="2"/>
  <c r="K4" i="2"/>
  <c r="K2" i="2"/>
  <c r="J3" i="2" a="1"/>
  <c r="J4" i="2" a="1"/>
  <c r="J2" i="2" a="1"/>
  <c r="I3" i="2"/>
  <c r="I4" i="2"/>
  <c r="I2" i="2"/>
  <c r="F3" i="2" a="1"/>
  <c r="F4" i="2" a="1"/>
  <c r="F2" i="2" a="1"/>
  <c r="E3" i="2"/>
  <c r="E4" i="2"/>
  <c r="E2" i="2"/>
  <c r="D3" i="2" a="1"/>
  <c r="D4" i="2" a="1"/>
  <c r="D2" i="2" a="1"/>
  <c r="C3" i="2"/>
  <c r="C4" i="2"/>
  <c r="C2" i="2"/>
  <c r="B3" i="2"/>
  <c r="B4" i="2"/>
  <c r="B2" i="2"/>
  <c r="H3" i="2" a="1"/>
  <c r="H4" i="2" a="1"/>
  <c r="H2" i="2" a="1"/>
  <c r="G3" i="2"/>
  <c r="G4" i="2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<sst xmlns="http://schemas.openxmlformats.org/spreadsheetml/2006/main" count="207" uniqueCount="206">
  <si>
    <t>ID</t>
  </si>
  <si>
    <t>Sesion</t>
  </si>
  <si>
    <t>Num niveles</t>
  </si>
  <si>
    <t>Num intentos</t>
  </si>
  <si>
    <t>Completados</t>
  </si>
  <si>
    <t>Tiempo inicio</t>
  </si>
  <si>
    <t>Tiempo final</t>
  </si>
  <si>
    <t>Tiempo duracion</t>
  </si>
  <si>
    <t>Pasos planificados</t>
  </si>
  <si>
    <t>Pasos ejecutados</t>
  </si>
  <si>
    <t>Errores ejecucion</t>
  </si>
  <si>
    <t>Num dormir planificado</t>
  </si>
  <si>
    <t>Correctos dormir</t>
  </si>
  <si>
    <t>Errores dormir</t>
  </si>
  <si>
    <t>Num ubicacion planificado</t>
  </si>
  <si>
    <t>Correctos ubicacion</t>
  </si>
  <si>
    <t>Errores ubicacion</t>
  </si>
  <si>
    <t>Paradas posibles</t>
  </si>
  <si>
    <t>Paradas realizadas</t>
  </si>
  <si>
    <t>Errores parada por tiempo excedido</t>
  </si>
  <si>
    <t>Num errores por tiempo excedido</t>
  </si>
  <si>
    <t>15:04:04.517</t>
  </si>
  <si>
    <t>15:20:46.000</t>
  </si>
  <si>
    <t>14:15:08.014</t>
  </si>
  <si>
    <t>14:41:36.785</t>
  </si>
  <si>
    <t>14:22:08.352</t>
  </si>
  <si>
    <t>14:45:59.368</t>
  </si>
  <si>
    <t>14:13:54.844</t>
  </si>
  <si>
    <t>14:29:18.332</t>
  </si>
  <si>
    <t>14:19:57.019</t>
  </si>
  <si>
    <t>14:33:28.259</t>
  </si>
  <si>
    <t>14:15:31.568</t>
  </si>
  <si>
    <t>14:40:03.212</t>
  </si>
  <si>
    <t>15:03:20.042</t>
  </si>
  <si>
    <t>15:20:07.463</t>
  </si>
  <si>
    <t>15:29:42.390</t>
  </si>
  <si>
    <t>15:55:50.529</t>
  </si>
  <si>
    <t>15:00:03.742</t>
  </si>
  <si>
    <t>15:36:46.952</t>
  </si>
  <si>
    <t>14:23:03.711</t>
  </si>
  <si>
    <t>14:47:23.112</t>
  </si>
  <si>
    <t>14:14:43.812</t>
  </si>
  <si>
    <t>14:44:49.452</t>
  </si>
  <si>
    <t>14:41:30.786</t>
  </si>
  <si>
    <t>14:55:21.747</t>
  </si>
  <si>
    <t>14:56:41.369</t>
  </si>
  <si>
    <t>15:12:14.966</t>
  </si>
  <si>
    <t>15:06:50.654</t>
  </si>
  <si>
    <t>15:43:52.114</t>
  </si>
  <si>
    <t>14:22:36.656</t>
  </si>
  <si>
    <t>14:50:51.188</t>
  </si>
  <si>
    <t>14:14:22.689</t>
  </si>
  <si>
    <t>14:32:03.553</t>
  </si>
  <si>
    <t>15:03:08.992</t>
  </si>
  <si>
    <t>15:10:19.897</t>
  </si>
  <si>
    <t>15:25:15.288</t>
  </si>
  <si>
    <t>15:51:25.871</t>
  </si>
  <si>
    <t>15:05:45.125</t>
  </si>
  <si>
    <t>15:51:06.619</t>
  </si>
  <si>
    <t>15:16:10.839</t>
  </si>
  <si>
    <t>15:43:29.980</t>
  </si>
  <si>
    <t>14:59:31.380</t>
  </si>
  <si>
    <t>15:53:03.221</t>
  </si>
  <si>
    <t>14:22:05.337</t>
  </si>
  <si>
    <t>14:53:27.923</t>
  </si>
  <si>
    <t>15:10:23.032</t>
  </si>
  <si>
    <t>15:29:19.230</t>
  </si>
  <si>
    <t>15:01:24.561</t>
  </si>
  <si>
    <t>15:51:01.360</t>
  </si>
  <si>
    <t>14:56:23.695</t>
  </si>
  <si>
    <t>15:22:58.894</t>
  </si>
  <si>
    <t>14:57:25.697</t>
  </si>
  <si>
    <t>10:55:38.321</t>
  </si>
  <si>
    <t>14:57:14.599</t>
  </si>
  <si>
    <t>15:25:56.336</t>
  </si>
  <si>
    <t>14:58:10.940</t>
  </si>
  <si>
    <t>15:40:59.178</t>
  </si>
  <si>
    <t>15:04:46.232</t>
  </si>
  <si>
    <t>15:20:10.657</t>
  </si>
  <si>
    <t>15:07:30.038</t>
  </si>
  <si>
    <t>15:53:09.504</t>
  </si>
  <si>
    <t>14:19:54.532</t>
  </si>
  <si>
    <t>14:55:04.984</t>
  </si>
  <si>
    <t>14:59:28.344</t>
  </si>
  <si>
    <t>15:29:11.613</t>
  </si>
  <si>
    <t>15:01:05.153</t>
  </si>
  <si>
    <t>15:42:28.525</t>
  </si>
  <si>
    <t>14:41:32.880</t>
  </si>
  <si>
    <t>15:11:40.452</t>
  </si>
  <si>
    <t>14:59:05.674</t>
  </si>
  <si>
    <t>15:53:16.524</t>
  </si>
  <si>
    <t>14:21:40.891</t>
  </si>
  <si>
    <t>14:53:52.881</t>
  </si>
  <si>
    <t>14:13:26.720</t>
  </si>
  <si>
    <t>14:26:27.789</t>
  </si>
  <si>
    <t>16:03:16.527</t>
  </si>
  <si>
    <t>16:27:39.143</t>
  </si>
  <si>
    <t>14:42:08.696</t>
  </si>
  <si>
    <t>15:03:16.318</t>
  </si>
  <si>
    <t>15:57:13.889</t>
  </si>
  <si>
    <t>16:28:39.035</t>
  </si>
  <si>
    <t>15:52:12.861</t>
  </si>
  <si>
    <t>16:44:13.973</t>
  </si>
  <si>
    <t>15:55:15.139</t>
  </si>
  <si>
    <t>16:28:02.631</t>
  </si>
  <si>
    <t>15:54:22.013</t>
  </si>
  <si>
    <t>16:20:28.972</t>
  </si>
  <si>
    <t>15:03:42.632</t>
  </si>
  <si>
    <t>15:03:42.639</t>
  </si>
  <si>
    <t>15:04:22.853</t>
  </si>
  <si>
    <t>15:10:42.429</t>
  </si>
  <si>
    <t>16:46:40.382</t>
  </si>
  <si>
    <t>17:06:26.439</t>
  </si>
  <si>
    <t>15:04:10.151</t>
  </si>
  <si>
    <t>15:22:58.873</t>
  </si>
  <si>
    <t>15:49:17.342</t>
  </si>
  <si>
    <t>16:11:22.196</t>
  </si>
  <si>
    <t>15:27:15.739</t>
  </si>
  <si>
    <t>15:48:01.202</t>
  </si>
  <si>
    <t>15:41:43.127</t>
  </si>
  <si>
    <t>15:54:07.877</t>
  </si>
  <si>
    <t>15:03:20.337</t>
  </si>
  <si>
    <t>15:22:04.958</t>
  </si>
  <si>
    <t>14:53:45.380</t>
  </si>
  <si>
    <t>15:43:28.720</t>
  </si>
  <si>
    <t>15:22:11.114</t>
  </si>
  <si>
    <t>15:35:22.460</t>
  </si>
  <si>
    <t>15:48:24.728</t>
  </si>
  <si>
    <t>15:53:27.361</t>
  </si>
  <si>
    <t>14:57:49.153</t>
  </si>
  <si>
    <t>16:00:54.514</t>
  </si>
  <si>
    <t>16:28:05.380</t>
  </si>
  <si>
    <t>17:01:27.938</t>
  </si>
  <si>
    <t>14:14:16.150</t>
  </si>
  <si>
    <t>15:22:37.565</t>
  </si>
  <si>
    <t>16:50:34.650</t>
  </si>
  <si>
    <t>17:22:19.409</t>
  </si>
  <si>
    <t>14:22:36.481</t>
  </si>
  <si>
    <t>14:45:28.411</t>
  </si>
  <si>
    <t>14:14:40.795</t>
  </si>
  <si>
    <t>14:32:00.853</t>
  </si>
  <si>
    <t>14:21:08.325</t>
  </si>
  <si>
    <t>14:53:33.774</t>
  </si>
  <si>
    <t>14:34:23.248</t>
  </si>
  <si>
    <t>15:20:21.395</t>
  </si>
  <si>
    <t>14:20:39.906</t>
  </si>
  <si>
    <t>15:41:36.914</t>
  </si>
  <si>
    <t>15:41:05.914</t>
  </si>
  <si>
    <t>15:43:22.538</t>
  </si>
  <si>
    <t>14:21:06.367</t>
  </si>
  <si>
    <t>14:41:19.309</t>
  </si>
  <si>
    <t>14:43:09.093</t>
  </si>
  <si>
    <t>14:52:54.140</t>
  </si>
  <si>
    <t>14:58:29.878</t>
  </si>
  <si>
    <t>15:18:33.196</t>
  </si>
  <si>
    <t>15:04:56.808</t>
  </si>
  <si>
    <t>15:20:16.102</t>
  </si>
  <si>
    <t>14:45:53.780</t>
  </si>
  <si>
    <t>14:46:26.956</t>
  </si>
  <si>
    <t>14:15:14.763</t>
  </si>
  <si>
    <t>14:42:45.564</t>
  </si>
  <si>
    <t>14:21:37.576</t>
  </si>
  <si>
    <t>14:37:57.257</t>
  </si>
  <si>
    <t>14:40:18.233</t>
  </si>
  <si>
    <t>14:59:25.079</t>
  </si>
  <si>
    <t>14:13:42.166</t>
  </si>
  <si>
    <t>14:58:20.061</t>
  </si>
  <si>
    <t>15:19:07.753</t>
  </si>
  <si>
    <t>15:53:54.322</t>
  </si>
  <si>
    <t>16:01:37.196</t>
  </si>
  <si>
    <t>16:30:37.739</t>
  </si>
  <si>
    <t>Count</t>
  </si>
  <si>
    <t>Media errores</t>
  </si>
  <si>
    <t>Stdev errores</t>
  </si>
  <si>
    <t>Media planificados</t>
  </si>
  <si>
    <t>Stdev planificados</t>
  </si>
  <si>
    <t>Media ejecutados</t>
  </si>
  <si>
    <t>Stdev ejecutados</t>
  </si>
  <si>
    <t>Media dormir planificado</t>
  </si>
  <si>
    <t>Stdev dorm plan</t>
  </si>
  <si>
    <t>Media correctos dormir</t>
  </si>
  <si>
    <t>Stdev correctos dormir</t>
  </si>
  <si>
    <t>Media errores dormir</t>
  </si>
  <si>
    <t>Stdev errores dormir</t>
  </si>
  <si>
    <t>Media ubi planificado</t>
  </si>
  <si>
    <t>Stdev ubi planificado</t>
  </si>
  <si>
    <t>Media correctos ubi</t>
  </si>
  <si>
    <t>Stdev correctos ubi</t>
  </si>
  <si>
    <t>Media errores ubi</t>
  </si>
  <si>
    <t>Stdev errores ubi</t>
  </si>
  <si>
    <t>Media paradas posibles</t>
  </si>
  <si>
    <t>Stdev paradas posibles</t>
  </si>
  <si>
    <t>Media paradas realizadas</t>
  </si>
  <si>
    <t>Stdev paradas realizadas</t>
  </si>
  <si>
    <t>Media error parada tiempo exceido</t>
  </si>
  <si>
    <t>Stdev errores parada tiempo excedido</t>
  </si>
  <si>
    <t>Media errores tiempo excedido</t>
  </si>
  <si>
    <t>Stdev errores tiempo excedido</t>
  </si>
  <si>
    <t xml:space="preserve"> Media duracion</t>
  </si>
  <si>
    <t>Stdev duracion</t>
  </si>
  <si>
    <t>Media n niveles</t>
  </si>
  <si>
    <t>Stdev n niveles</t>
  </si>
  <si>
    <t>Media n intentos</t>
  </si>
  <si>
    <t>Stdev n intentos</t>
  </si>
  <si>
    <t>Media completados</t>
  </si>
  <si>
    <t>Stdev completados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</si>
</sst>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00000000-A78E-4538-9918-A2CA75D37358}">
          <cx:tx>
            <cx:txData>
              <cx:f>_xlchart.v1.1</cx:f>
              <cx:v>Errores ejecucion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50</xdr:row>
      <xdr:rowOff>52387</xdr:rowOff>
    </xdr:from>
    <xdr:to>
      <xdr:col>11</xdr:col>
      <xdr:colOff>123825</xdr:colOff>
      <xdr:row>64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8F5C34C-1A30-C8D0-7392-56044DD3A7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0375" y="9196387"/>
              <a:ext cx="472059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8B7A24-8C82-432D-8F40-107C6140EF70}" name="data" displayName="data" ref="A1:U76" totalsRowShown="0" headerRowDxfId="2" headerRowBorderDxfId="1" tableBorderDxfId="0">
  <autoFilter ref="A1:U76" xr:uid="{AD8B7A24-8C82-432D-8F40-107C6140EF70}"/>
  <tableColumns count="21">
    <tableColumn id="1" xr3:uid="{E9C60595-13C0-4ABA-BDC8-21DAAB7F3D42}" name="ID"/>
    <tableColumn id="2" xr3:uid="{9FACE59C-239F-4A71-B8BE-F4FEB003A591}" name="Sesion"/>
    <tableColumn id="3" xr3:uid="{79C6D1C3-A60F-414A-92D5-DE9C600BEF77}" name="Num niveles"/>
    <tableColumn id="4" xr3:uid="{8F3CAA1A-560D-4BE0-A054-9457F8655E8B}" name="Num intentos"/>
    <tableColumn id="5" xr3:uid="{A115FA9E-035C-44DF-BD27-72D1F97972F8}" name="Completados"/>
    <tableColumn id="6" xr3:uid="{85BC61A0-7555-48F1-AB61-A68D4394529B}" name="Tiempo inicio"/>
    <tableColumn id="7" xr3:uid="{0B814595-599B-4A5E-8409-6443D1531A6A}" name="Tiempo final"/>
    <tableColumn id="8" xr3:uid="{C0BD87DB-2AAB-4E85-AAD2-E646FA1215F0}" name="Tiempo duracion"/>
    <tableColumn id="9" xr3:uid="{1E2A06AC-C69C-4650-885D-8E9D93AF3B9F}" name="Pasos planificados"/>
    <tableColumn id="10" xr3:uid="{D7DA57A4-E49C-4EBF-A3FB-E320393994B5}" name="Pasos ejecutados"/>
    <tableColumn id="11" xr3:uid="{BCBBE70C-CDE0-4D12-AC24-0EEE269EAD70}" name="Errores ejecucion"/>
    <tableColumn id="12" xr3:uid="{3DE0EB90-308F-46D6-9888-458A57C825EB}" name="Num dormir planificado"/>
    <tableColumn id="13" xr3:uid="{F428E43D-1EAA-4B61-A7BF-A9C9EE876F19}" name="Correctos dormir"/>
    <tableColumn id="14" xr3:uid="{5F8B1377-F530-481B-9CC0-5D608DA402C4}" name="Errores dormir"/>
    <tableColumn id="15" xr3:uid="{74283EB2-D812-40B0-BE03-3D1882BF00E3}" name="Num ubicacion planificado"/>
    <tableColumn id="16" xr3:uid="{14389DF8-9A52-4FBE-9555-BAD83C2343AC}" name="Correctos ubicacion"/>
    <tableColumn id="17" xr3:uid="{BB9F740F-10E1-4793-B27E-10B1A268D5F7}" name="Errores ubicacion"/>
    <tableColumn id="18" xr3:uid="{7579051A-A65C-407F-9E44-50F479358333}" name="Paradas posibles"/>
    <tableColumn id="19" xr3:uid="{734148C9-249D-45E3-AEB7-9E097DF3E0D8}" name="Paradas realizadas"/>
    <tableColumn id="20" xr3:uid="{97C6F595-D16D-433B-BB44-CA7C478E90FA}" name="Errores parada por tiempo excedido"/>
    <tableColumn id="21" xr3:uid="{6DCC0F6D-47AE-44A8-B3EF-D75D91D818B8}" name="Num errores por tiempo excedi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>
      <selection activeCell="C41" sqref="C41"/>
    </sheetView>
  </sheetViews>
  <sheetFormatPr baseColWidth="10" defaultColWidth="9.109375" defaultRowHeight="14.4" x14ac:dyDescent="0.3"/>
  <cols>
    <col min="3" max="3" width="14.33203125" customWidth="1"/>
    <col min="4" max="4" width="15.33203125" customWidth="1"/>
    <col min="5" max="5" width="14.88671875" customWidth="1"/>
    <col min="6" max="6" width="15.109375" customWidth="1"/>
    <col min="7" max="7" width="14.33203125" customWidth="1"/>
    <col min="8" max="8" width="18" customWidth="1"/>
    <col min="9" max="9" width="19.33203125" customWidth="1"/>
    <col min="10" max="10" width="18.33203125" customWidth="1"/>
    <col min="11" max="11" width="18.44140625" customWidth="1"/>
    <col min="12" max="12" width="24.109375" customWidth="1"/>
    <col min="13" max="13" width="18" customWidth="1"/>
    <col min="14" max="14" width="15.88671875" customWidth="1"/>
    <col min="15" max="15" width="26.5546875" customWidth="1"/>
    <col min="16" max="16" width="20.44140625" customWidth="1"/>
    <col min="17" max="17" width="18.33203125" customWidth="1"/>
    <col min="18" max="18" width="17.88671875" customWidth="1"/>
    <col min="19" max="19" width="19.33203125" customWidth="1"/>
    <col min="20" max="20" width="34.6640625" customWidth="1"/>
    <col min="21" max="21" width="33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10</v>
      </c>
      <c r="B2">
        <v>1</v>
      </c>
      <c r="C2">
        <v>1</v>
      </c>
      <c r="D2">
        <v>7</v>
      </c>
      <c r="E2">
        <v>0</v>
      </c>
      <c r="F2" t="s">
        <v>21</v>
      </c>
      <c r="G2" t="s">
        <v>22</v>
      </c>
      <c r="H2">
        <v>1001.4829999999999</v>
      </c>
      <c r="I2">
        <v>14</v>
      </c>
      <c r="J2">
        <v>11</v>
      </c>
      <c r="K2">
        <v>3</v>
      </c>
      <c r="L2">
        <v>10</v>
      </c>
      <c r="M2">
        <v>9</v>
      </c>
      <c r="N2">
        <v>1</v>
      </c>
      <c r="O2">
        <v>4</v>
      </c>
      <c r="P2">
        <v>2</v>
      </c>
      <c r="Q2">
        <v>2</v>
      </c>
      <c r="R2">
        <v>12</v>
      </c>
      <c r="S2">
        <v>6</v>
      </c>
      <c r="T2">
        <v>0</v>
      </c>
      <c r="U2">
        <v>0</v>
      </c>
    </row>
    <row r="3" spans="1:21" x14ac:dyDescent="0.3">
      <c r="A3">
        <v>10</v>
      </c>
      <c r="B3">
        <v>3</v>
      </c>
      <c r="C3">
        <v>4</v>
      </c>
      <c r="D3">
        <v>7</v>
      </c>
      <c r="E3">
        <v>2</v>
      </c>
      <c r="F3" t="s">
        <v>23</v>
      </c>
      <c r="G3" t="s">
        <v>24</v>
      </c>
      <c r="H3">
        <v>1588.771</v>
      </c>
      <c r="I3">
        <v>17</v>
      </c>
      <c r="J3">
        <v>15</v>
      </c>
      <c r="K3">
        <v>2</v>
      </c>
      <c r="L3">
        <v>9</v>
      </c>
      <c r="M3">
        <v>8</v>
      </c>
      <c r="N3">
        <v>1</v>
      </c>
      <c r="O3">
        <v>8</v>
      </c>
      <c r="P3">
        <v>7</v>
      </c>
      <c r="Q3">
        <v>1</v>
      </c>
      <c r="R3">
        <v>21</v>
      </c>
      <c r="S3">
        <v>14</v>
      </c>
      <c r="T3">
        <v>1</v>
      </c>
      <c r="U3">
        <v>2</v>
      </c>
    </row>
    <row r="4" spans="1:21" x14ac:dyDescent="0.3">
      <c r="A4">
        <v>11</v>
      </c>
      <c r="B4">
        <v>1</v>
      </c>
      <c r="C4">
        <v>3</v>
      </c>
      <c r="D4">
        <v>11</v>
      </c>
      <c r="E4">
        <v>4</v>
      </c>
      <c r="F4" t="s">
        <v>25</v>
      </c>
      <c r="G4" t="s">
        <v>26</v>
      </c>
      <c r="H4">
        <v>1431.0160000000001</v>
      </c>
      <c r="I4">
        <v>26</v>
      </c>
      <c r="J4">
        <v>22</v>
      </c>
      <c r="K4">
        <v>4</v>
      </c>
      <c r="L4">
        <v>15</v>
      </c>
      <c r="M4">
        <v>14</v>
      </c>
      <c r="N4">
        <v>1</v>
      </c>
      <c r="O4">
        <v>11</v>
      </c>
      <c r="P4">
        <v>8</v>
      </c>
      <c r="Q4">
        <v>3</v>
      </c>
      <c r="R4">
        <v>29</v>
      </c>
      <c r="S4">
        <v>18</v>
      </c>
      <c r="T4">
        <v>1</v>
      </c>
      <c r="U4">
        <v>1</v>
      </c>
    </row>
    <row r="5" spans="1:21" x14ac:dyDescent="0.3">
      <c r="A5">
        <v>11</v>
      </c>
      <c r="B5">
        <v>3</v>
      </c>
      <c r="C5">
        <v>4</v>
      </c>
      <c r="D5">
        <v>7</v>
      </c>
      <c r="E5">
        <v>3</v>
      </c>
      <c r="F5" t="s">
        <v>27</v>
      </c>
      <c r="G5" t="s">
        <v>28</v>
      </c>
      <c r="H5">
        <v>923.48800000000006</v>
      </c>
      <c r="I5">
        <v>19</v>
      </c>
      <c r="J5">
        <v>16</v>
      </c>
      <c r="K5">
        <v>3</v>
      </c>
      <c r="L5">
        <v>11</v>
      </c>
      <c r="M5">
        <v>10</v>
      </c>
      <c r="N5">
        <v>1</v>
      </c>
      <c r="O5">
        <v>8</v>
      </c>
      <c r="P5">
        <v>6</v>
      </c>
      <c r="Q5">
        <v>2</v>
      </c>
      <c r="R5">
        <v>21</v>
      </c>
      <c r="S5">
        <v>16</v>
      </c>
      <c r="T5">
        <v>0</v>
      </c>
      <c r="U5">
        <v>0</v>
      </c>
    </row>
    <row r="6" spans="1:21" x14ac:dyDescent="0.3">
      <c r="A6">
        <v>13</v>
      </c>
      <c r="B6">
        <v>1</v>
      </c>
      <c r="C6">
        <v>3</v>
      </c>
      <c r="D6">
        <v>8</v>
      </c>
      <c r="E6">
        <v>0</v>
      </c>
      <c r="F6" t="s">
        <v>29</v>
      </c>
      <c r="G6" t="s">
        <v>30</v>
      </c>
      <c r="H6">
        <v>811.24</v>
      </c>
      <c r="I6">
        <v>9</v>
      </c>
      <c r="J6">
        <v>8</v>
      </c>
      <c r="K6">
        <v>1</v>
      </c>
      <c r="L6">
        <v>5</v>
      </c>
      <c r="M6">
        <v>5</v>
      </c>
      <c r="N6">
        <v>0</v>
      </c>
      <c r="O6">
        <v>4</v>
      </c>
      <c r="P6">
        <v>3</v>
      </c>
      <c r="Q6">
        <v>1</v>
      </c>
      <c r="R6">
        <v>15</v>
      </c>
      <c r="S6">
        <v>12</v>
      </c>
      <c r="T6">
        <v>1</v>
      </c>
      <c r="U6">
        <v>1</v>
      </c>
    </row>
    <row r="7" spans="1:21" x14ac:dyDescent="0.3">
      <c r="A7">
        <v>13</v>
      </c>
      <c r="B7">
        <v>3</v>
      </c>
      <c r="C7">
        <v>3</v>
      </c>
      <c r="D7">
        <v>7</v>
      </c>
      <c r="E7">
        <v>2</v>
      </c>
      <c r="F7" t="s">
        <v>31</v>
      </c>
      <c r="G7" t="s">
        <v>32</v>
      </c>
      <c r="H7">
        <v>1471.644</v>
      </c>
      <c r="I7">
        <v>20</v>
      </c>
      <c r="J7">
        <v>19</v>
      </c>
      <c r="K7">
        <v>1</v>
      </c>
      <c r="L7">
        <v>13</v>
      </c>
      <c r="M7">
        <v>13</v>
      </c>
      <c r="N7">
        <v>0</v>
      </c>
      <c r="O7">
        <v>7</v>
      </c>
      <c r="P7">
        <v>6</v>
      </c>
      <c r="Q7">
        <v>1</v>
      </c>
      <c r="R7">
        <v>24</v>
      </c>
      <c r="S7">
        <v>17</v>
      </c>
      <c r="T7">
        <v>1</v>
      </c>
      <c r="U7">
        <v>1</v>
      </c>
    </row>
    <row r="8" spans="1:21" x14ac:dyDescent="0.3">
      <c r="A8">
        <v>15</v>
      </c>
      <c r="B8">
        <v>1</v>
      </c>
      <c r="C8">
        <v>2</v>
      </c>
      <c r="D8">
        <v>5</v>
      </c>
      <c r="E8">
        <v>0</v>
      </c>
      <c r="F8" t="s">
        <v>33</v>
      </c>
      <c r="G8" t="s">
        <v>34</v>
      </c>
      <c r="H8">
        <v>1007.421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</v>
      </c>
      <c r="S8">
        <v>1</v>
      </c>
      <c r="T8">
        <v>2</v>
      </c>
      <c r="U8">
        <v>2</v>
      </c>
    </row>
    <row r="9" spans="1:21" x14ac:dyDescent="0.3">
      <c r="A9">
        <v>16</v>
      </c>
      <c r="B9">
        <v>1</v>
      </c>
      <c r="C9">
        <v>4</v>
      </c>
      <c r="D9">
        <v>8</v>
      </c>
      <c r="E9">
        <v>0</v>
      </c>
      <c r="F9" t="s">
        <v>35</v>
      </c>
      <c r="G9" t="s">
        <v>36</v>
      </c>
      <c r="H9">
        <v>1568.1389999999999</v>
      </c>
      <c r="I9">
        <v>8</v>
      </c>
      <c r="J9">
        <v>5</v>
      </c>
      <c r="K9">
        <v>3</v>
      </c>
      <c r="L9">
        <v>2</v>
      </c>
      <c r="M9">
        <v>2</v>
      </c>
      <c r="N9">
        <v>0</v>
      </c>
      <c r="O9">
        <v>6</v>
      </c>
      <c r="P9">
        <v>3</v>
      </c>
      <c r="Q9">
        <v>3</v>
      </c>
      <c r="R9">
        <v>17</v>
      </c>
      <c r="S9">
        <v>13</v>
      </c>
      <c r="T9">
        <v>2</v>
      </c>
      <c r="U9">
        <v>2</v>
      </c>
    </row>
    <row r="10" spans="1:21" x14ac:dyDescent="0.3">
      <c r="A10">
        <v>16</v>
      </c>
      <c r="B10">
        <v>3</v>
      </c>
      <c r="C10">
        <v>6</v>
      </c>
      <c r="D10">
        <v>9</v>
      </c>
      <c r="E10">
        <v>0</v>
      </c>
      <c r="F10" t="s">
        <v>37</v>
      </c>
      <c r="G10" t="s">
        <v>38</v>
      </c>
      <c r="H10">
        <v>2203.21</v>
      </c>
      <c r="I10">
        <v>21</v>
      </c>
      <c r="J10">
        <v>20</v>
      </c>
      <c r="K10">
        <v>1</v>
      </c>
      <c r="L10">
        <v>11</v>
      </c>
      <c r="M10">
        <v>11</v>
      </c>
      <c r="N10">
        <v>0</v>
      </c>
      <c r="O10">
        <v>10</v>
      </c>
      <c r="P10">
        <v>9</v>
      </c>
      <c r="Q10">
        <v>1</v>
      </c>
      <c r="R10">
        <v>24</v>
      </c>
      <c r="S10">
        <v>20</v>
      </c>
      <c r="T10">
        <v>4</v>
      </c>
      <c r="U10">
        <v>4</v>
      </c>
    </row>
    <row r="11" spans="1:21" x14ac:dyDescent="0.3">
      <c r="A11">
        <v>17</v>
      </c>
      <c r="B11">
        <v>1</v>
      </c>
      <c r="C11">
        <v>3</v>
      </c>
      <c r="D11">
        <v>12</v>
      </c>
      <c r="E11">
        <v>2</v>
      </c>
      <c r="F11" t="s">
        <v>39</v>
      </c>
      <c r="G11" t="s">
        <v>40</v>
      </c>
      <c r="H11">
        <v>1459.4010000000001</v>
      </c>
      <c r="I11">
        <v>28</v>
      </c>
      <c r="J11">
        <v>26</v>
      </c>
      <c r="K11">
        <v>2</v>
      </c>
      <c r="L11">
        <v>16</v>
      </c>
      <c r="M11">
        <v>16</v>
      </c>
      <c r="N11">
        <v>0</v>
      </c>
      <c r="O11">
        <v>12</v>
      </c>
      <c r="P11">
        <v>10</v>
      </c>
      <c r="Q11">
        <v>2</v>
      </c>
      <c r="R11">
        <v>23</v>
      </c>
      <c r="S11">
        <v>23</v>
      </c>
      <c r="T11">
        <v>0</v>
      </c>
      <c r="U11">
        <v>0</v>
      </c>
    </row>
    <row r="12" spans="1:21" x14ac:dyDescent="0.3">
      <c r="A12">
        <v>17</v>
      </c>
      <c r="B12">
        <v>3</v>
      </c>
      <c r="C12">
        <v>4</v>
      </c>
      <c r="D12">
        <v>7</v>
      </c>
      <c r="E12">
        <v>0</v>
      </c>
      <c r="F12" t="s">
        <v>41</v>
      </c>
      <c r="G12" t="s">
        <v>42</v>
      </c>
      <c r="H12">
        <v>1805.64</v>
      </c>
      <c r="I12">
        <v>16</v>
      </c>
      <c r="J12">
        <v>15</v>
      </c>
      <c r="K12">
        <v>1</v>
      </c>
      <c r="L12">
        <v>10</v>
      </c>
      <c r="M12">
        <v>10</v>
      </c>
      <c r="N12">
        <v>0</v>
      </c>
      <c r="O12">
        <v>6</v>
      </c>
      <c r="P12">
        <v>5</v>
      </c>
      <c r="Q12">
        <v>1</v>
      </c>
      <c r="R12">
        <v>23</v>
      </c>
      <c r="S12">
        <v>22</v>
      </c>
      <c r="T12">
        <v>1</v>
      </c>
      <c r="U12">
        <v>1</v>
      </c>
    </row>
    <row r="13" spans="1:21" x14ac:dyDescent="0.3">
      <c r="A13">
        <v>18</v>
      </c>
      <c r="B13">
        <v>1</v>
      </c>
      <c r="C13">
        <v>1</v>
      </c>
      <c r="D13">
        <v>6</v>
      </c>
      <c r="E13">
        <v>0</v>
      </c>
      <c r="F13" t="s">
        <v>43</v>
      </c>
      <c r="G13" t="s">
        <v>44</v>
      </c>
      <c r="H13">
        <v>830.96100000000001</v>
      </c>
      <c r="I13">
        <v>17</v>
      </c>
      <c r="J13">
        <v>13</v>
      </c>
      <c r="K13">
        <v>4</v>
      </c>
      <c r="L13">
        <v>7</v>
      </c>
      <c r="M13">
        <v>7</v>
      </c>
      <c r="N13">
        <v>0</v>
      </c>
      <c r="O13">
        <v>10</v>
      </c>
      <c r="P13">
        <v>6</v>
      </c>
      <c r="Q13">
        <v>4</v>
      </c>
      <c r="R13">
        <v>7</v>
      </c>
      <c r="S13">
        <v>2</v>
      </c>
      <c r="T13">
        <v>0</v>
      </c>
      <c r="U13">
        <v>0</v>
      </c>
    </row>
    <row r="14" spans="1:21" x14ac:dyDescent="0.3">
      <c r="A14">
        <v>18</v>
      </c>
      <c r="B14">
        <v>1</v>
      </c>
      <c r="C14">
        <v>3</v>
      </c>
      <c r="D14">
        <v>7</v>
      </c>
      <c r="E14">
        <v>3</v>
      </c>
      <c r="F14" t="s">
        <v>45</v>
      </c>
      <c r="G14" t="s">
        <v>46</v>
      </c>
      <c r="H14">
        <v>933.59699999999998</v>
      </c>
      <c r="I14">
        <v>15</v>
      </c>
      <c r="J14">
        <v>13</v>
      </c>
      <c r="K14">
        <v>2</v>
      </c>
      <c r="L14">
        <v>8</v>
      </c>
      <c r="M14">
        <v>8</v>
      </c>
      <c r="N14">
        <v>0</v>
      </c>
      <c r="O14">
        <v>7</v>
      </c>
      <c r="P14">
        <v>5</v>
      </c>
      <c r="Q14">
        <v>2</v>
      </c>
      <c r="R14">
        <v>20</v>
      </c>
      <c r="S14">
        <v>14</v>
      </c>
      <c r="T14">
        <v>0</v>
      </c>
      <c r="U14">
        <v>0</v>
      </c>
    </row>
    <row r="15" spans="1:21" x14ac:dyDescent="0.3">
      <c r="A15">
        <v>18</v>
      </c>
      <c r="B15">
        <v>3</v>
      </c>
      <c r="C15">
        <v>4</v>
      </c>
      <c r="D15">
        <v>8</v>
      </c>
      <c r="E15">
        <v>3</v>
      </c>
      <c r="F15" t="s">
        <v>47</v>
      </c>
      <c r="G15" t="s">
        <v>48</v>
      </c>
      <c r="H15">
        <v>2221.46</v>
      </c>
      <c r="I15">
        <v>24</v>
      </c>
      <c r="J15">
        <v>20</v>
      </c>
      <c r="K15">
        <v>4</v>
      </c>
      <c r="L15">
        <v>13</v>
      </c>
      <c r="M15">
        <v>12</v>
      </c>
      <c r="N15">
        <v>1</v>
      </c>
      <c r="O15">
        <v>11</v>
      </c>
      <c r="P15">
        <v>8</v>
      </c>
      <c r="Q15">
        <v>3</v>
      </c>
      <c r="R15">
        <v>22</v>
      </c>
      <c r="S15">
        <v>17</v>
      </c>
      <c r="T15">
        <v>0</v>
      </c>
      <c r="U15">
        <v>1</v>
      </c>
    </row>
    <row r="16" spans="1:21" x14ac:dyDescent="0.3">
      <c r="A16">
        <v>19</v>
      </c>
      <c r="B16">
        <v>1</v>
      </c>
      <c r="C16">
        <v>3</v>
      </c>
      <c r="D16">
        <v>8</v>
      </c>
      <c r="E16">
        <v>4</v>
      </c>
      <c r="F16" t="s">
        <v>49</v>
      </c>
      <c r="G16" t="s">
        <v>50</v>
      </c>
      <c r="H16">
        <v>1694.5319999999999</v>
      </c>
      <c r="I16">
        <v>48</v>
      </c>
      <c r="J16">
        <v>39</v>
      </c>
      <c r="K16">
        <v>9</v>
      </c>
      <c r="L16">
        <v>16</v>
      </c>
      <c r="M16">
        <v>14</v>
      </c>
      <c r="N16">
        <v>2</v>
      </c>
      <c r="O16">
        <v>32</v>
      </c>
      <c r="P16">
        <v>25</v>
      </c>
      <c r="Q16">
        <v>7</v>
      </c>
      <c r="R16">
        <v>27</v>
      </c>
      <c r="S16">
        <v>23</v>
      </c>
      <c r="T16">
        <v>0</v>
      </c>
      <c r="U16">
        <v>0</v>
      </c>
    </row>
    <row r="17" spans="1:21" x14ac:dyDescent="0.3">
      <c r="A17">
        <v>19</v>
      </c>
      <c r="B17">
        <v>3</v>
      </c>
      <c r="C17">
        <v>3</v>
      </c>
      <c r="D17">
        <v>5</v>
      </c>
      <c r="E17">
        <v>4</v>
      </c>
      <c r="F17" t="s">
        <v>51</v>
      </c>
      <c r="G17" t="s">
        <v>52</v>
      </c>
      <c r="H17">
        <v>1060.864</v>
      </c>
      <c r="I17">
        <v>27</v>
      </c>
      <c r="J17">
        <v>25</v>
      </c>
      <c r="K17">
        <v>2</v>
      </c>
      <c r="L17">
        <v>7</v>
      </c>
      <c r="M17">
        <v>7</v>
      </c>
      <c r="N17">
        <v>0</v>
      </c>
      <c r="O17">
        <v>20</v>
      </c>
      <c r="P17">
        <v>18</v>
      </c>
      <c r="Q17">
        <v>2</v>
      </c>
      <c r="R17">
        <v>16</v>
      </c>
      <c r="S17">
        <v>16</v>
      </c>
      <c r="T17">
        <v>0</v>
      </c>
      <c r="U17">
        <v>0</v>
      </c>
    </row>
    <row r="18" spans="1:21" x14ac:dyDescent="0.3">
      <c r="A18">
        <v>1</v>
      </c>
      <c r="B18">
        <v>2</v>
      </c>
      <c r="C18">
        <v>1</v>
      </c>
      <c r="D18">
        <v>1</v>
      </c>
      <c r="E18">
        <v>0</v>
      </c>
      <c r="F18" t="s">
        <v>53</v>
      </c>
      <c r="G18" t="s">
        <v>54</v>
      </c>
      <c r="H18">
        <v>430.90499999999997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</row>
    <row r="19" spans="1:21" x14ac:dyDescent="0.3">
      <c r="A19">
        <v>21</v>
      </c>
      <c r="B19">
        <v>1</v>
      </c>
      <c r="C19">
        <v>3</v>
      </c>
      <c r="D19">
        <v>10</v>
      </c>
      <c r="E19">
        <v>0</v>
      </c>
      <c r="F19" t="s">
        <v>55</v>
      </c>
      <c r="G19" t="s">
        <v>56</v>
      </c>
      <c r="H19">
        <v>1570.5830000000001</v>
      </c>
      <c r="I19">
        <v>31</v>
      </c>
      <c r="J19">
        <v>28</v>
      </c>
      <c r="K19">
        <v>3</v>
      </c>
      <c r="L19">
        <v>12</v>
      </c>
      <c r="M19">
        <v>12</v>
      </c>
      <c r="N19">
        <v>0</v>
      </c>
      <c r="O19">
        <v>19</v>
      </c>
      <c r="P19">
        <v>16</v>
      </c>
      <c r="Q19">
        <v>3</v>
      </c>
      <c r="R19">
        <v>28</v>
      </c>
      <c r="S19">
        <v>26</v>
      </c>
      <c r="T19">
        <v>0</v>
      </c>
      <c r="U19">
        <v>0</v>
      </c>
    </row>
    <row r="20" spans="1:21" x14ac:dyDescent="0.3">
      <c r="A20">
        <v>21</v>
      </c>
      <c r="B20">
        <v>3</v>
      </c>
      <c r="C20">
        <v>4</v>
      </c>
      <c r="D20">
        <v>18</v>
      </c>
      <c r="E20">
        <v>4</v>
      </c>
      <c r="F20" t="s">
        <v>57</v>
      </c>
      <c r="G20" t="s">
        <v>58</v>
      </c>
      <c r="H20">
        <v>2721.4940000000001</v>
      </c>
      <c r="I20">
        <v>55</v>
      </c>
      <c r="J20">
        <v>50</v>
      </c>
      <c r="K20">
        <v>5</v>
      </c>
      <c r="L20">
        <v>25</v>
      </c>
      <c r="M20">
        <v>24</v>
      </c>
      <c r="N20">
        <v>1</v>
      </c>
      <c r="O20">
        <v>30</v>
      </c>
      <c r="P20">
        <v>26</v>
      </c>
      <c r="Q20">
        <v>4</v>
      </c>
      <c r="R20">
        <v>53</v>
      </c>
      <c r="S20">
        <v>51</v>
      </c>
      <c r="T20">
        <v>0</v>
      </c>
      <c r="U20">
        <v>1</v>
      </c>
    </row>
    <row r="21" spans="1:21" x14ac:dyDescent="0.3">
      <c r="A21">
        <v>22</v>
      </c>
      <c r="B21">
        <v>1</v>
      </c>
      <c r="C21">
        <v>3</v>
      </c>
      <c r="D21">
        <v>8</v>
      </c>
      <c r="E21">
        <v>2</v>
      </c>
      <c r="F21" t="s">
        <v>59</v>
      </c>
      <c r="G21" t="s">
        <v>60</v>
      </c>
      <c r="H21">
        <v>1639.1410000000001</v>
      </c>
      <c r="I21">
        <v>19</v>
      </c>
      <c r="J21">
        <v>18</v>
      </c>
      <c r="K21">
        <v>1</v>
      </c>
      <c r="L21">
        <v>9</v>
      </c>
      <c r="M21">
        <v>9</v>
      </c>
      <c r="N21">
        <v>0</v>
      </c>
      <c r="O21">
        <v>10</v>
      </c>
      <c r="P21">
        <v>9</v>
      </c>
      <c r="Q21">
        <v>1</v>
      </c>
      <c r="R21">
        <v>22</v>
      </c>
      <c r="S21">
        <v>22</v>
      </c>
      <c r="T21">
        <v>0</v>
      </c>
      <c r="U21">
        <v>0</v>
      </c>
    </row>
    <row r="22" spans="1:21" x14ac:dyDescent="0.3">
      <c r="A22">
        <v>22</v>
      </c>
      <c r="B22">
        <v>3</v>
      </c>
      <c r="C22">
        <v>2</v>
      </c>
      <c r="D22">
        <v>13</v>
      </c>
      <c r="E22">
        <v>1</v>
      </c>
      <c r="F22" t="s">
        <v>61</v>
      </c>
      <c r="G22" t="s">
        <v>62</v>
      </c>
      <c r="H22">
        <v>3211.8409999999999</v>
      </c>
      <c r="I22">
        <v>44</v>
      </c>
      <c r="J22">
        <v>39</v>
      </c>
      <c r="K22">
        <v>5</v>
      </c>
      <c r="L22">
        <v>22</v>
      </c>
      <c r="M22">
        <v>22</v>
      </c>
      <c r="N22">
        <v>0</v>
      </c>
      <c r="O22">
        <v>22</v>
      </c>
      <c r="P22">
        <v>17</v>
      </c>
      <c r="Q22">
        <v>5</v>
      </c>
      <c r="R22">
        <v>37</v>
      </c>
      <c r="S22">
        <v>37</v>
      </c>
      <c r="T22">
        <v>0</v>
      </c>
      <c r="U22">
        <v>0</v>
      </c>
    </row>
    <row r="23" spans="1:21" x14ac:dyDescent="0.3">
      <c r="A23">
        <v>23</v>
      </c>
      <c r="B23">
        <v>1</v>
      </c>
      <c r="C23">
        <v>2</v>
      </c>
      <c r="D23">
        <v>12</v>
      </c>
      <c r="E23">
        <v>0</v>
      </c>
      <c r="F23" t="s">
        <v>63</v>
      </c>
      <c r="G23" t="s">
        <v>64</v>
      </c>
      <c r="H23">
        <v>1882.586</v>
      </c>
      <c r="I23">
        <v>14</v>
      </c>
      <c r="J23">
        <v>11</v>
      </c>
      <c r="K23">
        <v>3</v>
      </c>
      <c r="L23">
        <v>5</v>
      </c>
      <c r="M23">
        <v>4</v>
      </c>
      <c r="N23">
        <v>1</v>
      </c>
      <c r="O23">
        <v>9</v>
      </c>
      <c r="P23">
        <v>7</v>
      </c>
      <c r="Q23">
        <v>2</v>
      </c>
      <c r="R23">
        <v>25</v>
      </c>
      <c r="S23">
        <v>18</v>
      </c>
      <c r="T23">
        <v>0</v>
      </c>
      <c r="U23">
        <v>0</v>
      </c>
    </row>
    <row r="24" spans="1:21" x14ac:dyDescent="0.3">
      <c r="A24">
        <v>24</v>
      </c>
      <c r="B24">
        <v>1</v>
      </c>
      <c r="C24">
        <v>2</v>
      </c>
      <c r="D24">
        <v>6</v>
      </c>
      <c r="E24">
        <v>0</v>
      </c>
      <c r="F24" t="s">
        <v>65</v>
      </c>
      <c r="G24" t="s">
        <v>66</v>
      </c>
      <c r="H24">
        <v>1136.1980000000001</v>
      </c>
      <c r="I24">
        <v>8</v>
      </c>
      <c r="J24">
        <v>4</v>
      </c>
      <c r="K24">
        <v>4</v>
      </c>
      <c r="L24">
        <v>3</v>
      </c>
      <c r="M24">
        <v>2</v>
      </c>
      <c r="N24">
        <v>1</v>
      </c>
      <c r="O24">
        <v>5</v>
      </c>
      <c r="P24">
        <v>2</v>
      </c>
      <c r="Q24">
        <v>3</v>
      </c>
      <c r="R24">
        <v>10</v>
      </c>
      <c r="S24">
        <v>4</v>
      </c>
      <c r="T24">
        <v>3</v>
      </c>
      <c r="U24">
        <v>4</v>
      </c>
    </row>
    <row r="25" spans="1:21" x14ac:dyDescent="0.3">
      <c r="A25">
        <v>24</v>
      </c>
      <c r="B25">
        <v>3</v>
      </c>
      <c r="C25">
        <v>3</v>
      </c>
      <c r="D25">
        <v>12</v>
      </c>
      <c r="E25">
        <v>2</v>
      </c>
      <c r="F25" t="s">
        <v>67</v>
      </c>
      <c r="G25" t="s">
        <v>68</v>
      </c>
      <c r="H25">
        <v>2976.799</v>
      </c>
      <c r="I25">
        <v>43</v>
      </c>
      <c r="J25">
        <v>33</v>
      </c>
      <c r="K25">
        <v>10</v>
      </c>
      <c r="L25">
        <v>18</v>
      </c>
      <c r="M25">
        <v>17</v>
      </c>
      <c r="N25">
        <v>1</v>
      </c>
      <c r="O25">
        <v>25</v>
      </c>
      <c r="P25">
        <v>16</v>
      </c>
      <c r="Q25">
        <v>9</v>
      </c>
      <c r="R25">
        <v>35</v>
      </c>
      <c r="S25">
        <v>21</v>
      </c>
      <c r="T25">
        <v>0</v>
      </c>
      <c r="U25">
        <v>0</v>
      </c>
    </row>
    <row r="26" spans="1:21" x14ac:dyDescent="0.3">
      <c r="A26">
        <v>25</v>
      </c>
      <c r="B26">
        <v>1</v>
      </c>
      <c r="C26">
        <v>3</v>
      </c>
      <c r="D26">
        <v>9</v>
      </c>
      <c r="E26">
        <v>0</v>
      </c>
      <c r="F26" t="s">
        <v>69</v>
      </c>
      <c r="G26" t="s">
        <v>70</v>
      </c>
      <c r="H26">
        <v>1595.1990000000001</v>
      </c>
      <c r="I26">
        <v>20</v>
      </c>
      <c r="J26">
        <v>19</v>
      </c>
      <c r="K26">
        <v>1</v>
      </c>
      <c r="L26">
        <v>11</v>
      </c>
      <c r="M26">
        <v>11</v>
      </c>
      <c r="N26">
        <v>0</v>
      </c>
      <c r="O26">
        <v>9</v>
      </c>
      <c r="P26">
        <v>8</v>
      </c>
      <c r="Q26">
        <v>1</v>
      </c>
      <c r="R26">
        <v>20</v>
      </c>
      <c r="S26">
        <v>10</v>
      </c>
      <c r="T26">
        <v>1</v>
      </c>
      <c r="U26">
        <v>1</v>
      </c>
    </row>
    <row r="27" spans="1:21" x14ac:dyDescent="0.3">
      <c r="A27">
        <v>25</v>
      </c>
      <c r="B27">
        <v>3</v>
      </c>
      <c r="C27">
        <v>3</v>
      </c>
      <c r="D27">
        <v>16</v>
      </c>
      <c r="E27">
        <v>0</v>
      </c>
      <c r="F27" t="s">
        <v>71</v>
      </c>
      <c r="G27" t="s">
        <v>72</v>
      </c>
      <c r="H27">
        <v>-14507.376</v>
      </c>
      <c r="I27">
        <v>48</v>
      </c>
      <c r="J27">
        <v>42</v>
      </c>
      <c r="K27">
        <v>6</v>
      </c>
      <c r="L27">
        <v>30</v>
      </c>
      <c r="M27">
        <v>30</v>
      </c>
      <c r="N27">
        <v>0</v>
      </c>
      <c r="O27">
        <v>18</v>
      </c>
      <c r="P27">
        <v>12</v>
      </c>
      <c r="Q27">
        <v>6</v>
      </c>
      <c r="R27">
        <v>54</v>
      </c>
      <c r="S27">
        <v>33</v>
      </c>
      <c r="T27">
        <v>0</v>
      </c>
      <c r="U27">
        <v>0</v>
      </c>
    </row>
    <row r="28" spans="1:21" x14ac:dyDescent="0.3">
      <c r="A28">
        <v>26</v>
      </c>
      <c r="B28">
        <v>1</v>
      </c>
      <c r="C28">
        <v>2</v>
      </c>
      <c r="D28">
        <v>7</v>
      </c>
      <c r="E28">
        <v>0</v>
      </c>
      <c r="F28" t="s">
        <v>73</v>
      </c>
      <c r="G28" t="s">
        <v>74</v>
      </c>
      <c r="H28">
        <v>1721.7370000000001</v>
      </c>
      <c r="I28">
        <v>6</v>
      </c>
      <c r="J28">
        <v>6</v>
      </c>
      <c r="K28">
        <v>0</v>
      </c>
      <c r="L28">
        <v>3</v>
      </c>
      <c r="M28">
        <v>3</v>
      </c>
      <c r="N28">
        <v>0</v>
      </c>
      <c r="O28">
        <v>3</v>
      </c>
      <c r="P28">
        <v>3</v>
      </c>
      <c r="Q28">
        <v>0</v>
      </c>
      <c r="R28">
        <v>12</v>
      </c>
      <c r="S28">
        <v>10</v>
      </c>
      <c r="T28">
        <v>2</v>
      </c>
      <c r="U28">
        <v>2</v>
      </c>
    </row>
    <row r="29" spans="1:21" x14ac:dyDescent="0.3">
      <c r="A29">
        <v>26</v>
      </c>
      <c r="B29">
        <v>3</v>
      </c>
      <c r="C29">
        <v>3</v>
      </c>
      <c r="D29">
        <v>16</v>
      </c>
      <c r="E29">
        <v>0</v>
      </c>
      <c r="F29" t="s">
        <v>75</v>
      </c>
      <c r="G29" t="s">
        <v>76</v>
      </c>
      <c r="H29">
        <v>2568.2379999999998</v>
      </c>
      <c r="I29">
        <v>28</v>
      </c>
      <c r="J29">
        <v>21</v>
      </c>
      <c r="K29">
        <v>7</v>
      </c>
      <c r="L29">
        <v>15</v>
      </c>
      <c r="M29">
        <v>15</v>
      </c>
      <c r="N29">
        <v>0</v>
      </c>
      <c r="O29">
        <v>13</v>
      </c>
      <c r="P29">
        <v>6</v>
      </c>
      <c r="Q29">
        <v>7</v>
      </c>
      <c r="R29">
        <v>30</v>
      </c>
      <c r="S29">
        <v>28</v>
      </c>
      <c r="T29">
        <v>2</v>
      </c>
      <c r="U29">
        <v>2</v>
      </c>
    </row>
    <row r="30" spans="1:21" x14ac:dyDescent="0.3">
      <c r="A30">
        <v>27</v>
      </c>
      <c r="B30">
        <v>1</v>
      </c>
      <c r="C30">
        <v>2</v>
      </c>
      <c r="D30">
        <v>6</v>
      </c>
      <c r="E30">
        <v>0</v>
      </c>
      <c r="F30" t="s">
        <v>77</v>
      </c>
      <c r="G30" t="s">
        <v>78</v>
      </c>
      <c r="H30">
        <v>924.42499999999995</v>
      </c>
      <c r="I30">
        <v>10</v>
      </c>
      <c r="J30">
        <v>6</v>
      </c>
      <c r="K30">
        <v>4</v>
      </c>
      <c r="L30">
        <v>6</v>
      </c>
      <c r="M30">
        <v>6</v>
      </c>
      <c r="N30">
        <v>0</v>
      </c>
      <c r="O30">
        <v>4</v>
      </c>
      <c r="P30">
        <v>0</v>
      </c>
      <c r="Q30">
        <v>4</v>
      </c>
      <c r="R30">
        <v>16</v>
      </c>
      <c r="S30">
        <v>13</v>
      </c>
      <c r="T30">
        <v>0</v>
      </c>
      <c r="U30">
        <v>0</v>
      </c>
    </row>
    <row r="31" spans="1:21" x14ac:dyDescent="0.3">
      <c r="A31">
        <v>27</v>
      </c>
      <c r="B31">
        <v>3</v>
      </c>
      <c r="C31">
        <v>5</v>
      </c>
      <c r="D31">
        <v>19</v>
      </c>
      <c r="E31">
        <v>0</v>
      </c>
      <c r="F31" t="s">
        <v>79</v>
      </c>
      <c r="G31" t="s">
        <v>80</v>
      </c>
      <c r="H31">
        <v>2739.4659999999999</v>
      </c>
      <c r="I31">
        <v>24</v>
      </c>
      <c r="J31">
        <v>18</v>
      </c>
      <c r="K31">
        <v>6</v>
      </c>
      <c r="L31">
        <v>18</v>
      </c>
      <c r="M31">
        <v>17</v>
      </c>
      <c r="N31">
        <v>1</v>
      </c>
      <c r="O31">
        <v>6</v>
      </c>
      <c r="P31">
        <v>1</v>
      </c>
      <c r="Q31">
        <v>5</v>
      </c>
      <c r="R31">
        <v>45</v>
      </c>
      <c r="S31">
        <v>25</v>
      </c>
      <c r="T31">
        <v>3</v>
      </c>
      <c r="U31">
        <v>3</v>
      </c>
    </row>
    <row r="32" spans="1:21" x14ac:dyDescent="0.3">
      <c r="A32">
        <v>2</v>
      </c>
      <c r="B32">
        <v>1</v>
      </c>
      <c r="C32">
        <v>2</v>
      </c>
      <c r="D32">
        <v>11</v>
      </c>
      <c r="E32">
        <v>1</v>
      </c>
      <c r="F32" t="s">
        <v>81</v>
      </c>
      <c r="G32" t="s">
        <v>82</v>
      </c>
      <c r="H32">
        <v>2110.4520000000002</v>
      </c>
      <c r="I32">
        <v>24</v>
      </c>
      <c r="J32">
        <v>21</v>
      </c>
      <c r="K32">
        <v>3</v>
      </c>
      <c r="L32">
        <v>13</v>
      </c>
      <c r="M32">
        <v>13</v>
      </c>
      <c r="N32">
        <v>0</v>
      </c>
      <c r="O32">
        <v>11</v>
      </c>
      <c r="P32">
        <v>8</v>
      </c>
      <c r="Q32">
        <v>3</v>
      </c>
      <c r="R32">
        <v>27</v>
      </c>
      <c r="S32">
        <v>20</v>
      </c>
      <c r="T32">
        <v>1</v>
      </c>
      <c r="U32">
        <v>1</v>
      </c>
    </row>
    <row r="33" spans="1:21" x14ac:dyDescent="0.3">
      <c r="A33">
        <v>30</v>
      </c>
      <c r="B33">
        <v>1</v>
      </c>
      <c r="C33">
        <v>3</v>
      </c>
      <c r="D33">
        <v>9</v>
      </c>
      <c r="E33">
        <v>3</v>
      </c>
      <c r="F33" t="s">
        <v>83</v>
      </c>
      <c r="G33" t="s">
        <v>84</v>
      </c>
      <c r="H33">
        <v>1783.269</v>
      </c>
      <c r="I33">
        <v>38</v>
      </c>
      <c r="J33">
        <v>30</v>
      </c>
      <c r="K33">
        <v>8</v>
      </c>
      <c r="L33">
        <v>14</v>
      </c>
      <c r="M33">
        <v>14</v>
      </c>
      <c r="N33">
        <v>0</v>
      </c>
      <c r="O33">
        <v>24</v>
      </c>
      <c r="P33">
        <v>16</v>
      </c>
      <c r="Q33">
        <v>8</v>
      </c>
      <c r="R33">
        <v>23</v>
      </c>
      <c r="S33">
        <v>16</v>
      </c>
      <c r="T33">
        <v>0</v>
      </c>
      <c r="U33">
        <v>0</v>
      </c>
    </row>
    <row r="34" spans="1:21" x14ac:dyDescent="0.3">
      <c r="A34">
        <v>30</v>
      </c>
      <c r="B34">
        <v>3</v>
      </c>
      <c r="C34">
        <v>5</v>
      </c>
      <c r="D34">
        <v>13</v>
      </c>
      <c r="E34">
        <v>4</v>
      </c>
      <c r="F34" t="s">
        <v>85</v>
      </c>
      <c r="G34" t="s">
        <v>86</v>
      </c>
      <c r="H34">
        <v>2483.3719999999998</v>
      </c>
      <c r="I34">
        <v>56</v>
      </c>
      <c r="J34">
        <v>43</v>
      </c>
      <c r="K34">
        <v>13</v>
      </c>
      <c r="L34">
        <v>22</v>
      </c>
      <c r="M34">
        <v>20</v>
      </c>
      <c r="N34">
        <v>2</v>
      </c>
      <c r="O34">
        <v>34</v>
      </c>
      <c r="P34">
        <v>23</v>
      </c>
      <c r="Q34">
        <v>11</v>
      </c>
      <c r="R34">
        <v>32</v>
      </c>
      <c r="S34">
        <v>27</v>
      </c>
      <c r="T34">
        <v>1</v>
      </c>
      <c r="U34">
        <v>2</v>
      </c>
    </row>
    <row r="35" spans="1:21" x14ac:dyDescent="0.3">
      <c r="A35">
        <v>31</v>
      </c>
      <c r="B35">
        <v>1</v>
      </c>
      <c r="C35">
        <v>2</v>
      </c>
      <c r="D35">
        <v>11</v>
      </c>
      <c r="E35">
        <v>0</v>
      </c>
      <c r="F35" t="s">
        <v>87</v>
      </c>
      <c r="G35" t="s">
        <v>88</v>
      </c>
      <c r="H35">
        <v>1807.5719999999999</v>
      </c>
      <c r="I35">
        <v>13</v>
      </c>
      <c r="J35">
        <v>12</v>
      </c>
      <c r="K35">
        <v>1</v>
      </c>
      <c r="L35">
        <v>7</v>
      </c>
      <c r="M35">
        <v>7</v>
      </c>
      <c r="N35">
        <v>0</v>
      </c>
      <c r="O35">
        <v>6</v>
      </c>
      <c r="P35">
        <v>5</v>
      </c>
      <c r="Q35">
        <v>1</v>
      </c>
      <c r="R35">
        <v>22</v>
      </c>
      <c r="S35">
        <v>11</v>
      </c>
      <c r="T35">
        <v>3</v>
      </c>
      <c r="U35">
        <v>3</v>
      </c>
    </row>
    <row r="36" spans="1:21" x14ac:dyDescent="0.3">
      <c r="A36">
        <v>31</v>
      </c>
      <c r="B36">
        <v>3</v>
      </c>
      <c r="C36">
        <v>2</v>
      </c>
      <c r="D36">
        <v>23</v>
      </c>
      <c r="E36">
        <v>0</v>
      </c>
      <c r="F36" t="s">
        <v>89</v>
      </c>
      <c r="G36" t="s">
        <v>90</v>
      </c>
      <c r="H36">
        <v>3250.85</v>
      </c>
      <c r="I36">
        <v>37</v>
      </c>
      <c r="J36">
        <v>31</v>
      </c>
      <c r="K36">
        <v>6</v>
      </c>
      <c r="L36">
        <v>20</v>
      </c>
      <c r="M36">
        <v>20</v>
      </c>
      <c r="N36">
        <v>0</v>
      </c>
      <c r="O36">
        <v>17</v>
      </c>
      <c r="P36">
        <v>11</v>
      </c>
      <c r="Q36">
        <v>6</v>
      </c>
      <c r="R36">
        <v>60</v>
      </c>
      <c r="S36">
        <v>36</v>
      </c>
      <c r="T36">
        <v>3</v>
      </c>
      <c r="U36">
        <v>3</v>
      </c>
    </row>
    <row r="37" spans="1:21" x14ac:dyDescent="0.3">
      <c r="A37">
        <v>32</v>
      </c>
      <c r="B37">
        <v>1</v>
      </c>
      <c r="C37">
        <v>2</v>
      </c>
      <c r="D37">
        <v>14</v>
      </c>
      <c r="E37">
        <v>2</v>
      </c>
      <c r="F37" t="s">
        <v>91</v>
      </c>
      <c r="G37" t="s">
        <v>92</v>
      </c>
      <c r="H37">
        <v>1931.99</v>
      </c>
      <c r="I37">
        <v>41</v>
      </c>
      <c r="J37">
        <v>37</v>
      </c>
      <c r="K37">
        <v>4</v>
      </c>
      <c r="L37">
        <v>23</v>
      </c>
      <c r="M37">
        <v>22</v>
      </c>
      <c r="N37">
        <v>1</v>
      </c>
      <c r="O37">
        <v>18</v>
      </c>
      <c r="P37">
        <v>15</v>
      </c>
      <c r="Q37">
        <v>3</v>
      </c>
      <c r="R37">
        <v>31</v>
      </c>
      <c r="S37">
        <v>18</v>
      </c>
      <c r="T37">
        <v>1</v>
      </c>
      <c r="U37">
        <v>1</v>
      </c>
    </row>
    <row r="38" spans="1:21" x14ac:dyDescent="0.3">
      <c r="A38">
        <v>32</v>
      </c>
      <c r="B38">
        <v>3</v>
      </c>
      <c r="C38">
        <v>3</v>
      </c>
      <c r="D38">
        <v>5</v>
      </c>
      <c r="E38">
        <v>3</v>
      </c>
      <c r="F38" t="s">
        <v>93</v>
      </c>
      <c r="G38" t="s">
        <v>94</v>
      </c>
      <c r="H38">
        <v>781.06899999999996</v>
      </c>
      <c r="I38">
        <v>21</v>
      </c>
      <c r="J38">
        <v>19</v>
      </c>
      <c r="K38">
        <v>2</v>
      </c>
      <c r="L38">
        <v>10</v>
      </c>
      <c r="M38">
        <v>9</v>
      </c>
      <c r="N38">
        <v>1</v>
      </c>
      <c r="O38">
        <v>11</v>
      </c>
      <c r="P38">
        <v>10</v>
      </c>
      <c r="Q38">
        <v>1</v>
      </c>
      <c r="R38">
        <v>15</v>
      </c>
      <c r="S38">
        <v>10</v>
      </c>
      <c r="T38">
        <v>0</v>
      </c>
      <c r="U38">
        <v>0</v>
      </c>
    </row>
    <row r="39" spans="1:21" x14ac:dyDescent="0.3">
      <c r="A39">
        <v>33</v>
      </c>
      <c r="B39">
        <v>1</v>
      </c>
      <c r="C39">
        <v>1</v>
      </c>
      <c r="D39">
        <v>6</v>
      </c>
      <c r="E39">
        <v>0</v>
      </c>
      <c r="F39" t="s">
        <v>95</v>
      </c>
      <c r="G39" t="s">
        <v>96</v>
      </c>
      <c r="H39">
        <v>1462.616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5</v>
      </c>
      <c r="S39">
        <v>5</v>
      </c>
      <c r="T39">
        <v>0</v>
      </c>
      <c r="U39">
        <v>0</v>
      </c>
    </row>
    <row r="40" spans="1:21" x14ac:dyDescent="0.3">
      <c r="A40">
        <v>34</v>
      </c>
      <c r="B40">
        <v>1</v>
      </c>
      <c r="C40">
        <v>3</v>
      </c>
      <c r="D40">
        <v>14</v>
      </c>
      <c r="E40">
        <v>0</v>
      </c>
      <c r="F40" t="s">
        <v>97</v>
      </c>
      <c r="G40" t="s">
        <v>98</v>
      </c>
      <c r="H40">
        <v>1267.6220000000001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13</v>
      </c>
      <c r="S40">
        <v>7</v>
      </c>
      <c r="T40">
        <v>0</v>
      </c>
      <c r="U40">
        <v>0</v>
      </c>
    </row>
    <row r="41" spans="1:21" x14ac:dyDescent="0.3">
      <c r="A41">
        <v>35</v>
      </c>
      <c r="B41">
        <v>1</v>
      </c>
      <c r="C41">
        <v>4</v>
      </c>
      <c r="D41">
        <v>10</v>
      </c>
      <c r="E41">
        <v>0</v>
      </c>
      <c r="F41" t="s">
        <v>99</v>
      </c>
      <c r="G41" t="s">
        <v>100</v>
      </c>
      <c r="H41">
        <v>1885.146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14</v>
      </c>
      <c r="S41">
        <v>6</v>
      </c>
      <c r="T41">
        <v>4</v>
      </c>
      <c r="U41">
        <v>4</v>
      </c>
    </row>
    <row r="42" spans="1:21" x14ac:dyDescent="0.3">
      <c r="A42">
        <v>35</v>
      </c>
      <c r="B42">
        <v>3</v>
      </c>
      <c r="C42">
        <v>6</v>
      </c>
      <c r="D42">
        <v>15</v>
      </c>
      <c r="E42">
        <v>0</v>
      </c>
      <c r="F42" t="s">
        <v>101</v>
      </c>
      <c r="G42" t="s">
        <v>102</v>
      </c>
      <c r="H42">
        <v>3121.1120000000001</v>
      </c>
      <c r="I42">
        <v>31</v>
      </c>
      <c r="J42">
        <v>26</v>
      </c>
      <c r="K42">
        <v>5</v>
      </c>
      <c r="L42">
        <v>16</v>
      </c>
      <c r="M42">
        <v>15</v>
      </c>
      <c r="N42">
        <v>1</v>
      </c>
      <c r="O42">
        <v>15</v>
      </c>
      <c r="P42">
        <v>11</v>
      </c>
      <c r="Q42">
        <v>4</v>
      </c>
      <c r="R42">
        <v>36</v>
      </c>
      <c r="S42">
        <v>18</v>
      </c>
      <c r="T42">
        <v>2</v>
      </c>
      <c r="U42">
        <v>2</v>
      </c>
    </row>
    <row r="43" spans="1:21" x14ac:dyDescent="0.3">
      <c r="A43">
        <v>37</v>
      </c>
      <c r="B43">
        <v>1</v>
      </c>
      <c r="C43">
        <v>6</v>
      </c>
      <c r="D43">
        <v>10</v>
      </c>
      <c r="E43">
        <v>1</v>
      </c>
      <c r="F43" t="s">
        <v>103</v>
      </c>
      <c r="G43" t="s">
        <v>104</v>
      </c>
      <c r="H43">
        <v>1967.492</v>
      </c>
      <c r="I43">
        <v>26</v>
      </c>
      <c r="J43">
        <v>21</v>
      </c>
      <c r="K43">
        <v>5</v>
      </c>
      <c r="L43">
        <v>15</v>
      </c>
      <c r="M43">
        <v>14</v>
      </c>
      <c r="N43">
        <v>1</v>
      </c>
      <c r="O43">
        <v>11</v>
      </c>
      <c r="P43">
        <v>7</v>
      </c>
      <c r="Q43">
        <v>4</v>
      </c>
      <c r="R43">
        <v>29</v>
      </c>
      <c r="S43">
        <v>20</v>
      </c>
      <c r="T43">
        <v>0</v>
      </c>
      <c r="U43">
        <v>1</v>
      </c>
    </row>
    <row r="44" spans="1:21" x14ac:dyDescent="0.3">
      <c r="A44">
        <v>37</v>
      </c>
      <c r="B44">
        <v>3</v>
      </c>
      <c r="C44">
        <v>5</v>
      </c>
      <c r="D44">
        <v>7</v>
      </c>
      <c r="E44">
        <v>1</v>
      </c>
      <c r="F44" t="s">
        <v>105</v>
      </c>
      <c r="G44" t="s">
        <v>106</v>
      </c>
      <c r="H44">
        <v>1566.9590000000001</v>
      </c>
      <c r="I44">
        <v>28</v>
      </c>
      <c r="J44">
        <v>27</v>
      </c>
      <c r="K44">
        <v>1</v>
      </c>
      <c r="L44">
        <v>14</v>
      </c>
      <c r="M44">
        <v>14</v>
      </c>
      <c r="N44">
        <v>0</v>
      </c>
      <c r="O44">
        <v>14</v>
      </c>
      <c r="P44">
        <v>13</v>
      </c>
      <c r="Q44">
        <v>1</v>
      </c>
      <c r="R44">
        <v>22</v>
      </c>
      <c r="S44">
        <v>15</v>
      </c>
      <c r="T44">
        <v>2</v>
      </c>
      <c r="U44">
        <v>2</v>
      </c>
    </row>
    <row r="45" spans="1:21" x14ac:dyDescent="0.3">
      <c r="A45">
        <v>3</v>
      </c>
      <c r="B45">
        <v>1</v>
      </c>
      <c r="C45">
        <v>1</v>
      </c>
      <c r="D45">
        <v>1</v>
      </c>
      <c r="E45">
        <v>0</v>
      </c>
      <c r="F45" t="s">
        <v>107</v>
      </c>
      <c r="G45" t="s">
        <v>108</v>
      </c>
      <c r="H45">
        <v>7.0000000000000001E-3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>
        <v>3</v>
      </c>
      <c r="B46">
        <v>1</v>
      </c>
      <c r="C46">
        <v>1</v>
      </c>
      <c r="D46">
        <v>3</v>
      </c>
      <c r="E46">
        <v>0</v>
      </c>
      <c r="F46" t="s">
        <v>109</v>
      </c>
      <c r="G46" t="s">
        <v>110</v>
      </c>
      <c r="H46">
        <v>379.57600000000002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</row>
    <row r="47" spans="1:21" x14ac:dyDescent="0.3">
      <c r="A47">
        <v>41</v>
      </c>
      <c r="B47">
        <v>1</v>
      </c>
      <c r="C47">
        <v>4</v>
      </c>
      <c r="D47">
        <v>8</v>
      </c>
      <c r="E47">
        <v>1</v>
      </c>
      <c r="F47" t="s">
        <v>111</v>
      </c>
      <c r="G47" t="s">
        <v>112</v>
      </c>
      <c r="H47">
        <v>1186.057</v>
      </c>
      <c r="I47">
        <v>21</v>
      </c>
      <c r="J47">
        <v>17</v>
      </c>
      <c r="K47">
        <v>4</v>
      </c>
      <c r="L47">
        <v>12</v>
      </c>
      <c r="M47">
        <v>12</v>
      </c>
      <c r="N47">
        <v>0</v>
      </c>
      <c r="O47">
        <v>9</v>
      </c>
      <c r="P47">
        <v>5</v>
      </c>
      <c r="Q47">
        <v>4</v>
      </c>
      <c r="R47">
        <v>22</v>
      </c>
      <c r="S47">
        <v>14</v>
      </c>
      <c r="T47">
        <v>1</v>
      </c>
      <c r="U47">
        <v>1</v>
      </c>
    </row>
    <row r="48" spans="1:21" x14ac:dyDescent="0.3">
      <c r="A48">
        <v>42</v>
      </c>
      <c r="B48">
        <v>1</v>
      </c>
      <c r="C48">
        <v>3</v>
      </c>
      <c r="D48">
        <v>6</v>
      </c>
      <c r="E48">
        <v>0</v>
      </c>
      <c r="F48" t="s">
        <v>113</v>
      </c>
      <c r="G48" t="s">
        <v>114</v>
      </c>
      <c r="H48">
        <v>1128.722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8</v>
      </c>
      <c r="S48">
        <v>4</v>
      </c>
      <c r="T48">
        <v>2</v>
      </c>
      <c r="U48">
        <v>2</v>
      </c>
    </row>
    <row r="49" spans="1:21" x14ac:dyDescent="0.3">
      <c r="A49">
        <v>43</v>
      </c>
      <c r="B49">
        <v>1</v>
      </c>
      <c r="C49">
        <v>1</v>
      </c>
      <c r="D49">
        <v>10</v>
      </c>
      <c r="E49">
        <v>0</v>
      </c>
      <c r="F49" t="s">
        <v>115</v>
      </c>
      <c r="G49" t="s">
        <v>116</v>
      </c>
      <c r="H49">
        <v>1324.854</v>
      </c>
      <c r="I49">
        <v>18</v>
      </c>
      <c r="J49">
        <v>16</v>
      </c>
      <c r="K49">
        <v>2</v>
      </c>
      <c r="L49">
        <v>9</v>
      </c>
      <c r="M49">
        <v>9</v>
      </c>
      <c r="N49">
        <v>0</v>
      </c>
      <c r="O49">
        <v>9</v>
      </c>
      <c r="P49">
        <v>7</v>
      </c>
      <c r="Q49">
        <v>2</v>
      </c>
      <c r="R49">
        <v>20</v>
      </c>
      <c r="S49">
        <v>11</v>
      </c>
      <c r="T49">
        <v>0</v>
      </c>
      <c r="U49">
        <v>0</v>
      </c>
    </row>
    <row r="50" spans="1:21" x14ac:dyDescent="0.3">
      <c r="A50">
        <v>43</v>
      </c>
      <c r="B50">
        <v>5</v>
      </c>
      <c r="C50">
        <v>3</v>
      </c>
      <c r="D50">
        <v>7</v>
      </c>
      <c r="E50">
        <v>1</v>
      </c>
      <c r="F50" t="s">
        <v>117</v>
      </c>
      <c r="G50" t="s">
        <v>118</v>
      </c>
      <c r="H50">
        <v>1245.463</v>
      </c>
      <c r="I50">
        <v>33</v>
      </c>
      <c r="J50">
        <v>26</v>
      </c>
      <c r="K50">
        <v>7</v>
      </c>
      <c r="L50">
        <v>10</v>
      </c>
      <c r="M50">
        <v>10</v>
      </c>
      <c r="N50">
        <v>0</v>
      </c>
      <c r="O50">
        <v>23</v>
      </c>
      <c r="P50">
        <v>16</v>
      </c>
      <c r="Q50">
        <v>7</v>
      </c>
      <c r="R50">
        <v>21</v>
      </c>
      <c r="S50">
        <v>13</v>
      </c>
      <c r="T50">
        <v>2</v>
      </c>
      <c r="U50">
        <v>2</v>
      </c>
    </row>
    <row r="51" spans="1:21" x14ac:dyDescent="0.3">
      <c r="A51">
        <v>44</v>
      </c>
      <c r="B51">
        <v>1</v>
      </c>
      <c r="C51">
        <v>2</v>
      </c>
      <c r="D51">
        <v>4</v>
      </c>
      <c r="E51">
        <v>0</v>
      </c>
      <c r="F51" t="s">
        <v>119</v>
      </c>
      <c r="G51" t="s">
        <v>120</v>
      </c>
      <c r="H51">
        <v>744.75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</v>
      </c>
      <c r="S51">
        <v>4</v>
      </c>
      <c r="T51">
        <v>1</v>
      </c>
      <c r="U51">
        <v>1</v>
      </c>
    </row>
    <row r="52" spans="1:21" x14ac:dyDescent="0.3">
      <c r="A52">
        <v>45</v>
      </c>
      <c r="B52">
        <v>1</v>
      </c>
      <c r="C52">
        <v>2</v>
      </c>
      <c r="D52">
        <v>5</v>
      </c>
      <c r="E52">
        <v>1</v>
      </c>
      <c r="F52" t="s">
        <v>121</v>
      </c>
      <c r="G52" t="s">
        <v>122</v>
      </c>
      <c r="H52">
        <v>1124.6210000000001</v>
      </c>
      <c r="I52">
        <v>7</v>
      </c>
      <c r="J52">
        <v>4</v>
      </c>
      <c r="K52">
        <v>3</v>
      </c>
      <c r="L52">
        <v>4</v>
      </c>
      <c r="M52">
        <v>2</v>
      </c>
      <c r="N52">
        <v>2</v>
      </c>
      <c r="O52">
        <v>3</v>
      </c>
      <c r="P52">
        <v>2</v>
      </c>
      <c r="Q52">
        <v>1</v>
      </c>
      <c r="R52">
        <v>10</v>
      </c>
      <c r="S52">
        <v>5</v>
      </c>
      <c r="T52">
        <v>3</v>
      </c>
      <c r="U52">
        <v>5</v>
      </c>
    </row>
    <row r="53" spans="1:21" x14ac:dyDescent="0.3">
      <c r="A53">
        <v>45</v>
      </c>
      <c r="B53">
        <v>3</v>
      </c>
      <c r="C53">
        <v>3</v>
      </c>
      <c r="D53">
        <v>8</v>
      </c>
      <c r="E53">
        <v>3</v>
      </c>
      <c r="F53" t="s">
        <v>123</v>
      </c>
      <c r="G53" t="s">
        <v>124</v>
      </c>
      <c r="H53">
        <v>2983.34</v>
      </c>
      <c r="I53">
        <v>30</v>
      </c>
      <c r="J53">
        <v>27</v>
      </c>
      <c r="K53">
        <v>3</v>
      </c>
      <c r="L53">
        <v>16</v>
      </c>
      <c r="M53">
        <v>15</v>
      </c>
      <c r="N53">
        <v>1</v>
      </c>
      <c r="O53">
        <v>14</v>
      </c>
      <c r="P53">
        <v>12</v>
      </c>
      <c r="Q53">
        <v>2</v>
      </c>
      <c r="R53">
        <v>32</v>
      </c>
      <c r="S53">
        <v>17</v>
      </c>
      <c r="T53">
        <v>5</v>
      </c>
      <c r="U53">
        <v>6</v>
      </c>
    </row>
    <row r="54" spans="1:21" x14ac:dyDescent="0.3">
      <c r="A54">
        <v>46</v>
      </c>
      <c r="B54">
        <v>1</v>
      </c>
      <c r="C54">
        <v>3</v>
      </c>
      <c r="D54">
        <v>5</v>
      </c>
      <c r="E54">
        <v>0</v>
      </c>
      <c r="F54" t="s">
        <v>125</v>
      </c>
      <c r="G54" t="s">
        <v>126</v>
      </c>
      <c r="H54">
        <v>791.346</v>
      </c>
      <c r="I54">
        <v>4</v>
      </c>
      <c r="J54">
        <v>3</v>
      </c>
      <c r="K54">
        <v>1</v>
      </c>
      <c r="L54">
        <v>2</v>
      </c>
      <c r="M54">
        <v>2</v>
      </c>
      <c r="N54">
        <v>0</v>
      </c>
      <c r="O54">
        <v>2</v>
      </c>
      <c r="P54">
        <v>1</v>
      </c>
      <c r="Q54">
        <v>1</v>
      </c>
      <c r="R54">
        <v>7</v>
      </c>
      <c r="S54">
        <v>3</v>
      </c>
      <c r="T54">
        <v>2</v>
      </c>
      <c r="U54">
        <v>2</v>
      </c>
    </row>
    <row r="55" spans="1:21" x14ac:dyDescent="0.3">
      <c r="A55">
        <v>47</v>
      </c>
      <c r="B55">
        <v>1</v>
      </c>
      <c r="C55">
        <v>1</v>
      </c>
      <c r="D55">
        <v>3</v>
      </c>
      <c r="E55">
        <v>0</v>
      </c>
      <c r="F55" t="s">
        <v>127</v>
      </c>
      <c r="G55" t="s">
        <v>128</v>
      </c>
      <c r="H55">
        <v>302.63299999999998</v>
      </c>
      <c r="I55">
        <v>1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3</v>
      </c>
      <c r="S55">
        <v>1</v>
      </c>
      <c r="T55">
        <v>0</v>
      </c>
      <c r="U55">
        <v>0</v>
      </c>
    </row>
    <row r="56" spans="1:21" x14ac:dyDescent="0.3">
      <c r="A56">
        <v>47</v>
      </c>
      <c r="B56">
        <v>3</v>
      </c>
      <c r="C56">
        <v>3</v>
      </c>
      <c r="D56">
        <v>26</v>
      </c>
      <c r="E56">
        <v>1</v>
      </c>
      <c r="F56" t="s">
        <v>129</v>
      </c>
      <c r="G56" t="s">
        <v>130</v>
      </c>
      <c r="H56">
        <v>3785.3609999999999</v>
      </c>
      <c r="I56">
        <v>32</v>
      </c>
      <c r="J56">
        <v>16</v>
      </c>
      <c r="K56">
        <v>16</v>
      </c>
      <c r="L56">
        <v>21</v>
      </c>
      <c r="M56">
        <v>10</v>
      </c>
      <c r="N56">
        <v>11</v>
      </c>
      <c r="O56">
        <v>11</v>
      </c>
      <c r="P56">
        <v>6</v>
      </c>
      <c r="Q56">
        <v>5</v>
      </c>
      <c r="R56">
        <v>46</v>
      </c>
      <c r="S56">
        <v>30</v>
      </c>
      <c r="T56">
        <v>4</v>
      </c>
      <c r="U56">
        <v>7</v>
      </c>
    </row>
    <row r="57" spans="1:21" x14ac:dyDescent="0.3">
      <c r="A57">
        <v>48</v>
      </c>
      <c r="B57">
        <v>1</v>
      </c>
      <c r="C57">
        <v>6</v>
      </c>
      <c r="D57">
        <v>12</v>
      </c>
      <c r="E57">
        <v>1</v>
      </c>
      <c r="F57" t="s">
        <v>131</v>
      </c>
      <c r="G57" t="s">
        <v>132</v>
      </c>
      <c r="H57">
        <v>2002.558</v>
      </c>
      <c r="I57">
        <v>17</v>
      </c>
      <c r="J57">
        <v>16</v>
      </c>
      <c r="K57">
        <v>1</v>
      </c>
      <c r="L57">
        <v>8</v>
      </c>
      <c r="M57">
        <v>8</v>
      </c>
      <c r="N57">
        <v>0</v>
      </c>
      <c r="O57">
        <v>9</v>
      </c>
      <c r="P57">
        <v>8</v>
      </c>
      <c r="Q57">
        <v>1</v>
      </c>
      <c r="R57">
        <v>24</v>
      </c>
      <c r="S57">
        <v>13</v>
      </c>
      <c r="T57">
        <v>2</v>
      </c>
      <c r="U57">
        <v>2</v>
      </c>
    </row>
    <row r="58" spans="1:21" x14ac:dyDescent="0.3">
      <c r="A58">
        <v>4</v>
      </c>
      <c r="B58">
        <v>3</v>
      </c>
      <c r="C58">
        <v>3</v>
      </c>
      <c r="D58">
        <v>15</v>
      </c>
      <c r="E58">
        <v>1</v>
      </c>
      <c r="F58" t="s">
        <v>133</v>
      </c>
      <c r="G58" t="s">
        <v>134</v>
      </c>
      <c r="H58">
        <v>4101.415</v>
      </c>
      <c r="I58">
        <v>61</v>
      </c>
      <c r="J58">
        <v>51</v>
      </c>
      <c r="K58">
        <v>10</v>
      </c>
      <c r="L58">
        <v>22</v>
      </c>
      <c r="M58">
        <v>21</v>
      </c>
      <c r="N58">
        <v>1</v>
      </c>
      <c r="O58">
        <v>39</v>
      </c>
      <c r="P58">
        <v>30</v>
      </c>
      <c r="Q58">
        <v>9</v>
      </c>
      <c r="R58">
        <v>46</v>
      </c>
      <c r="S58">
        <v>36</v>
      </c>
      <c r="T58">
        <v>0</v>
      </c>
      <c r="U58">
        <v>0</v>
      </c>
    </row>
    <row r="59" spans="1:21" x14ac:dyDescent="0.3">
      <c r="A59">
        <v>50</v>
      </c>
      <c r="B59">
        <v>1</v>
      </c>
      <c r="C59">
        <v>4</v>
      </c>
      <c r="D59">
        <v>12</v>
      </c>
      <c r="E59">
        <v>1</v>
      </c>
      <c r="F59" t="s">
        <v>135</v>
      </c>
      <c r="G59" t="s">
        <v>136</v>
      </c>
      <c r="H59">
        <v>1904.759</v>
      </c>
      <c r="I59">
        <v>35</v>
      </c>
      <c r="J59">
        <v>20</v>
      </c>
      <c r="K59">
        <v>15</v>
      </c>
      <c r="L59">
        <v>9</v>
      </c>
      <c r="M59">
        <v>9</v>
      </c>
      <c r="N59">
        <v>0</v>
      </c>
      <c r="O59">
        <v>26</v>
      </c>
      <c r="P59">
        <v>11</v>
      </c>
      <c r="Q59">
        <v>15</v>
      </c>
      <c r="R59">
        <v>20</v>
      </c>
      <c r="S59">
        <v>18</v>
      </c>
      <c r="T59">
        <v>0</v>
      </c>
      <c r="U59">
        <v>0</v>
      </c>
    </row>
    <row r="60" spans="1:21" x14ac:dyDescent="0.3">
      <c r="A60">
        <v>51</v>
      </c>
      <c r="B60">
        <v>1</v>
      </c>
      <c r="C60">
        <v>3</v>
      </c>
      <c r="D60">
        <v>5</v>
      </c>
      <c r="E60">
        <v>4</v>
      </c>
      <c r="F60" t="s">
        <v>137</v>
      </c>
      <c r="G60" t="s">
        <v>138</v>
      </c>
      <c r="H60">
        <v>1371.93</v>
      </c>
      <c r="I60">
        <v>24</v>
      </c>
      <c r="J60">
        <v>22</v>
      </c>
      <c r="K60">
        <v>2</v>
      </c>
      <c r="L60">
        <v>10</v>
      </c>
      <c r="M60">
        <v>9</v>
      </c>
      <c r="N60">
        <v>1</v>
      </c>
      <c r="O60">
        <v>14</v>
      </c>
      <c r="P60">
        <v>13</v>
      </c>
      <c r="Q60">
        <v>1</v>
      </c>
      <c r="R60">
        <v>20</v>
      </c>
      <c r="S60">
        <v>12</v>
      </c>
      <c r="T60">
        <v>0</v>
      </c>
      <c r="U60">
        <v>0</v>
      </c>
    </row>
    <row r="61" spans="1:21" x14ac:dyDescent="0.3">
      <c r="A61">
        <v>51</v>
      </c>
      <c r="B61">
        <v>3</v>
      </c>
      <c r="C61">
        <v>3</v>
      </c>
      <c r="D61">
        <v>6</v>
      </c>
      <c r="E61">
        <v>3</v>
      </c>
      <c r="F61" t="s">
        <v>139</v>
      </c>
      <c r="G61" t="s">
        <v>140</v>
      </c>
      <c r="H61">
        <v>1040.058</v>
      </c>
      <c r="I61">
        <v>32</v>
      </c>
      <c r="J61">
        <v>29</v>
      </c>
      <c r="K61">
        <v>3</v>
      </c>
      <c r="L61">
        <v>10</v>
      </c>
      <c r="M61">
        <v>10</v>
      </c>
      <c r="N61">
        <v>0</v>
      </c>
      <c r="O61">
        <v>22</v>
      </c>
      <c r="P61">
        <v>19</v>
      </c>
      <c r="Q61">
        <v>3</v>
      </c>
      <c r="R61">
        <v>24</v>
      </c>
      <c r="S61">
        <v>17</v>
      </c>
      <c r="T61">
        <v>1</v>
      </c>
      <c r="U61">
        <v>1</v>
      </c>
    </row>
    <row r="62" spans="1:21" x14ac:dyDescent="0.3">
      <c r="A62">
        <v>52</v>
      </c>
      <c r="B62">
        <v>1</v>
      </c>
      <c r="C62">
        <v>1</v>
      </c>
      <c r="D62">
        <v>10</v>
      </c>
      <c r="E62">
        <v>0</v>
      </c>
      <c r="F62" t="s">
        <v>141</v>
      </c>
      <c r="G62" t="s">
        <v>142</v>
      </c>
      <c r="H62">
        <v>1945.4490000000001</v>
      </c>
      <c r="I62">
        <v>15</v>
      </c>
      <c r="J62">
        <v>13</v>
      </c>
      <c r="K62">
        <v>2</v>
      </c>
      <c r="L62">
        <v>7</v>
      </c>
      <c r="M62">
        <v>7</v>
      </c>
      <c r="N62">
        <v>0</v>
      </c>
      <c r="O62">
        <v>8</v>
      </c>
      <c r="P62">
        <v>6</v>
      </c>
      <c r="Q62">
        <v>2</v>
      </c>
      <c r="R62">
        <v>19</v>
      </c>
      <c r="S62">
        <v>18</v>
      </c>
      <c r="T62">
        <v>0</v>
      </c>
      <c r="U62">
        <v>0</v>
      </c>
    </row>
    <row r="63" spans="1:21" x14ac:dyDescent="0.3">
      <c r="A63">
        <v>53</v>
      </c>
      <c r="B63">
        <v>3</v>
      </c>
      <c r="C63">
        <v>3</v>
      </c>
      <c r="D63">
        <v>8</v>
      </c>
      <c r="E63">
        <v>3</v>
      </c>
      <c r="F63" t="s">
        <v>143</v>
      </c>
      <c r="G63" t="s">
        <v>144</v>
      </c>
      <c r="H63">
        <v>2758.1469999999999</v>
      </c>
      <c r="I63">
        <v>28</v>
      </c>
      <c r="J63">
        <v>25</v>
      </c>
      <c r="K63">
        <v>3</v>
      </c>
      <c r="L63">
        <v>15</v>
      </c>
      <c r="M63">
        <v>15</v>
      </c>
      <c r="N63">
        <v>0</v>
      </c>
      <c r="O63">
        <v>13</v>
      </c>
      <c r="P63">
        <v>10</v>
      </c>
      <c r="Q63">
        <v>3</v>
      </c>
      <c r="R63">
        <v>32</v>
      </c>
      <c r="S63">
        <v>32</v>
      </c>
      <c r="T63">
        <v>0</v>
      </c>
      <c r="U63">
        <v>0</v>
      </c>
    </row>
    <row r="64" spans="1:21" x14ac:dyDescent="0.3">
      <c r="A64">
        <v>5</v>
      </c>
      <c r="B64">
        <v>1</v>
      </c>
      <c r="C64">
        <v>2</v>
      </c>
      <c r="D64">
        <v>7</v>
      </c>
      <c r="E64">
        <v>0</v>
      </c>
      <c r="F64" t="s">
        <v>145</v>
      </c>
      <c r="G64" t="s">
        <v>146</v>
      </c>
      <c r="H64">
        <v>4857.0079999999998</v>
      </c>
      <c r="I64">
        <v>16</v>
      </c>
      <c r="J64">
        <v>9</v>
      </c>
      <c r="K64">
        <v>7</v>
      </c>
      <c r="L64">
        <v>8</v>
      </c>
      <c r="M64">
        <v>8</v>
      </c>
      <c r="N64">
        <v>0</v>
      </c>
      <c r="O64">
        <v>8</v>
      </c>
      <c r="P64">
        <v>1</v>
      </c>
      <c r="Q64">
        <v>7</v>
      </c>
      <c r="R64">
        <v>22</v>
      </c>
      <c r="S64">
        <v>14</v>
      </c>
      <c r="T64">
        <v>3</v>
      </c>
      <c r="U64">
        <v>3</v>
      </c>
    </row>
    <row r="65" spans="1:21" x14ac:dyDescent="0.3">
      <c r="A65">
        <v>65</v>
      </c>
      <c r="B65">
        <v>1</v>
      </c>
      <c r="C65">
        <v>1</v>
      </c>
      <c r="D65">
        <v>1</v>
      </c>
      <c r="E65">
        <v>1</v>
      </c>
      <c r="F65" t="s">
        <v>147</v>
      </c>
      <c r="G65" t="s">
        <v>148</v>
      </c>
      <c r="H65">
        <v>136.624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3</v>
      </c>
      <c r="S65">
        <v>3</v>
      </c>
      <c r="T65">
        <v>0</v>
      </c>
      <c r="U65">
        <v>0</v>
      </c>
    </row>
    <row r="66" spans="1:21" x14ac:dyDescent="0.3">
      <c r="A66">
        <v>6</v>
      </c>
      <c r="B66">
        <v>1</v>
      </c>
      <c r="C66">
        <v>1</v>
      </c>
      <c r="D66">
        <v>11</v>
      </c>
      <c r="E66">
        <v>0</v>
      </c>
      <c r="F66" t="s">
        <v>149</v>
      </c>
      <c r="G66" t="s">
        <v>150</v>
      </c>
      <c r="H66">
        <v>1212.942</v>
      </c>
      <c r="I66">
        <v>8</v>
      </c>
      <c r="J66">
        <v>6</v>
      </c>
      <c r="K66">
        <v>2</v>
      </c>
      <c r="L66">
        <v>4</v>
      </c>
      <c r="M66">
        <v>4</v>
      </c>
      <c r="N66">
        <v>0</v>
      </c>
      <c r="O66">
        <v>4</v>
      </c>
      <c r="P66">
        <v>2</v>
      </c>
      <c r="Q66">
        <v>2</v>
      </c>
      <c r="R66">
        <v>15</v>
      </c>
      <c r="S66">
        <v>9</v>
      </c>
      <c r="T66">
        <v>0</v>
      </c>
      <c r="U66">
        <v>0</v>
      </c>
    </row>
    <row r="67" spans="1:21" x14ac:dyDescent="0.3">
      <c r="A67">
        <v>6</v>
      </c>
      <c r="B67">
        <v>2</v>
      </c>
      <c r="C67">
        <v>2</v>
      </c>
      <c r="D67">
        <v>4</v>
      </c>
      <c r="E67">
        <v>2</v>
      </c>
      <c r="F67" t="s">
        <v>151</v>
      </c>
      <c r="G67" t="s">
        <v>152</v>
      </c>
      <c r="H67">
        <v>585.04700000000003</v>
      </c>
      <c r="I67">
        <v>13</v>
      </c>
      <c r="J67">
        <v>12</v>
      </c>
      <c r="K67">
        <v>1</v>
      </c>
      <c r="L67">
        <v>8</v>
      </c>
      <c r="M67">
        <v>8</v>
      </c>
      <c r="N67">
        <v>0</v>
      </c>
      <c r="O67">
        <v>5</v>
      </c>
      <c r="P67">
        <v>4</v>
      </c>
      <c r="Q67">
        <v>1</v>
      </c>
      <c r="R67">
        <v>12</v>
      </c>
      <c r="S67">
        <v>7</v>
      </c>
      <c r="T67">
        <v>1</v>
      </c>
      <c r="U67">
        <v>1</v>
      </c>
    </row>
    <row r="68" spans="1:21" x14ac:dyDescent="0.3">
      <c r="A68">
        <v>6</v>
      </c>
      <c r="B68">
        <v>3</v>
      </c>
      <c r="C68">
        <v>5</v>
      </c>
      <c r="D68">
        <v>9</v>
      </c>
      <c r="E68">
        <v>3</v>
      </c>
      <c r="F68" t="s">
        <v>153</v>
      </c>
      <c r="G68" t="s">
        <v>154</v>
      </c>
      <c r="H68">
        <v>1203.318</v>
      </c>
      <c r="I68">
        <v>27</v>
      </c>
      <c r="J68">
        <v>26</v>
      </c>
      <c r="K68">
        <v>1</v>
      </c>
      <c r="L68">
        <v>14</v>
      </c>
      <c r="M68">
        <v>14</v>
      </c>
      <c r="N68">
        <v>0</v>
      </c>
      <c r="O68">
        <v>13</v>
      </c>
      <c r="P68">
        <v>12</v>
      </c>
      <c r="Q68">
        <v>1</v>
      </c>
      <c r="R68">
        <v>28</v>
      </c>
      <c r="S68">
        <v>19</v>
      </c>
      <c r="T68">
        <v>0</v>
      </c>
      <c r="U68">
        <v>0</v>
      </c>
    </row>
    <row r="69" spans="1:21" x14ac:dyDescent="0.3">
      <c r="A69">
        <v>7</v>
      </c>
      <c r="B69">
        <v>1</v>
      </c>
      <c r="C69">
        <v>4</v>
      </c>
      <c r="D69">
        <v>7</v>
      </c>
      <c r="E69">
        <v>0</v>
      </c>
      <c r="F69" t="s">
        <v>155</v>
      </c>
      <c r="G69" t="s">
        <v>156</v>
      </c>
      <c r="H69">
        <v>919.29399999999998</v>
      </c>
      <c r="I69">
        <v>3</v>
      </c>
      <c r="J69">
        <v>2</v>
      </c>
      <c r="K69">
        <v>1</v>
      </c>
      <c r="L69">
        <v>2</v>
      </c>
      <c r="M69">
        <v>1</v>
      </c>
      <c r="N69">
        <v>1</v>
      </c>
      <c r="O69">
        <v>1</v>
      </c>
      <c r="P69">
        <v>1</v>
      </c>
      <c r="Q69">
        <v>0</v>
      </c>
      <c r="R69">
        <v>9</v>
      </c>
      <c r="S69">
        <v>7</v>
      </c>
      <c r="T69">
        <v>0</v>
      </c>
      <c r="U69">
        <v>1</v>
      </c>
    </row>
    <row r="70" spans="1:21" x14ac:dyDescent="0.3">
      <c r="A70">
        <v>7</v>
      </c>
      <c r="B70">
        <v>2</v>
      </c>
      <c r="C70">
        <v>1</v>
      </c>
      <c r="D70">
        <v>1</v>
      </c>
      <c r="E70">
        <v>0</v>
      </c>
      <c r="F70" t="s">
        <v>157</v>
      </c>
      <c r="G70" t="s">
        <v>158</v>
      </c>
      <c r="H70">
        <v>33.176000000000002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>
        <v>7</v>
      </c>
      <c r="B71">
        <v>3</v>
      </c>
      <c r="C71">
        <v>3</v>
      </c>
      <c r="D71">
        <v>9</v>
      </c>
      <c r="E71">
        <v>0</v>
      </c>
      <c r="F71" t="s">
        <v>159</v>
      </c>
      <c r="G71" t="s">
        <v>160</v>
      </c>
      <c r="H71">
        <v>1650.8009999999999</v>
      </c>
      <c r="I71">
        <v>29</v>
      </c>
      <c r="J71">
        <v>22</v>
      </c>
      <c r="K71">
        <v>7</v>
      </c>
      <c r="L71">
        <v>14</v>
      </c>
      <c r="M71">
        <v>13</v>
      </c>
      <c r="N71">
        <v>1</v>
      </c>
      <c r="O71">
        <v>15</v>
      </c>
      <c r="P71">
        <v>9</v>
      </c>
      <c r="Q71">
        <v>6</v>
      </c>
      <c r="R71">
        <v>17</v>
      </c>
      <c r="S71">
        <v>17</v>
      </c>
      <c r="T71">
        <v>0</v>
      </c>
      <c r="U71">
        <v>0</v>
      </c>
    </row>
    <row r="72" spans="1:21" x14ac:dyDescent="0.3">
      <c r="A72">
        <v>8</v>
      </c>
      <c r="B72">
        <v>1</v>
      </c>
      <c r="C72">
        <v>2</v>
      </c>
      <c r="D72">
        <v>5</v>
      </c>
      <c r="E72">
        <v>0</v>
      </c>
      <c r="F72" t="s">
        <v>161</v>
      </c>
      <c r="G72" t="s">
        <v>162</v>
      </c>
      <c r="H72">
        <v>979.68100000000004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7</v>
      </c>
      <c r="S72">
        <v>2</v>
      </c>
      <c r="T72">
        <v>0</v>
      </c>
      <c r="U72">
        <v>0</v>
      </c>
    </row>
    <row r="73" spans="1:21" x14ac:dyDescent="0.3">
      <c r="A73">
        <v>8</v>
      </c>
      <c r="B73">
        <v>2</v>
      </c>
      <c r="C73">
        <v>1</v>
      </c>
      <c r="D73">
        <v>8</v>
      </c>
      <c r="E73">
        <v>0</v>
      </c>
      <c r="F73" t="s">
        <v>163</v>
      </c>
      <c r="G73" t="s">
        <v>164</v>
      </c>
      <c r="H73">
        <v>1146.846</v>
      </c>
      <c r="I73">
        <v>7</v>
      </c>
      <c r="J73">
        <v>5</v>
      </c>
      <c r="K73">
        <v>2</v>
      </c>
      <c r="L73">
        <v>5</v>
      </c>
      <c r="M73">
        <v>4</v>
      </c>
      <c r="N73">
        <v>1</v>
      </c>
      <c r="O73">
        <v>2</v>
      </c>
      <c r="P73">
        <v>1</v>
      </c>
      <c r="Q73">
        <v>1</v>
      </c>
      <c r="R73">
        <v>12</v>
      </c>
      <c r="S73">
        <v>9</v>
      </c>
      <c r="T73">
        <v>0</v>
      </c>
      <c r="U73">
        <v>0</v>
      </c>
    </row>
    <row r="74" spans="1:21" x14ac:dyDescent="0.3">
      <c r="A74">
        <v>8</v>
      </c>
      <c r="B74">
        <v>3</v>
      </c>
      <c r="C74">
        <v>1</v>
      </c>
      <c r="D74">
        <v>13</v>
      </c>
      <c r="E74">
        <v>0</v>
      </c>
      <c r="F74" t="s">
        <v>165</v>
      </c>
      <c r="G74" t="s">
        <v>166</v>
      </c>
      <c r="H74">
        <v>2677.895</v>
      </c>
      <c r="I74">
        <v>25</v>
      </c>
      <c r="J74">
        <v>19</v>
      </c>
      <c r="K74">
        <v>6</v>
      </c>
      <c r="L74">
        <v>13</v>
      </c>
      <c r="M74">
        <v>12</v>
      </c>
      <c r="N74">
        <v>1</v>
      </c>
      <c r="O74">
        <v>12</v>
      </c>
      <c r="P74">
        <v>7</v>
      </c>
      <c r="Q74">
        <v>5</v>
      </c>
      <c r="R74">
        <v>36</v>
      </c>
      <c r="S74">
        <v>25</v>
      </c>
      <c r="T74">
        <v>2</v>
      </c>
      <c r="U74">
        <v>2</v>
      </c>
    </row>
    <row r="75" spans="1:21" x14ac:dyDescent="0.3">
      <c r="A75">
        <v>9</v>
      </c>
      <c r="B75">
        <v>1</v>
      </c>
      <c r="C75">
        <v>3</v>
      </c>
      <c r="D75">
        <v>13</v>
      </c>
      <c r="E75">
        <v>4</v>
      </c>
      <c r="F75" t="s">
        <v>167</v>
      </c>
      <c r="G75" t="s">
        <v>168</v>
      </c>
      <c r="H75">
        <v>2086.569</v>
      </c>
      <c r="I75">
        <v>23</v>
      </c>
      <c r="J75">
        <v>21</v>
      </c>
      <c r="K75">
        <v>2</v>
      </c>
      <c r="L75">
        <v>12</v>
      </c>
      <c r="M75">
        <v>12</v>
      </c>
      <c r="N75">
        <v>0</v>
      </c>
      <c r="O75">
        <v>11</v>
      </c>
      <c r="P75">
        <v>9</v>
      </c>
      <c r="Q75">
        <v>2</v>
      </c>
      <c r="R75">
        <v>34</v>
      </c>
      <c r="S75">
        <v>22</v>
      </c>
      <c r="T75">
        <v>0</v>
      </c>
      <c r="U75">
        <v>0</v>
      </c>
    </row>
    <row r="76" spans="1:21" x14ac:dyDescent="0.3">
      <c r="A76">
        <v>9</v>
      </c>
      <c r="B76">
        <v>3</v>
      </c>
      <c r="C76">
        <v>3</v>
      </c>
      <c r="D76">
        <v>10</v>
      </c>
      <c r="E76">
        <v>3</v>
      </c>
      <c r="F76" t="s">
        <v>169</v>
      </c>
      <c r="G76" t="s">
        <v>170</v>
      </c>
      <c r="H76">
        <v>1740.5429999999999</v>
      </c>
      <c r="I76">
        <v>35</v>
      </c>
      <c r="J76">
        <v>27</v>
      </c>
      <c r="K76">
        <v>8</v>
      </c>
      <c r="L76">
        <v>17</v>
      </c>
      <c r="M76">
        <v>17</v>
      </c>
      <c r="N76">
        <v>0</v>
      </c>
      <c r="O76">
        <v>18</v>
      </c>
      <c r="P76">
        <v>10</v>
      </c>
      <c r="Q76">
        <v>8</v>
      </c>
      <c r="R76">
        <v>36</v>
      </c>
      <c r="S76">
        <v>26</v>
      </c>
      <c r="T76">
        <v>0</v>
      </c>
      <c r="U76">
        <v>0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1E7D-EAFC-4A2F-AF1A-E8C144B15E47}">
  <dimension ref="A1:AB9"/>
  <sheetViews>
    <sheetView tabSelected="1" workbookViewId="0">
      <selection activeCell="J13" sqref="J13"/>
    </sheetView>
  </sheetViews>
  <sheetFormatPr baseColWidth="10" defaultRowHeight="14.4" x14ac:dyDescent="0.3"/>
  <cols>
    <col min="3" max="3" width="11.88671875" bestFit="1" customWidth="1"/>
    <col min="9" max="9" width="11.6640625" customWidth="1"/>
  </cols>
  <sheetData>
    <row r="1" spans="1:28" x14ac:dyDescent="0.3">
      <c r="A1" t="s">
        <v>1</v>
      </c>
      <c r="B1" t="s">
        <v>171</v>
      </c>
      <c r="C1" t="s">
        <v>174</v>
      </c>
      <c r="D1" t="s">
        <v>175</v>
      </c>
      <c r="E1" t="s">
        <v>176</v>
      </c>
      <c r="F1" t="s">
        <v>177</v>
      </c>
      <c r="G1" t="s">
        <v>172</v>
      </c>
      <c r="H1" t="s">
        <v>173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  <c r="T1" t="s">
        <v>189</v>
      </c>
      <c r="U1" t="s">
        <v>190</v>
      </c>
      <c r="V1" t="s">
        <v>191</v>
      </c>
      <c r="W1" t="s">
        <v>192</v>
      </c>
      <c r="X1" t="s">
        <v>193</v>
      </c>
      <c r="Y1" t="s">
        <v>194</v>
      </c>
      <c r="Z1" t="s">
        <v>195</v>
      </c>
      <c r="AA1" t="s">
        <v>196</v>
      </c>
      <c r="AB1" t="s">
        <v>197</v>
      </c>
    </row>
    <row r="2" spans="1:28" x14ac:dyDescent="0.3">
      <c r="A2">
        <v>1</v>
      </c>
      <c r="B2">
        <f>COUNTIF(data[Sesion],A2)</f>
        <v>43</v>
      </c>
      <c r="C2">
        <f>AVERAGEIF(data[Sesion],A2,data[Pasos planificados])</f>
        <v>14.13953488372093</v>
      </c>
      <c r="D2" cm="1">
        <f t="array" ref="D2">_xlfn.STDEV.P(IF(data[Sesion]=A2,data[Pasos planificados]))</f>
        <v>12.474311082900297</v>
      </c>
      <c r="E2">
        <f>AVERAGEIF(data[Sesion],A2,data[Pasos ejecutados])</f>
        <v>11.651162790697674</v>
      </c>
      <c r="F2" cm="1">
        <f t="array" ref="F2">_xlfn.STDEV.P(IF(data[Sesion]=A2,data[Pasos ejecutados]))</f>
        <v>10.573955984377166</v>
      </c>
      <c r="G2">
        <f>AVERAGEIF(data[Sesion],A2,data[Errores ejecucion])</f>
        <v>2.4883720930232558</v>
      </c>
      <c r="H2" cm="1">
        <f t="array" ref="H2">_xlfn.STDEV.P(IF(data[Sesion]=A2,data[Errores ejecucion]))</f>
        <v>2.9044640303173401</v>
      </c>
      <c r="I2">
        <f>AVERAGEIF(data[Sesion],A2,data[Num dormir planificado])</f>
        <v>6.7209302325581399</v>
      </c>
      <c r="J2" cm="1">
        <f t="array" ref="J2">_xlfn.STDEV.P(IF(data[Sesion]=A2,data[Num dormir planificado]))</f>
        <v>5.7032246341601036</v>
      </c>
      <c r="K2">
        <f>AVERAGEIF(data[Sesion],A2,data[Correctos dormir])</f>
        <v>6.441860465116279</v>
      </c>
      <c r="L2" cm="1">
        <f t="array" ref="L2">_xlfn.STDEV.P(IF(data[Sesion]=A2,data[Correctos dormir]))</f>
        <v>5.5543920420937338</v>
      </c>
      <c r="M2">
        <f>AVERAGEIF(data[Sesion],A2,data[Errores dormir])</f>
        <v>0.27906976744186046</v>
      </c>
      <c r="N2" cm="1">
        <f t="array" ref="N2">_xlfn.STDEV.P(IF(data[Sesion]=A2,data[Errores dormir]))</f>
        <v>0.54241412975305114</v>
      </c>
      <c r="O2">
        <f>AVERAGEIF(data[Sesion],A2,data[Num ubicacion planificado])</f>
        <v>7.4186046511627906</v>
      </c>
      <c r="P2" cm="1">
        <f t="array" ref="P2">_xlfn.STDEV.P(IF(data[Sesion]=A2,data[Num ubicacion planificado]))</f>
        <v>7.4466554319888516</v>
      </c>
      <c r="Q2">
        <f>AVERAGEIF(data[Sesion],A2,data[Correctos ubicacion])</f>
        <v>5.2093023255813957</v>
      </c>
      <c r="R2" cm="1">
        <f t="array" ref="R2">_xlfn.STDEV.P(IF(data[Sesion]=A2,data[Correctos ubicacion]))</f>
        <v>5.5888516086892199</v>
      </c>
      <c r="S2">
        <f>AVERAGEIF(data[Sesion],A2,data[Errores ubicacion])</f>
        <v>2.2093023255813953</v>
      </c>
      <c r="T2" cm="1">
        <f t="array" ref="T2">_xlfn.STDEV.P(IF(data[Sesion]=A2,data[Errores ubicacion]))</f>
        <v>2.791666498497233</v>
      </c>
      <c r="U2">
        <f>AVERAGEIF(data[Sesion],A2,data[Paradas posibles])</f>
        <v>16.325581395348838</v>
      </c>
      <c r="V2" cm="1">
        <f t="array" ref="V2">_xlfn.STDEV.P(IF(data[Sesion]=A2,data[Paradas posibles]))</f>
        <v>8.8678172512470237</v>
      </c>
      <c r="W2">
        <f>AVERAGEIF(data[Sesion],A2,data[Paradas realizadas])</f>
        <v>11.13953488372093</v>
      </c>
      <c r="X2" cm="1">
        <f t="array" ref="X2">_xlfn.STDEV.P(IF(data[Sesion]=A2,data[Paradas realizadas]))</f>
        <v>7.2258624506532003</v>
      </c>
      <c r="Y2">
        <f>AVERAGEIF(data[Sesion],A2,data[Errores parada por tiempo excedido])</f>
        <v>0.81395348837209303</v>
      </c>
      <c r="Z2" cm="1">
        <f t="array" ref="Z2">_xlfn.STDEV.P(IF(data[Sesion]=A2,data[Errores parada por tiempo excedido]))</f>
        <v>1.1259272964567633</v>
      </c>
      <c r="AA2">
        <f>AVERAGEIF(data[Sesion],A2,data[Num errores por tiempo excedido])</f>
        <v>0.93023255813953487</v>
      </c>
      <c r="AB2" cm="1">
        <f t="array" ref="AB2">_xlfn.STDEV.P(IF(data[Sesion]=A2,data[Num errores por tiempo excedido]))</f>
        <v>1.2830803929426717</v>
      </c>
    </row>
    <row r="3" spans="1:28" x14ac:dyDescent="0.3">
      <c r="A3">
        <v>2</v>
      </c>
      <c r="B3">
        <f>COUNTIF(data[Sesion],A3)</f>
        <v>4</v>
      </c>
      <c r="C3">
        <f>AVERAGEIF(data[Sesion],A3,data[Pasos planificados])</f>
        <v>5</v>
      </c>
      <c r="D3" cm="1">
        <f t="array" ref="D3">_xlfn.STDEV.P(IF(data[Sesion]=A3,data[Pasos planificados]))</f>
        <v>5.4313902456001077</v>
      </c>
      <c r="E3">
        <f>AVERAGEIF(data[Sesion],A3,data[Pasos ejecutados])</f>
        <v>4.25</v>
      </c>
      <c r="F3" cm="1">
        <f t="array" ref="F3">_xlfn.STDEV.P(IF(data[Sesion]=A3,data[Pasos ejecutados]))</f>
        <v>4.9180788932265003</v>
      </c>
      <c r="G3">
        <f>AVERAGEIF(data[Sesion],A3,data[Errores ejecucion])</f>
        <v>0.75</v>
      </c>
      <c r="H3" cm="1">
        <f t="array" ref="H3">_xlfn.STDEV.P(IF(data[Sesion]=A3,data[Errores ejecucion]))</f>
        <v>0.82915619758884995</v>
      </c>
      <c r="I3">
        <f>AVERAGEIF(data[Sesion],A3,data[Num dormir planificado])</f>
        <v>3.25</v>
      </c>
      <c r="J3" cm="1">
        <f t="array" ref="J3">_xlfn.STDEV.P(IF(data[Sesion]=A3,data[Num dormir planificado]))</f>
        <v>3.4186985827943359</v>
      </c>
      <c r="K3">
        <f>AVERAGEIF(data[Sesion],A3,data[Correctos dormir])</f>
        <v>3</v>
      </c>
      <c r="L3" cm="1">
        <f t="array" ref="L3">_xlfn.STDEV.P(IF(data[Sesion]=A3,data[Correctos dormir]))</f>
        <v>3.3166247903553998</v>
      </c>
      <c r="M3">
        <f>AVERAGEIF(data[Sesion],A3,data[Errores dormir])</f>
        <v>0.25</v>
      </c>
      <c r="N3" cm="1">
        <f t="array" ref="N3">_xlfn.STDEV.P(IF(data[Sesion]=A3,data[Errores dormir]))</f>
        <v>0.4330127018922193</v>
      </c>
      <c r="O3">
        <f>AVERAGEIF(data[Sesion],A3,data[Num ubicacion planificado])</f>
        <v>1.75</v>
      </c>
      <c r="P3" cm="1">
        <f t="array" ref="P3">_xlfn.STDEV.P(IF(data[Sesion]=A3,data[Num ubicacion planificado]))</f>
        <v>2.0463381929681126</v>
      </c>
      <c r="Q3">
        <f>AVERAGEIF(data[Sesion],A3,data[Correctos ubicacion])</f>
        <v>1.25</v>
      </c>
      <c r="R3" cm="1">
        <f t="array" ref="R3">_xlfn.STDEV.P(IF(data[Sesion]=A3,data[Correctos ubicacion]))</f>
        <v>1.6393596310755001</v>
      </c>
      <c r="S3">
        <f>AVERAGEIF(data[Sesion],A3,data[Errores ubicacion])</f>
        <v>0.5</v>
      </c>
      <c r="T3" cm="1">
        <f t="array" ref="T3">_xlfn.STDEV.P(IF(data[Sesion]=A3,data[Errores ubicacion]))</f>
        <v>0.5</v>
      </c>
      <c r="U3">
        <f>AVERAGEIF(data[Sesion],A3,data[Paradas posibles])</f>
        <v>6.25</v>
      </c>
      <c r="V3" cm="1">
        <f t="array" ref="V3">_xlfn.STDEV.P(IF(data[Sesion]=A3,data[Paradas posibles]))</f>
        <v>5.7608593109014565</v>
      </c>
      <c r="W3">
        <f>AVERAGEIF(data[Sesion],A3,data[Paradas realizadas])</f>
        <v>4</v>
      </c>
      <c r="X3" cm="1">
        <f t="array" ref="X3">_xlfn.STDEV.P(IF(data[Sesion]=A3,data[Paradas realizadas]))</f>
        <v>4.0620192023179804</v>
      </c>
      <c r="Y3">
        <f>AVERAGEIF(data[Sesion],A3,data[Errores parada por tiempo excedido])</f>
        <v>0.25</v>
      </c>
      <c r="Z3" cm="1">
        <f t="array" ref="Z3">_xlfn.STDEV.P(IF(data[Sesion]=A3,data[Errores parada por tiempo excedido]))</f>
        <v>0.4330127018922193</v>
      </c>
      <c r="AA3">
        <f>AVERAGEIF(data[Sesion],A3,data[Num errores por tiempo excedido])</f>
        <v>0.25</v>
      </c>
      <c r="AB3" cm="1">
        <f t="array" ref="AB3">_xlfn.STDEV.P(IF(data[Sesion]=A3,data[Num errores por tiempo excedido]))</f>
        <v>0.4330127018922193</v>
      </c>
    </row>
    <row r="4" spans="1:28" x14ac:dyDescent="0.3">
      <c r="A4">
        <v>3</v>
      </c>
      <c r="B4">
        <f>COUNTIF(data[Sesion],A4)</f>
        <v>27</v>
      </c>
      <c r="C4">
        <f>AVERAGEIF(data[Sesion],A4,data[Pasos planificados])</f>
        <v>31.777777777777779</v>
      </c>
      <c r="D4" cm="1">
        <f t="array" ref="D4">_xlfn.STDEV.P(IF(data[Sesion]=A4,data[Pasos planificados]))</f>
        <v>11.901862080685287</v>
      </c>
      <c r="E4">
        <f>AVERAGEIF(data[Sesion],A4,data[Pasos ejecutados])</f>
        <v>26.703703703703702</v>
      </c>
      <c r="F4" cm="1">
        <f t="array" ref="F4">_xlfn.STDEV.P(IF(data[Sesion]=A4,data[Pasos ejecutados]))</f>
        <v>10.10249259603536</v>
      </c>
      <c r="G4">
        <f>AVERAGEIF(data[Sesion],A4,data[Errores ejecucion])</f>
        <v>5.0740740740740744</v>
      </c>
      <c r="H4" cm="1">
        <f t="array" ref="H4">_xlfn.STDEV.P(IF(data[Sesion]=A4,data[Errores ejecucion]))</f>
        <v>3.7508115262732336</v>
      </c>
      <c r="I4">
        <f>AVERAGEIF(data[Sesion],A4,data[Num dormir planificado])</f>
        <v>15.777777777777779</v>
      </c>
      <c r="J4" cm="1">
        <f t="array" ref="J4">_xlfn.STDEV.P(IF(data[Sesion]=A4,data[Num dormir planificado]))</f>
        <v>5.3147825524895103</v>
      </c>
      <c r="K4">
        <f>AVERAGEIF(data[Sesion],A4,data[Correctos dormir])</f>
        <v>14.851851851851851</v>
      </c>
      <c r="L4" cm="1">
        <f t="array" ref="L4">_xlfn.STDEV.P(IF(data[Sesion]=A4,data[Correctos dormir]))</f>
        <v>5.2543012623782719</v>
      </c>
      <c r="M4">
        <f>AVERAGEIF(data[Sesion],A4,data[Errores dormir])</f>
        <v>0.92592592592592593</v>
      </c>
      <c r="N4" cm="1">
        <f t="array" ref="N4">_xlfn.STDEV.P(IF(data[Sesion]=A4,data[Errores dormir]))</f>
        <v>2.0534690778709797</v>
      </c>
      <c r="O4">
        <f>AVERAGEIF(data[Sesion],A4,data[Num ubicacion planificado])</f>
        <v>16</v>
      </c>
      <c r="P4" cm="1">
        <f t="array" ref="P4">_xlfn.STDEV.P(IF(data[Sesion]=A4,data[Num ubicacion planificado]))</f>
        <v>8.1649658092772608</v>
      </c>
      <c r="Q4">
        <f>AVERAGEIF(data[Sesion],A4,data[Correctos ubicacion])</f>
        <v>11.851851851851851</v>
      </c>
      <c r="R4" cm="1">
        <f t="array" ref="R4">_xlfn.STDEV.P(IF(data[Sesion]=A4,data[Correctos ubicacion]))</f>
        <v>6.6092174899835134</v>
      </c>
      <c r="S4">
        <f>AVERAGEIF(data[Sesion],A4,data[Errores ubicacion])</f>
        <v>4.1481481481481479</v>
      </c>
      <c r="T4" cm="1">
        <f t="array" ref="T4">_xlfn.STDEV.P(IF(data[Sesion]=A4,data[Errores ubicacion]))</f>
        <v>2.8376268606485855</v>
      </c>
      <c r="U4">
        <f>AVERAGEIF(data[Sesion],A4,data[Paradas posibles])</f>
        <v>32.111111111111114</v>
      </c>
      <c r="V4" cm="1">
        <f t="array" ref="V4">_xlfn.STDEV.P(IF(data[Sesion]=A4,data[Paradas posibles]))</f>
        <v>11.951548275133206</v>
      </c>
      <c r="W4">
        <f>AVERAGEIF(data[Sesion],A4,data[Paradas realizadas])</f>
        <v>23.777777777777779</v>
      </c>
      <c r="X4" cm="1">
        <f t="array" ref="X4">_xlfn.STDEV.P(IF(data[Sesion]=A4,data[Paradas realizadas]))</f>
        <v>9.1016210738988423</v>
      </c>
      <c r="Y4">
        <f>AVERAGEIF(data[Sesion],A4,data[Errores parada por tiempo excedido])</f>
        <v>1.1851851851851851</v>
      </c>
      <c r="Z4" cm="1">
        <f t="array" ref="Z4">_xlfn.STDEV.P(IF(data[Sesion]=A4,data[Errores parada por tiempo excedido]))</f>
        <v>1.4665918424609874</v>
      </c>
      <c r="AA4">
        <f>AVERAGEIF(data[Sesion],A4,data[Num errores por tiempo excedido])</f>
        <v>1.4814814814814814</v>
      </c>
      <c r="AB4" cm="1">
        <f t="array" ref="AB4">_xlfn.STDEV.P(IF(data[Sesion]=A4,data[Num errores por tiempo excedido]))</f>
        <v>1.8129241852622839</v>
      </c>
    </row>
    <row r="6" spans="1:28" x14ac:dyDescent="0.3">
      <c r="C6" t="s">
        <v>198</v>
      </c>
      <c r="D6" t="s">
        <v>199</v>
      </c>
      <c r="E6" t="s">
        <v>200</v>
      </c>
      <c r="F6" t="s">
        <v>201</v>
      </c>
      <c r="G6" t="s">
        <v>202</v>
      </c>
      <c r="H6" t="s">
        <v>203</v>
      </c>
      <c r="I6" t="s">
        <v>204</v>
      </c>
      <c r="J6" t="s">
        <v>205</v>
      </c>
    </row>
    <row r="7" spans="1:28" x14ac:dyDescent="0.3">
      <c r="C7">
        <f>AVERAGEIF(data[Sesion],A2,data[Tiempo duracion])</f>
        <v>1391.2371627906978</v>
      </c>
      <c r="D7" cm="1">
        <f t="array" ref="D7">_xlfn.STDEV.P(IF(data[Sesion]=A2,data[Tiempo duracion]))</f>
        <v>752.30981030420571</v>
      </c>
      <c r="E7">
        <f>AVERAGEIF(data[Sesion],A2,data[Num niveles])</f>
        <v>2.5116279069767442</v>
      </c>
      <c r="F7" cm="1">
        <f t="array" ref="F7">_xlfn.STDEV.P(IF(data[Sesion]=A2,data[Num niveles]))</f>
        <v>1.2270610193742251</v>
      </c>
      <c r="G7">
        <f>AVERAGEIF(data[Sesion],A2,data[Num intentos])</f>
        <v>7.9767441860465116</v>
      </c>
      <c r="H7" cm="1">
        <f t="array" ref="H7">_xlfn.STDEV.P(IF(data[Sesion]=A2,data[Num intentos]))</f>
        <v>3.2456652458390702</v>
      </c>
      <c r="I7">
        <f>AVERAGEIF(data[Sesion],A2,data[Completados])</f>
        <v>0.81395348837209303</v>
      </c>
      <c r="J7" cm="1">
        <f t="array" ref="J7">_xlfn.STDEV.P(IF(data[Sesion]=A2,data[Completados]))</f>
        <v>1.2985826612384852</v>
      </c>
    </row>
    <row r="8" spans="1:28" x14ac:dyDescent="0.3">
      <c r="C8">
        <f>AVERAGEIF(data[Sesion],A3,data[Tiempo duracion])</f>
        <v>548.99350000000004</v>
      </c>
      <c r="D8" cm="1">
        <f t="array" ref="D8">_xlfn.STDEV.P(IF(data[Sesion]=A3,data[Tiempo duracion]))</f>
        <v>399.60607282578923</v>
      </c>
      <c r="E8">
        <f>AVERAGEIF(data[Sesion],A3,data[Num niveles])</f>
        <v>1.25</v>
      </c>
      <c r="F8" cm="1">
        <f t="array" ref="F8">_xlfn.STDEV.P(IF(data[Sesion]=A3,data[Num niveles]))</f>
        <v>0.4330127018922193</v>
      </c>
      <c r="G8">
        <f>AVERAGEIF(data[Sesion],A3,data[Num intentos])</f>
        <v>3.5</v>
      </c>
      <c r="H8" cm="1">
        <f t="array" ref="H8">_xlfn.STDEV.P(IF(data[Sesion]=A3,data[Num intentos]))</f>
        <v>2.8722813232690143</v>
      </c>
      <c r="I8">
        <f>AVERAGEIF(data[Sesion],A3,data[Completados])</f>
        <v>0.5</v>
      </c>
      <c r="J8" cm="1">
        <f t="array" ref="J8">_xlfn.STDEV.P(IF(data[Sesion]=A3,data[Completados]))</f>
        <v>0.8660254037844386</v>
      </c>
    </row>
    <row r="9" spans="1:28" x14ac:dyDescent="0.3">
      <c r="C9">
        <f>AVERAGEIF(data[Sesion],A4,data[Tiempo duracion])</f>
        <v>1634.4362592592588</v>
      </c>
      <c r="D9" cm="1">
        <f t="array" ref="D9">_xlfn.STDEV.P(IF(data[Sesion]=A4,data[Tiempo duracion]))</f>
        <v>3285.1750964942448</v>
      </c>
      <c r="E9">
        <f>AVERAGEIF(data[Sesion],A4,data[Num niveles])</f>
        <v>3.5555555555555554</v>
      </c>
      <c r="F9" cm="1">
        <f t="array" ref="F9">_xlfn.STDEV.P(IF(data[Sesion]=A4,data[Num niveles]))</f>
        <v>1.1653431646335017</v>
      </c>
      <c r="G9">
        <f>AVERAGEIF(data[Sesion],A4,data[Num intentos])</f>
        <v>11.518518518518519</v>
      </c>
      <c r="H9" cm="1">
        <f t="array" ref="H9">_xlfn.STDEV.P(IF(data[Sesion]=A4,data[Num intentos]))</f>
        <v>5.3980131486835754</v>
      </c>
      <c r="I9">
        <f>AVERAGEIF(data[Sesion],A4,data[Completados])</f>
        <v>1.7037037037037037</v>
      </c>
      <c r="J9" cm="1">
        <f t="array" ref="J9">_xlfn.STDEV.P(IF(data[Sesion]=A4,data[Completados]))</f>
        <v>1.4609691054308163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2026-07-07T19:22:25Z</dcterms:created>
  <dcterms:modified xsi:type="dcterms:W3CDTF">2026-07-15T16:44:26Z</dcterms:modified>
</cp:coreProperties>
</file>