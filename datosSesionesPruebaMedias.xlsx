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AEF10A7C-BE4B-4AB3-A375-3AB17A2AD79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 a="1"/>
  <c r="N9" i="2" a="1"/>
  <c r="N7" i="2" a="1"/>
  <c r="L8" i="2" a="1"/>
  <c r="L9" i="2" a="1"/>
  <c r="L7" i="2" a="1"/>
  <c r="M8" i="2"/>
  <c r="M9" i="2"/>
  <c r="M7" i="2"/>
  <c r="K8" i="2"/>
  <c r="K9" i="2"/>
  <c r="K7" i="2"/>
  <c r="L13" i="2"/>
  <c r="L14" i="2"/>
  <c r="L12" i="2"/>
  <c r="K13" i="2"/>
  <c r="K14" i="2"/>
  <c r="K12" i="2"/>
  <c r="J13" i="2"/>
  <c r="J14" i="2"/>
  <c r="J12" i="2"/>
  <c r="H13" i="2"/>
  <c r="H14" i="2"/>
  <c r="H12" i="2"/>
  <c r="I13" i="2"/>
  <c r="I14" i="2"/>
  <c r="I12" i="2"/>
  <c r="J8" i="2" a="1"/>
  <c r="J9" i="2" a="1"/>
  <c r="J7" i="2" a="1"/>
  <c r="I8" i="2"/>
  <c r="I9" i="2"/>
  <c r="I7" i="2"/>
  <c r="H8" i="2" a="1"/>
  <c r="H9" i="2" a="1"/>
  <c r="H7" i="2" a="1"/>
  <c r="G8" i="2"/>
  <c r="G9" i="2"/>
  <c r="G7" i="2"/>
  <c r="F8" i="2" a="1"/>
  <c r="F9" i="2" a="1"/>
  <c r="F7" i="2" a="1"/>
  <c r="E8" i="2"/>
  <c r="E9" i="2"/>
  <c r="E7" i="2"/>
  <c r="D8" i="2" a="1"/>
  <c r="D9" i="2" a="1"/>
  <c r="D7" i="2" a="1"/>
  <c r="AB2" i="2" a="1"/>
  <c r="C8" i="2"/>
  <c r="C9" i="2"/>
  <c r="C7" i="2"/>
  <c r="AB3" i="2" a="1"/>
  <c r="AB4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Q2" i="2"/>
  <c r="P3" i="2" a="1"/>
  <c r="P4" i="2" a="1"/>
  <c r="P2" i="2" a="1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B3" i="2"/>
  <c r="B4" i="2"/>
  <c r="B2" i="2"/>
  <c r="H3" i="2" a="1"/>
  <c r="H4" i="2" a="1"/>
  <c r="H2" i="2" a="1"/>
  <c r="G3" i="2"/>
  <c r="G4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<sst xmlns="http://schemas.openxmlformats.org/spreadsheetml/2006/main" count="240" uniqueCount="217">
  <si>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</si>
  <si>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</si>
  <si>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</si>
  <si>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</si>
  <si>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</si>
  <si>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</si>
  <si>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</si>
  <si>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</si>
  <si>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</si>
  <si>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</si>
  <si>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</si>
  <si>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</si>
  <si>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</si>
  <si>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</si>
  <si>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</si>
  <si>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</si>
  <si>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</si>
  <si>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</si>
  <si>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</si>
  <si>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</si>
  <si>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</si>
  <si>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</si>
  <si>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</si>
  <si>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</si>
  <si>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</si>
  <si>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</si>
  <si>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</si>
  <si>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</si>
  <si>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</si>
  <si>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</si>
  <si>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</si>
  <si>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</si>
  <si>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</si>
  <si>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</si>
  <si>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</si>
  <si>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</si>
  <si>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</si>
  <si>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</si>
  <si>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</si>
  <si>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</si>
  <si>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</si>
  <si>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</si>
  <si>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</si>
  <si>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</si>
  <si>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</si>
  <si>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</si>
  <si>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</si>
  <si>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</si>
  <si>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</si>
  <si>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</si>
  <si>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</si>
  <si>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</si>
  <si>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</si>
  <si>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</si>
  <si>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</si>
  <si>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</si>
  <si>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</si>
  <si>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</si>
  <si>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</si>
  <si>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</si>
  <si>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</si>
  <si>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</si>
  <si>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</si>
  <si>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</si>
  <si>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</si>
  <si>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</si>
  <si>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</si>
  <si>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</si>
  <si>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</si>
  <si>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</si>
  <si>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</si>
  <si>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</si>
  <si>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</si>
  <si>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</si>
  <si>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</si>
  <si>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</si>
  <si>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</si>
  <si>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</si>
  <si>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</si>
  <si>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</si>
  <si>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</si>
  <si>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</si>
  <si>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</si>
  <si>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</si>
  <si>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</si>
  <si>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</si>
  <si>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</si>
  <si>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</si>
  <si>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</si>
  <si>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</si>
  <si>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</si>
  <si>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</si>
  <si>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</si>
  <si>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</si>
  <si>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</si>
  <si>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</si>
  <si>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</si>
  <si>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</si>
  <si>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</si>
  <si>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</si>
  <si>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</si>
  <si>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</si>
  <si>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</si>
  <si>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</si>
  <si>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</si>
  <si>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</si>
  <si>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</si>
  <si>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</si>
  <si>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</si>
  <si>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</si>
  <si>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</si>
  <si>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</si>
  <si>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</si>
  <si>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</si>
  <si>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</si>
  <si>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</si>
  <si>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</si>
  <si>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</si>
  <si>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</si>
  <si>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</si>
  <si>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</si>
  <si>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</si>
  <si>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</si>
  <si>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</si>
  <si>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</si>
  <si>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</si>
  <si>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</si>
  <si>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</si>
  <si>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</si>
  <si>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</si>
  <si>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</si>
  <si>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</si>
  <si>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</si>
  <si>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</si>
  <si>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</si>
  <si>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</si>
  <si>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</si>
  <si>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</si>
  <si>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</si>
  <si>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</si>
  <si>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</si>
  <si>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</si>
  <si>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</si>
  <si>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</si>
  <si>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</si>
  <si>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</si>
  <si>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</si>
  <si>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</si>
  <si>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</si>
  <si>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</si>
  <si>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</si>
  <si>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</si>
  <si>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</si>
  <si>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</si>
  <si>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</si>
  <si>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</si>
  <si>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</si>
  <si>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</si>
  <si>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</si>
  <si>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</si>
  <si>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</si>
  <si>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</si>
  <si>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</si>
  <si>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</si>
  <si>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</si>
  <si>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</si>
  <si>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</si>
  <si>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</si>
  <si>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</si>
  <si>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</si>
  <si>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</si>
  <si>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</si>
  <si>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</si>
  <si>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</si>
  <si>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</si>
  <si>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</si>
  <si>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</si>
  <si>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</si>
  <si>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</si>
  <si>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</si>
  <si>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</si>
  <si>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</si>
  <si>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</si>
  <si>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</si>
  <si>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</si>
  <si>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</si>
  <si>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</si>
  <si>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</si>
  <si>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</si>
  <si>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</si>
  <si>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</si>
  <si>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</si>
  <si>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</si>
  <si>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</si>
  <si>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</si>
  <si>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</si>
  <si>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</si>
  <si>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</si>
  <si>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</si>
  <si>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</si>
  <si>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</si>
  <si>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</si>
  <si>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</si>
  <si>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</si>
  <si>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</si>
  <si>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</si>
  <si>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</si>
  <si>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</si>
  <si>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0 planificado</t>
  </si>
  <si>
    <t>Num completados</t>
  </si>
  <si>
    <t>% completados</t>
  </si>
  <si>
    <t>No completados</t>
  </si>
  <si>
    <t>% no completados</t>
  </si>
  <si>
    <t>Media % aciertos</t>
  </si>
  <si>
    <t>Media % errores</t>
  </si>
  <si>
    <t>Stdev % aciertos</t>
  </si>
  <si>
    <t>Stdev % errores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</si>
</sst>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W76" totalsRowShown="0" headerRowDxfId="2" headerRowBorderDxfId="1" tableBorderDxfId="0">
  <autoFilter ref="A1:W76" xr:uid="{AD8B7A24-8C82-432D-8F40-107C6140EF70}"/>
  <tableColumns count="23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  <tableColumn id="22" xr3:uid="{6BB76774-135C-4D4D-BE0D-D83590AFB522}" name="% Aciertos"/>
    <tableColumn id="23" xr3:uid="{9C9F4625-8EA8-476D-A95C-1546132B3A03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6"/>
  <sheetViews>
    <sheetView topLeftCell="O1" zoomScaleNormal="100" workbookViewId="0">
      <selection activeCell="X15" sqref="X15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  <col min="22" max="23" width="18.6640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206</v>
      </c>
      <c r="W1" s="1" t="s">
        <v>207</v>
      </c>
    </row>
    <row r="2" spans="1:23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3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  <c r="V3">
        <v>88.235294117647001</v>
      </c>
      <c r="W3">
        <v>11.764705882352899</v>
      </c>
    </row>
    <row r="4" spans="1:23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  <c r="V4">
        <v>84.615384615384599</v>
      </c>
      <c r="W4">
        <v>15.3846153846153</v>
      </c>
    </row>
    <row r="5" spans="1:23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  <c r="V5">
        <v>84.210526315789394</v>
      </c>
      <c r="W5">
        <v>15.789473684210501</v>
      </c>
    </row>
    <row r="6" spans="1:23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  <c r="V6">
        <v>88.8888888888888</v>
      </c>
      <c r="W6">
        <v>11.1111111111111</v>
      </c>
    </row>
    <row r="7" spans="1:23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  <c r="V7">
        <v>95</v>
      </c>
      <c r="W7">
        <v>5</v>
      </c>
    </row>
    <row r="8" spans="1:23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  <c r="V8" t="s">
        <v>208</v>
      </c>
      <c r="W8" t="s">
        <v>208</v>
      </c>
    </row>
    <row r="9" spans="1:23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  <c r="V9">
        <v>62.5</v>
      </c>
      <c r="W9">
        <v>37.5</v>
      </c>
    </row>
    <row r="10" spans="1:23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  <c r="V10">
        <v>95.238095238095198</v>
      </c>
      <c r="W10">
        <v>4.7619047619047503</v>
      </c>
    </row>
    <row r="11" spans="1:23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  <c r="V11">
        <v>92.857142857142804</v>
      </c>
      <c r="W11">
        <v>7.1428571428571299</v>
      </c>
    </row>
    <row r="12" spans="1:23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  <c r="V12">
        <v>93.75</v>
      </c>
      <c r="W12">
        <v>6.25</v>
      </c>
    </row>
    <row r="13" spans="1:23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  <c r="V13">
        <v>76.470588235294102</v>
      </c>
      <c r="W13">
        <v>23.529411764705799</v>
      </c>
    </row>
    <row r="14" spans="1:23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  <c r="V14">
        <v>86.6666666666666</v>
      </c>
      <c r="W14">
        <v>13.3333333333333</v>
      </c>
    </row>
    <row r="15" spans="1:23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  <c r="V15">
        <v>83.3333333333333</v>
      </c>
      <c r="W15">
        <v>16.6666666666666</v>
      </c>
    </row>
    <row r="16" spans="1:23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  <c r="V16">
        <v>81.25</v>
      </c>
      <c r="W16">
        <v>18.75</v>
      </c>
    </row>
    <row r="17" spans="1:23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  <c r="V17">
        <v>92.592592592592595</v>
      </c>
      <c r="W17">
        <v>7.4074074074074003</v>
      </c>
    </row>
    <row r="18" spans="1:23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t="s">
        <v>208</v>
      </c>
      <c r="W18" t="s">
        <v>208</v>
      </c>
    </row>
    <row r="19" spans="1:23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  <c r="V19">
        <v>90.322580645161295</v>
      </c>
      <c r="W19">
        <v>9.6774193548386993</v>
      </c>
    </row>
    <row r="20" spans="1:23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  <c r="V20">
        <v>90.909090909090907</v>
      </c>
      <c r="W20">
        <v>9.0909090909090899</v>
      </c>
    </row>
    <row r="21" spans="1:23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  <c r="V21">
        <v>94.736842105263094</v>
      </c>
      <c r="W21">
        <v>5.26315789473683</v>
      </c>
    </row>
    <row r="22" spans="1:23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  <c r="V22">
        <v>88.636363636363598</v>
      </c>
      <c r="W22">
        <v>11.363636363636299</v>
      </c>
    </row>
    <row r="23" spans="1:23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  <c r="V23">
        <v>78.571428571428498</v>
      </c>
      <c r="W23">
        <v>21.428571428571399</v>
      </c>
    </row>
    <row r="24" spans="1:23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  <c r="V24">
        <v>50</v>
      </c>
      <c r="W24">
        <v>50</v>
      </c>
    </row>
    <row r="25" spans="1:23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  <c r="V25">
        <v>76.744186046511601</v>
      </c>
      <c r="W25">
        <v>23.2558139534883</v>
      </c>
    </row>
    <row r="26" spans="1:23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  <c r="V26">
        <v>95</v>
      </c>
      <c r="W26">
        <v>5</v>
      </c>
    </row>
    <row r="27" spans="1:23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  <c r="V27">
        <v>87.5</v>
      </c>
      <c r="W27">
        <v>12.5</v>
      </c>
    </row>
    <row r="28" spans="1:23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  <c r="V28">
        <v>100</v>
      </c>
      <c r="W28">
        <v>0</v>
      </c>
    </row>
    <row r="29" spans="1:23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  <c r="V29">
        <v>75</v>
      </c>
      <c r="W29">
        <v>25</v>
      </c>
    </row>
    <row r="30" spans="1:23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  <c r="V30">
        <v>60</v>
      </c>
      <c r="W30">
        <v>40</v>
      </c>
    </row>
    <row r="31" spans="1:23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  <c r="V31">
        <v>75</v>
      </c>
      <c r="W31">
        <v>25</v>
      </c>
    </row>
    <row r="32" spans="1:23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  <c r="V32">
        <v>87.5</v>
      </c>
      <c r="W32">
        <v>12.5</v>
      </c>
    </row>
    <row r="33" spans="1:23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  <c r="V33">
        <v>78.947368421052602</v>
      </c>
      <c r="W33">
        <v>21.052631578947299</v>
      </c>
    </row>
    <row r="34" spans="1:23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  <c r="V34">
        <v>76.785714285714207</v>
      </c>
      <c r="W34">
        <v>23.214285714285701</v>
      </c>
    </row>
    <row r="35" spans="1:23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  <c r="V35">
        <v>92.307692307692307</v>
      </c>
      <c r="W35">
        <v>7.6923076923076898</v>
      </c>
    </row>
    <row r="36" spans="1:23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  <c r="V36">
        <v>83.783783783783704</v>
      </c>
      <c r="W36">
        <v>16.2162162162162</v>
      </c>
    </row>
    <row r="37" spans="1:23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  <c r="V37">
        <v>90.243902439024396</v>
      </c>
      <c r="W37">
        <v>9.7560975609756007</v>
      </c>
    </row>
    <row r="38" spans="1:23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  <c r="V38">
        <v>90.476190476190396</v>
      </c>
      <c r="W38">
        <v>9.5238095238095095</v>
      </c>
    </row>
    <row r="39" spans="1:23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  <c r="V39" t="s">
        <v>208</v>
      </c>
      <c r="W39" t="s">
        <v>208</v>
      </c>
    </row>
    <row r="40" spans="1:23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  <c r="V40" t="s">
        <v>208</v>
      </c>
      <c r="W40" t="s">
        <v>208</v>
      </c>
    </row>
    <row r="41" spans="1:23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  <c r="V41" t="s">
        <v>208</v>
      </c>
      <c r="W41" t="s">
        <v>208</v>
      </c>
    </row>
    <row r="42" spans="1:23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  <c r="V42">
        <v>83.870967741935402</v>
      </c>
      <c r="W42">
        <v>16.129032258064498</v>
      </c>
    </row>
    <row r="43" spans="1:23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  <c r="V43">
        <v>80.769230769230703</v>
      </c>
      <c r="W43">
        <v>19.230769230769202</v>
      </c>
    </row>
    <row r="44" spans="1:23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  <c r="V44">
        <v>96.428571428571402</v>
      </c>
      <c r="W44">
        <v>3.5714285714285601</v>
      </c>
    </row>
    <row r="45" spans="1:23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t="s">
        <v>208</v>
      </c>
      <c r="W45" t="s">
        <v>208</v>
      </c>
    </row>
    <row r="46" spans="1:23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 t="s">
        <v>208</v>
      </c>
      <c r="W46" t="s">
        <v>208</v>
      </c>
    </row>
    <row r="47" spans="1:23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  <c r="V47">
        <v>80.952380952380906</v>
      </c>
      <c r="W47">
        <v>19.047619047619001</v>
      </c>
    </row>
    <row r="48" spans="1:23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  <c r="V48" t="s">
        <v>208</v>
      </c>
      <c r="W48" t="s">
        <v>208</v>
      </c>
    </row>
    <row r="49" spans="1:23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  <c r="V49">
        <v>88.8888888888888</v>
      </c>
      <c r="W49">
        <v>11.1111111111111</v>
      </c>
    </row>
    <row r="50" spans="1:23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  <c r="V50">
        <v>78.787878787878697</v>
      </c>
      <c r="W50">
        <v>21.2121212121212</v>
      </c>
    </row>
    <row r="51" spans="1:23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  <c r="V51" t="s">
        <v>208</v>
      </c>
      <c r="W51" t="s">
        <v>208</v>
      </c>
    </row>
    <row r="52" spans="1:23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  <c r="V52">
        <v>57.142857142857103</v>
      </c>
      <c r="W52">
        <v>42.857142857142797</v>
      </c>
    </row>
    <row r="53" spans="1:23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  <c r="V53">
        <v>90</v>
      </c>
      <c r="W53">
        <v>10</v>
      </c>
    </row>
    <row r="54" spans="1:23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  <c r="V54">
        <v>75</v>
      </c>
      <c r="W54">
        <v>25</v>
      </c>
    </row>
    <row r="55" spans="1:23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  <c r="V55">
        <v>100</v>
      </c>
      <c r="W55">
        <v>0</v>
      </c>
    </row>
    <row r="56" spans="1:23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  <c r="V56">
        <v>50</v>
      </c>
      <c r="W56">
        <v>50</v>
      </c>
    </row>
    <row r="57" spans="1:23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  <c r="V57">
        <v>94.117647058823493</v>
      </c>
      <c r="W57">
        <v>5.8823529411764603</v>
      </c>
    </row>
    <row r="58" spans="1:23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  <c r="V58">
        <v>83.6065573770491</v>
      </c>
      <c r="W58">
        <v>16.393442622950801</v>
      </c>
    </row>
    <row r="59" spans="1:23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  <c r="V59">
        <v>57.142857142857103</v>
      </c>
      <c r="W59">
        <v>42.857142857142797</v>
      </c>
    </row>
    <row r="60" spans="1:23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  <c r="V60">
        <v>91.6666666666666</v>
      </c>
      <c r="W60">
        <v>8.3333333333333197</v>
      </c>
    </row>
    <row r="61" spans="1:23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  <c r="V61">
        <v>90.625</v>
      </c>
      <c r="W61">
        <v>9.375</v>
      </c>
    </row>
    <row r="62" spans="1:23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  <c r="V62">
        <v>86.6666666666666</v>
      </c>
      <c r="W62">
        <v>13.3333333333333</v>
      </c>
    </row>
    <row r="63" spans="1:23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  <c r="V63">
        <v>89.285714285714207</v>
      </c>
      <c r="W63">
        <v>10.714285714285699</v>
      </c>
    </row>
    <row r="64" spans="1:23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  <c r="V64">
        <v>56.25</v>
      </c>
      <c r="W64">
        <v>43.75</v>
      </c>
    </row>
    <row r="65" spans="1:23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  <c r="V65">
        <v>100</v>
      </c>
      <c r="W65">
        <v>0</v>
      </c>
    </row>
    <row r="66" spans="1:23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  <c r="V66">
        <v>75</v>
      </c>
      <c r="W66">
        <v>25</v>
      </c>
    </row>
    <row r="67" spans="1:23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  <c r="V67">
        <v>92.307692307692307</v>
      </c>
      <c r="W67">
        <v>7.6923076923076898</v>
      </c>
    </row>
    <row r="68" spans="1:23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  <c r="V68">
        <v>96.296296296296205</v>
      </c>
      <c r="W68">
        <v>3.7037037037037002</v>
      </c>
    </row>
    <row r="69" spans="1:23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  <c r="V69">
        <v>66.6666666666666</v>
      </c>
      <c r="W69">
        <v>33.3333333333333</v>
      </c>
    </row>
    <row r="70" spans="1:23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208</v>
      </c>
      <c r="W70" t="s">
        <v>208</v>
      </c>
    </row>
    <row r="71" spans="1:23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  <c r="V71">
        <v>75.862068965517196</v>
      </c>
      <c r="W71">
        <v>24.137931034482701</v>
      </c>
    </row>
    <row r="72" spans="1:23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  <c r="V72" t="s">
        <v>208</v>
      </c>
      <c r="W72" t="s">
        <v>208</v>
      </c>
    </row>
    <row r="73" spans="1:23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  <c r="V73">
        <v>71.428571428571402</v>
      </c>
      <c r="W73">
        <v>28.571428571428498</v>
      </c>
    </row>
    <row r="74" spans="1:23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  <c r="V74">
        <v>76</v>
      </c>
      <c r="W74">
        <v>24</v>
      </c>
    </row>
    <row r="75" spans="1:23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  <c r="V75">
        <v>91.304347826086897</v>
      </c>
      <c r="W75">
        <v>8.6956521739130395</v>
      </c>
    </row>
    <row r="76" spans="1:23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  <c r="V76">
        <v>77.142857142857096</v>
      </c>
      <c r="W76">
        <v>22.857142857142801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14"/>
  <sheetViews>
    <sheetView tabSelected="1" workbookViewId="0">
      <selection activeCell="O8" sqref="O8"/>
    </sheetView>
  </sheetViews>
  <sheetFormatPr baseColWidth="10" defaultRowHeight="14.4" x14ac:dyDescent="0.3"/>
  <cols>
    <col min="3" max="3" width="11.88671875" bestFit="1" customWidth="1"/>
    <col min="9" max="9" width="11.6640625" customWidth="1"/>
  </cols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  <c r="K7">
        <f>AVERAGEIF(data[Sesion],A2,data[% Aciertos])</f>
        <v>81.500533061927996</v>
      </c>
      <c r="L7" cm="1">
        <f t="array" ref="L7">_xlfn.STDEV.P(IF(data[Sesion]=A2,data[% Aciertos]))</f>
        <v>13.661094774056064</v>
      </c>
      <c r="M7">
        <f>AVERAGEIF(data[Sesion],A2,data[% Mal])</f>
        <v>18.499466938071933</v>
      </c>
      <c r="N7" cm="1">
        <f t="array" ref="N7">_xlfn.STDEV.P(IF(data[Sesion]=A2,data[% Mal]))</f>
        <v>13.661094774056048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  <c r="K8">
        <f>AVERAGEIF(data[Sesion],A3,data[% Aciertos])</f>
        <v>81.868131868131854</v>
      </c>
      <c r="L8" cm="1">
        <f t="array" ref="L8">_xlfn.STDEV.P(IF(data[Sesion]=A3,data[% Aciertos]))</f>
        <v>10.439560439560449</v>
      </c>
      <c r="M8">
        <f>AVERAGEIF(data[Sesion],A3,data[% Mal])</f>
        <v>18.131868131868096</v>
      </c>
      <c r="N8" cm="1">
        <f t="array" ref="N8">_xlfn.STDEV.P(IF(data[Sesion]=A3,data[% Mal]))</f>
        <v>10.439560439560402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  <c r="K9">
        <f>AVERAGEIF(data[Sesion],A4,data[% Aciertos])</f>
        <v>84.678266813816748</v>
      </c>
      <c r="L9" cm="1">
        <f t="array" ref="L9">_xlfn.STDEV.P(IF(data[Sesion]=A4,data[% Aciertos]))</f>
        <v>9.7359064227108103</v>
      </c>
      <c r="M9">
        <f>AVERAGEIF(data[Sesion],A4,data[% Mal])</f>
        <v>15.321733186183183</v>
      </c>
      <c r="N9" cm="1">
        <f t="array" ref="N9">_xlfn.STDEV.P(IF(data[Sesion]=A4,data[%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SUMIF(data[Sesion],A2,data[Num intentos])</f>
        <v>343</v>
      </c>
      <c r="I12">
        <f>SUMIF(data[Sesion],A2,data[Completados])</f>
        <v>35</v>
      </c>
      <c r="J12">
        <f>100*I12/H12</f>
        <v>10.204081632653061</v>
      </c>
      <c r="K12">
        <f>H12-I12</f>
        <v>308</v>
      </c>
      <c r="L12">
        <f>100*K12/H12</f>
        <v>89.795918367346943</v>
      </c>
    </row>
    <row r="13" spans="1:28" x14ac:dyDescent="0.3">
      <c r="H13">
        <f>SUMIF(data[Sesion],A3,data[Num intentos])</f>
        <v>14</v>
      </c>
      <c r="I13">
        <f>SUMIF(data[Sesion],A3,data[Completados])</f>
        <v>2</v>
      </c>
      <c r="J13">
        <f t="shared" ref="J13:J14" si="0">100*I13/H13</f>
        <v>14.285714285714286</v>
      </c>
      <c r="K13">
        <f t="shared" ref="K13:K14" si="1">H13-I13</f>
        <v>12</v>
      </c>
      <c r="L13">
        <f t="shared" ref="L13:L14" si="2">100*K13/H13</f>
        <v>85.714285714285708</v>
      </c>
    </row>
    <row r="14" spans="1:28" x14ac:dyDescent="0.3">
      <c r="H14">
        <f>SUMIF(data[Sesion],A4,data[Num intentos])</f>
        <v>310</v>
      </c>
      <c r="I14">
        <f>SUMIF(data[Sesion],A4,data[Completados])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2026-07-28T09:59:57Z</dcterms:modified>
</cp:coreProperties>
</file>