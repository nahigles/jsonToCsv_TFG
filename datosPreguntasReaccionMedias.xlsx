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EFF3C277-A92E-4549-BAE6-A4D50615FE3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10" i="2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K51" i="2" a="1"/>
  <c r="K52" i="2" a="1"/>
  <c r="K10" i="2" a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10" i="2"/>
  <c r="H11" i="2" a="1"/>
  <c r="H12" i="2" a="1"/>
  <c r="H13" i="2" a="1"/>
  <c r="H14" i="2" a="1"/>
  <c r="H15" i="2" a="1"/>
  <c r="H16" i="2" a="1"/>
  <c r="H17" i="2" a="1"/>
  <c r="H18" i="2" a="1"/>
  <c r="H19" i="2" a="1"/>
  <c r="H20" i="2" a="1"/>
  <c r="H21" i="2" a="1"/>
  <c r="H22" i="2" a="1"/>
  <c r="H23" i="2" a="1"/>
  <c r="H24" i="2" a="1"/>
  <c r="H25" i="2" a="1"/>
  <c r="H26" i="2" a="1"/>
  <c r="H27" i="2" a="1"/>
  <c r="H28" i="2" a="1"/>
  <c r="H29" i="2" a="1"/>
  <c r="H30" i="2" a="1"/>
  <c r="H31" i="2" a="1"/>
  <c r="H32" i="2" a="1"/>
  <c r="H33" i="2" a="1"/>
  <c r="H34" i="2" a="1"/>
  <c r="H35" i="2" a="1"/>
  <c r="H36" i="2" a="1"/>
  <c r="H37" i="2" a="1"/>
  <c r="H38" i="2" a="1"/>
  <c r="H39" i="2" a="1"/>
  <c r="H40" i="2" a="1"/>
  <c r="H41" i="2" a="1"/>
  <c r="H42" i="2" a="1"/>
  <c r="H43" i="2" a="1"/>
  <c r="H44" i="2" a="1"/>
  <c r="H45" i="2" a="1"/>
  <c r="H46" i="2" a="1"/>
  <c r="H47" i="2" a="1"/>
  <c r="H48" i="2" a="1"/>
  <c r="H49" i="2" a="1"/>
  <c r="H50" i="2" a="1"/>
  <c r="H51" i="2" a="1"/>
  <c r="H52" i="2" a="1"/>
  <c r="H10" i="2" a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10" i="2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51" i="2" a="1"/>
  <c r="E52" i="2" a="1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L2" i="2"/>
  <c r="E10" i="2" a="1"/>
  <c r="D10" i="2"/>
  <c r="J5" i="2" a="1"/>
  <c r="J4" i="2" a="1"/>
  <c r="J2" i="2" a="1"/>
  <c r="I5" i="2"/>
  <c r="I4" i="2"/>
  <c r="I2" i="2"/>
  <c r="H4" i="2"/>
  <c r="H2" i="2"/>
  <c r="G2" i="2"/>
  <c r="G3" i="2"/>
  <c r="F2" i="2"/>
  <c r="F3" i="2"/>
  <c r="E2" i="2"/>
  <c r="E3" i="2"/>
  <c r="E4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10" i="2"/>
  <c r="B7" i="2"/>
  <c r="B8" i="2"/>
  <c r="B6" i="2"/>
  <c r="B3" i="2"/>
  <c r="B4" i="2"/>
  <c r="B2" i="2"/>
  <c r="H5" i="2" l="1"/>
  <c r="G5" i="2"/>
  <c r="F5" i="2"/>
  <c r="E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<sst xmlns="http://schemas.openxmlformats.org/spreadsheetml/2006/main" count="11716" uniqueCount="5383">
  <si>
    <t>ID</t>
  </si>
  <si>
    <t>Sesion</t>
  </si>
  <si>
    <t>Nivel</t>
  </si>
  <si>
    <t>Intento</t>
  </si>
  <si>
    <t>Tipo</t>
  </si>
  <si>
    <t>Tiempo inicio</t>
  </si>
  <si>
    <t>Tiempo respuesta</t>
  </si>
  <si>
    <t>Tiempo reaccion(s)</t>
  </si>
  <si>
    <t>Respuesta</t>
  </si>
  <si>
    <t>Parada</t>
  </si>
  <si>
    <t>15:04:56.785</t>
  </si>
  <si>
    <t>15:05:01.900</t>
  </si>
  <si>
    <t>-</t>
  </si>
  <si>
    <t>15:07:15.429</t>
  </si>
  <si>
    <t>15:07:16.982</t>
  </si>
  <si>
    <t>15:08:51.246</t>
  </si>
  <si>
    <t>15:08:54.366</t>
  </si>
  <si>
    <t>15:09:06.846</t>
  </si>
  <si>
    <t>15:09:09.346</t>
  </si>
  <si>
    <t>Ubicacion</t>
  </si>
  <si>
    <t>15:09:27.279</t>
  </si>
  <si>
    <t>Correcto</t>
  </si>
  <si>
    <t>Dormir</t>
  </si>
  <si>
    <t>15:10:04.109</t>
  </si>
  <si>
    <t>15:10:05.277</t>
  </si>
  <si>
    <t>15:12:32.040</t>
  </si>
  <si>
    <t>15:12:34.966</t>
  </si>
  <si>
    <t>15:12:39.607</t>
  </si>
  <si>
    <t>15:12:41.742</t>
  </si>
  <si>
    <t>15:12:48.307</t>
  </si>
  <si>
    <t>15:12:49.941</t>
  </si>
  <si>
    <t>15:12:56.540</t>
  </si>
  <si>
    <t>15:12:58.574</t>
  </si>
  <si>
    <t>15:13:03.606</t>
  </si>
  <si>
    <t>Erroneo</t>
  </si>
  <si>
    <t>15:13:05.173</t>
  </si>
  <si>
    <t>15:13:07.074</t>
  </si>
  <si>
    <t>15:14:23.764</t>
  </si>
  <si>
    <t>15:14:31.249</t>
  </si>
  <si>
    <t>15:14:47.223</t>
  </si>
  <si>
    <t>15:14:50.885</t>
  </si>
  <si>
    <t>15:15:03.384</t>
  </si>
  <si>
    <t>15:15:06.984</t>
  </si>
  <si>
    <t>15:15:17.051</t>
  </si>
  <si>
    <t>15:17:56.425</t>
  </si>
  <si>
    <t>15:18:00.245</t>
  </si>
  <si>
    <t>15:18:04.885</t>
  </si>
  <si>
    <t>15:18:11.348</t>
  </si>
  <si>
    <t>15:19:51.375</t>
  </si>
  <si>
    <t>15:19:56.161</t>
  </si>
  <si>
    <t>15:20:02.741</t>
  </si>
  <si>
    <t>15:20:04.209</t>
  </si>
  <si>
    <t>15:20:12.374</t>
  </si>
  <si>
    <t>15:20:14.642</t>
  </si>
  <si>
    <t>15:20:19.307</t>
  </si>
  <si>
    <t>15:20:20.873</t>
  </si>
  <si>
    <t>15:20:24.873</t>
  </si>
  <si>
    <t>15:20:31.107</t>
  </si>
  <si>
    <t>15:20:35.774</t>
  </si>
  <si>
    <t>14:16:44.382</t>
  </si>
  <si>
    <t>14:16:46.736</t>
  </si>
  <si>
    <t>14:16:56.449</t>
  </si>
  <si>
    <t>14:16:58.449</t>
  </si>
  <si>
    <t>14:17:04.681</t>
  </si>
  <si>
    <t>14:17:06.749</t>
  </si>
  <si>
    <t>14:17:12.981</t>
  </si>
  <si>
    <t>14:17:15.482</t>
  </si>
  <si>
    <t>14:17:19.315</t>
  </si>
  <si>
    <t>14:17:21.714</t>
  </si>
  <si>
    <t>14:17:23.281</t>
  </si>
  <si>
    <t>14:17:56.646</t>
  </si>
  <si>
    <t>14:17:56.113</t>
  </si>
  <si>
    <t>14:17:57.813</t>
  </si>
  <si>
    <t>14:20:07.500</t>
  </si>
  <si>
    <t>14:20:09.319</t>
  </si>
  <si>
    <t>14:20:28.567</t>
  </si>
  <si>
    <t>14:20:28.066</t>
  </si>
  <si>
    <t>14:20:30.233</t>
  </si>
  <si>
    <t>14:20:47.398</t>
  </si>
  <si>
    <t>14:20:49.965</t>
  </si>
  <si>
    <t>14:20:56.565</t>
  </si>
  <si>
    <t>Tiempo excedido</t>
  </si>
  <si>
    <t>14:21:20.419</t>
  </si>
  <si>
    <t>14:21:22.886</t>
  </si>
  <si>
    <t>14:21:46.818</t>
  </si>
  <si>
    <t>14:21:55.750</t>
  </si>
  <si>
    <t>14:21:58.518</t>
  </si>
  <si>
    <t>14:34:42.583</t>
  </si>
  <si>
    <t>14:34:44.768</t>
  </si>
  <si>
    <t>14:34:49.416</t>
  </si>
  <si>
    <t>14:34:51.583</t>
  </si>
  <si>
    <t>14:34:54.682</t>
  </si>
  <si>
    <t>14:35:06.315</t>
  </si>
  <si>
    <t>14:35:09.216</t>
  </si>
  <si>
    <t>14:36:30.027</t>
  </si>
  <si>
    <t>14:36:33.078</t>
  </si>
  <si>
    <t>14:36:37.727</t>
  </si>
  <si>
    <t>14:36:40.395</t>
  </si>
  <si>
    <t>14:37:13.592</t>
  </si>
  <si>
    <t>14:37:15.343</t>
  </si>
  <si>
    <t>14:37:19.991</t>
  </si>
  <si>
    <t>14:37:21.526</t>
  </si>
  <si>
    <t>14:37:23.058</t>
  </si>
  <si>
    <t>14:37:24.792</t>
  </si>
  <si>
    <t>14:37:32.958</t>
  </si>
  <si>
    <t>14:37:34.559</t>
  </si>
  <si>
    <t>14:37:36.592</t>
  </si>
  <si>
    <t>14:37:39.224</t>
  </si>
  <si>
    <t>14:37:41.658</t>
  </si>
  <si>
    <t>14:38:05.123</t>
  </si>
  <si>
    <t>14:38:06.724</t>
  </si>
  <si>
    <t>14:38:11.756</t>
  </si>
  <si>
    <t>14:38:54.254</t>
  </si>
  <si>
    <t>14:38:57.339</t>
  </si>
  <si>
    <t>14:39:03.920</t>
  </si>
  <si>
    <t>14:39:05.221</t>
  </si>
  <si>
    <t>14:39:09.954</t>
  </si>
  <si>
    <t>14:39:11.820</t>
  </si>
  <si>
    <t>14:39:13.920</t>
  </si>
  <si>
    <t>14:39:18.553</t>
  </si>
  <si>
    <t>14:39:20.054</t>
  </si>
  <si>
    <t>14:39:24.719</t>
  </si>
  <si>
    <t>14:39:25.753</t>
  </si>
  <si>
    <t>14:39:30.419</t>
  </si>
  <si>
    <t>14:39:32.553</t>
  </si>
  <si>
    <t>14:39:48.785</t>
  </si>
  <si>
    <t>14:23:07.307</t>
  </si>
  <si>
    <t>14:23:10.920</t>
  </si>
  <si>
    <t>14:24:35.626</t>
  </si>
  <si>
    <t>14:24:38.178</t>
  </si>
  <si>
    <t>14:28:55.524</t>
  </si>
  <si>
    <t>14:29:00.810</t>
  </si>
  <si>
    <t>14:29:07.389</t>
  </si>
  <si>
    <t>14:29:10.143</t>
  </si>
  <si>
    <t>14:29:57.387</t>
  </si>
  <si>
    <t>14:29:59.107</t>
  </si>
  <si>
    <t>14:30:05.687</t>
  </si>
  <si>
    <t>14:30:06.988</t>
  </si>
  <si>
    <t>14:30:13.586</t>
  </si>
  <si>
    <t>14:30:16.554</t>
  </si>
  <si>
    <t>14:30:22.786</t>
  </si>
  <si>
    <t>14:30:25.453</t>
  </si>
  <si>
    <t>14:30:26.985</t>
  </si>
  <si>
    <t>14:30:31.652</t>
  </si>
  <si>
    <t>14:30:33.453</t>
  </si>
  <si>
    <t>14:30:39.685</t>
  </si>
  <si>
    <t>14:30:41.153</t>
  </si>
  <si>
    <t>14:31:11.518</t>
  </si>
  <si>
    <t>14:32:09.203</t>
  </si>
  <si>
    <t>14:32:11.555</t>
  </si>
  <si>
    <t>14:32:18.136</t>
  </si>
  <si>
    <t>14:32:19.470</t>
  </si>
  <si>
    <t>14:32:26.069</t>
  </si>
  <si>
    <t>14:32:27.704</t>
  </si>
  <si>
    <t>14:32:32.569</t>
  </si>
  <si>
    <t>14:32:33.935</t>
  </si>
  <si>
    <t>14:32:35.636</t>
  </si>
  <si>
    <t>14:32:41.868</t>
  </si>
  <si>
    <t>14:32:43.335</t>
  </si>
  <si>
    <t>14:32:49.568</t>
  </si>
  <si>
    <t>14:32:51.035</t>
  </si>
  <si>
    <t>14:33:08.700</t>
  </si>
  <si>
    <t>14:35:23.961</t>
  </si>
  <si>
    <t>14:35:25.813</t>
  </si>
  <si>
    <t>14:35:44.559</t>
  </si>
  <si>
    <t>14:35:46.627</t>
  </si>
  <si>
    <t>14:35:54.426</t>
  </si>
  <si>
    <t>14:35:55.859</t>
  </si>
  <si>
    <t>14:36:02.458</t>
  </si>
  <si>
    <t>14:36:04.992</t>
  </si>
  <si>
    <t>14:36:17.857</t>
  </si>
  <si>
    <t>14:36:19.424</t>
  </si>
  <si>
    <t>14:36:21.677</t>
  </si>
  <si>
    <t>14:37:16.849</t>
  </si>
  <si>
    <t>14:37:18.902</t>
  </si>
  <si>
    <t>14:37:38.210</t>
  </si>
  <si>
    <t>14:37:37.641</t>
  </si>
  <si>
    <t>14:37:39.643</t>
  </si>
  <si>
    <t>14:37:58.380</t>
  </si>
  <si>
    <t>14:37:59.415</t>
  </si>
  <si>
    <t>14:38:06.013</t>
  </si>
  <si>
    <t>14:38:07.080</t>
  </si>
  <si>
    <t>14:38:13.680</t>
  </si>
  <si>
    <t>14:38:16.199</t>
  </si>
  <si>
    <t>14:39:19.893</t>
  </si>
  <si>
    <t>14:39:21.613</t>
  </si>
  <si>
    <t>14:39:30.127</t>
  </si>
  <si>
    <t>14:39:38.792</t>
  </si>
  <si>
    <t>14:39:39.926</t>
  </si>
  <si>
    <t>14:39:46.525</t>
  </si>
  <si>
    <t>14:39:48.626</t>
  </si>
  <si>
    <t>14:39:54.858</t>
  </si>
  <si>
    <t>14:39:55.825</t>
  </si>
  <si>
    <t>14:40:13.390</t>
  </si>
  <si>
    <t>14:40:32.945</t>
  </si>
  <si>
    <t>14:40:37.212</t>
  </si>
  <si>
    <t>14:40:41.379</t>
  </si>
  <si>
    <t>14:43:15.954</t>
  </si>
  <si>
    <t>14:43:18.040</t>
  </si>
  <si>
    <t>14:43:22.686</t>
  </si>
  <si>
    <t>14:43:24.421</t>
  </si>
  <si>
    <t>14:43:29.053</t>
  </si>
  <si>
    <t>14:43:30.554</t>
  </si>
  <si>
    <t>14:43:35.219</t>
  </si>
  <si>
    <t>14:43:36.854</t>
  </si>
  <si>
    <t>14:43:41.519</t>
  </si>
  <si>
    <t>14:43:42.753</t>
  </si>
  <si>
    <t>14:43:47.785</t>
  </si>
  <si>
    <t>14:44:57.038</t>
  </si>
  <si>
    <t>14:44:59.385</t>
  </si>
  <si>
    <t>14:45:02.437</t>
  </si>
  <si>
    <t>14:45:04.638</t>
  </si>
  <si>
    <t>14:45:11.237</t>
  </si>
  <si>
    <t>14:45:15.871</t>
  </si>
  <si>
    <t>14:45:21.003</t>
  </si>
  <si>
    <t>14:45:22.469</t>
  </si>
  <si>
    <t>14:45:25.204</t>
  </si>
  <si>
    <t>14:45:29.869</t>
  </si>
  <si>
    <t>14:45:31.237</t>
  </si>
  <si>
    <t>14:45:35.869</t>
  </si>
  <si>
    <t>14:45:36.903</t>
  </si>
  <si>
    <t>14:45:59.368</t>
  </si>
  <si>
    <t>14:15:54.268</t>
  </si>
  <si>
    <t>14:15:56.354</t>
  </si>
  <si>
    <t>14:16:02.913</t>
  </si>
  <si>
    <t>14:16:04.780</t>
  </si>
  <si>
    <t>14:16:11.012</t>
  </si>
  <si>
    <t>14:16:15.347</t>
  </si>
  <si>
    <t>14:16:21.579</t>
  </si>
  <si>
    <t>14:16:23.213</t>
  </si>
  <si>
    <t>14:16:24.745</t>
  </si>
  <si>
    <t>14:16:25.913</t>
  </si>
  <si>
    <t>14:16:30.945</t>
  </si>
  <si>
    <t>14:17:24.298</t>
  </si>
  <si>
    <t>14:17:25.917</t>
  </si>
  <si>
    <t>14:17:32.131</t>
  </si>
  <si>
    <t>14:17:34.098</t>
  </si>
  <si>
    <t>14:17:37.197</t>
  </si>
  <si>
    <t>14:17:38.331</t>
  </si>
  <si>
    <t>14:18:36.653</t>
  </si>
  <si>
    <t>14:18:42.866</t>
  </si>
  <si>
    <t>14:18:43.980</t>
  </si>
  <si>
    <t>14:18:45.500</t>
  </si>
  <si>
    <t>14:18:46.734</t>
  </si>
  <si>
    <t>14:18:56.466</t>
  </si>
  <si>
    <t>14:18:57.500</t>
  </si>
  <si>
    <t>14:19:04.733</t>
  </si>
  <si>
    <t>14:19:03.732</t>
  </si>
  <si>
    <t>14:19:05.499</t>
  </si>
  <si>
    <t>14:19:16.431</t>
  </si>
  <si>
    <t>14:19:23.865</t>
  </si>
  <si>
    <t>14:19:48.497</t>
  </si>
  <si>
    <t>14:21:13.415</t>
  </si>
  <si>
    <t>14:21:15.868</t>
  </si>
  <si>
    <t>14:21:35.214</t>
  </si>
  <si>
    <t>14:21:34.580</t>
  </si>
  <si>
    <t>14:21:36.881</t>
  </si>
  <si>
    <t>14:21:55.646</t>
  </si>
  <si>
    <t>14:21:56.580</t>
  </si>
  <si>
    <t>14:22:03.179</t>
  </si>
  <si>
    <t>14:22:04.746</t>
  </si>
  <si>
    <t>14:22:20.378</t>
  </si>
  <si>
    <t>14:22:21.378</t>
  </si>
  <si>
    <t>14:22:29.544</t>
  </si>
  <si>
    <t>14:22:32.545</t>
  </si>
  <si>
    <t>14:22:38.711</t>
  </si>
  <si>
    <t>14:25:38.224</t>
  </si>
  <si>
    <t>14:25:40.610</t>
  </si>
  <si>
    <t>14:25:47.157</t>
  </si>
  <si>
    <t>14:25:49.491</t>
  </si>
  <si>
    <t>14:25:54.156</t>
  </si>
  <si>
    <t>14:25:56.157</t>
  </si>
  <si>
    <t>14:26:00.823</t>
  </si>
  <si>
    <t>14:26:02.457</t>
  </si>
  <si>
    <t>14:26:07.123</t>
  </si>
  <si>
    <t>14:26:07.122</t>
  </si>
  <si>
    <t>14:26:08.723</t>
  </si>
  <si>
    <t>14:27:05.353</t>
  </si>
  <si>
    <t>14:27:06.705</t>
  </si>
  <si>
    <t>14:27:13.286</t>
  </si>
  <si>
    <t>14:27:15.420</t>
  </si>
  <si>
    <t>14:27:20.086</t>
  </si>
  <si>
    <t>14:27:21.620</t>
  </si>
  <si>
    <t>14:27:26.285</t>
  </si>
  <si>
    <t>14:27:27.719</t>
  </si>
  <si>
    <t>14:27:28.152</t>
  </si>
  <si>
    <t>14:27:32.385</t>
  </si>
  <si>
    <t>14:27:33.719</t>
  </si>
  <si>
    <t>14:27:36.784</t>
  </si>
  <si>
    <t>14:27:38.152</t>
  </si>
  <si>
    <t>14:27:57.917</t>
  </si>
  <si>
    <t>14:20:52.039</t>
  </si>
  <si>
    <t>14:20:53.658</t>
  </si>
  <si>
    <t>14:23:35.432</t>
  </si>
  <si>
    <t>14:23:37.151</t>
  </si>
  <si>
    <t>14:23:43.731</t>
  </si>
  <si>
    <t>14:23:45.884</t>
  </si>
  <si>
    <t>14:23:58.364</t>
  </si>
  <si>
    <t>14:24:00.265</t>
  </si>
  <si>
    <t>14:24:20.830</t>
  </si>
  <si>
    <t>14:26:15.724</t>
  </si>
  <si>
    <t>14:26:19.010</t>
  </si>
  <si>
    <t>14:27:24.965</t>
  </si>
  <si>
    <t>14:27:29.084</t>
  </si>
  <si>
    <t>14:27:47.830</t>
  </si>
  <si>
    <t>14:27:49.632</t>
  </si>
  <si>
    <t>14:28:06.830</t>
  </si>
  <si>
    <t>14:28:08.063</t>
  </si>
  <si>
    <t>14:28:14.662</t>
  </si>
  <si>
    <t>14:28:16.348</t>
  </si>
  <si>
    <t>14:28:35.095</t>
  </si>
  <si>
    <t>14:28:37.929</t>
  </si>
  <si>
    <t>14:29:38.009</t>
  </si>
  <si>
    <t>14:31:40.641</t>
  </si>
  <si>
    <t>14:31:42.294</t>
  </si>
  <si>
    <t>14:31:48.874</t>
  </si>
  <si>
    <t>14:31:50.141</t>
  </si>
  <si>
    <t>14:31:59.507</t>
  </si>
  <si>
    <t>14:32:14.273</t>
  </si>
  <si>
    <t>14:32:18.948</t>
  </si>
  <si>
    <t>14:32:20.479</t>
  </si>
  <si>
    <t>14:32:46.627</t>
  </si>
  <si>
    <t>14:32:47.646</t>
  </si>
  <si>
    <t>14:32:54.227</t>
  </si>
  <si>
    <t>14:32:56.061</t>
  </si>
  <si>
    <t>14:33:05.426</t>
  </si>
  <si>
    <t>14:33:07.179</t>
  </si>
  <si>
    <t>14:33:07.726</t>
  </si>
  <si>
    <t>14:33:16.493</t>
  </si>
  <si>
    <t>14:33:17.559</t>
  </si>
  <si>
    <t>14:17:13.896</t>
  </si>
  <si>
    <t>14:17:18.182</t>
  </si>
  <si>
    <t>14:17:24.745</t>
  </si>
  <si>
    <t>14:17:29.613</t>
  </si>
  <si>
    <t>14:17:42.111</t>
  </si>
  <si>
    <t>14:17:44.445</t>
  </si>
  <si>
    <t>14:17:56.944</t>
  </si>
  <si>
    <t>14:17:58.378</t>
  </si>
  <si>
    <t>14:18:00.378</t>
  </si>
  <si>
    <t>14:18:10.876</t>
  </si>
  <si>
    <t>14:18:12.377</t>
  </si>
  <si>
    <t>14:22:38.102</t>
  </si>
  <si>
    <t>14:22:40.556</t>
  </si>
  <si>
    <t>14:22:46.769</t>
  </si>
  <si>
    <t>14:22:48.869</t>
  </si>
  <si>
    <t>14:22:53.535</t>
  </si>
  <si>
    <t>14:22:55.069</t>
  </si>
  <si>
    <t>14:23:01.668</t>
  </si>
  <si>
    <t>14:23:02.968</t>
  </si>
  <si>
    <t>14:23:06.067</t>
  </si>
  <si>
    <t>14:23:06.835</t>
  </si>
  <si>
    <t>14:23:15.001</t>
  </si>
  <si>
    <t>14:23:16.501</t>
  </si>
  <si>
    <t>14:23:44.233</t>
  </si>
  <si>
    <t>14:26:33.096</t>
  </si>
  <si>
    <t>14:26:36.016</t>
  </si>
  <si>
    <t>14:26:42.596</t>
  </si>
  <si>
    <t>14:26:44.629</t>
  </si>
  <si>
    <t>14:26:47.696</t>
  </si>
  <si>
    <t>14:26:49.030</t>
  </si>
  <si>
    <t>14:26:57.195</t>
  </si>
  <si>
    <t>14:27:02.062</t>
  </si>
  <si>
    <t>14:27:08.294</t>
  </si>
  <si>
    <t>14:27:10.462</t>
  </si>
  <si>
    <t>14:27:16.694</t>
  </si>
  <si>
    <t>14:27:18.395</t>
  </si>
  <si>
    <t>14:27:50.126</t>
  </si>
  <si>
    <t>14:31:14.099</t>
  </si>
  <si>
    <t>14:31:15.652</t>
  </si>
  <si>
    <t>14:31:23.432</t>
  </si>
  <si>
    <t>14:31:25.333</t>
  </si>
  <si>
    <t>14:31:39.765</t>
  </si>
  <si>
    <t>14:31:40.865</t>
  </si>
  <si>
    <t>14:31:47.464</t>
  </si>
  <si>
    <t>14:33:00.644</t>
  </si>
  <si>
    <t>14:33:01.997</t>
  </si>
  <si>
    <t>14:33:09.777</t>
  </si>
  <si>
    <t>14:33:11.311</t>
  </si>
  <si>
    <t>14:33:25.709</t>
  </si>
  <si>
    <t>14:33:26.343</t>
  </si>
  <si>
    <t>14:33:32.942</t>
  </si>
  <si>
    <t>14:33:35.276</t>
  </si>
  <si>
    <t>14:33:53.042</t>
  </si>
  <si>
    <t>14:33:54.041</t>
  </si>
  <si>
    <t>14:33:55.594</t>
  </si>
  <si>
    <t>14:34:14.340</t>
  </si>
  <si>
    <t>14:34:16.041</t>
  </si>
  <si>
    <t>14:37:22.425</t>
  </si>
  <si>
    <t>14:37:25.211</t>
  </si>
  <si>
    <t>14:37:29.858</t>
  </si>
  <si>
    <t>14:37:33.026</t>
  </si>
  <si>
    <t>14:37:39.624</t>
  </si>
  <si>
    <t>14:37:42.625</t>
  </si>
  <si>
    <t>14:37:44.157</t>
  </si>
  <si>
    <t>14:37:46.458</t>
  </si>
  <si>
    <t>14:37:51.490</t>
  </si>
  <si>
    <t>14:39:05.981</t>
  </si>
  <si>
    <t>14:39:07.034</t>
  </si>
  <si>
    <t>14:39:13.615</t>
  </si>
  <si>
    <t>14:39:15.082</t>
  </si>
  <si>
    <t>14:39:21.681</t>
  </si>
  <si>
    <t>14:39:22.982</t>
  </si>
  <si>
    <t>14:39:23.648</t>
  </si>
  <si>
    <t>14:39:27.647</t>
  </si>
  <si>
    <t>14:39:29.214</t>
  </si>
  <si>
    <t>14:39:33.880</t>
  </si>
  <si>
    <t>14:39:35.914</t>
  </si>
  <si>
    <t>14:39:40.580</t>
  </si>
  <si>
    <t>14:39:42.380</t>
  </si>
  <si>
    <t>14:40:03.212</t>
  </si>
  <si>
    <t>15:09:47.278</t>
  </si>
  <si>
    <t>15:09:55.471</t>
  </si>
  <si>
    <t>15:12:27.054</t>
  </si>
  <si>
    <t>15:12:28.974</t>
  </si>
  <si>
    <t>15:15:41.053</t>
  </si>
  <si>
    <t>15:16:14.313</t>
  </si>
  <si>
    <t>15:19:32.664</t>
  </si>
  <si>
    <t>15:19:35.417</t>
  </si>
  <si>
    <t>15:31:22.988</t>
  </si>
  <si>
    <t>15:31:26.642</t>
  </si>
  <si>
    <t>15:35:46.403</t>
  </si>
  <si>
    <t>15:35:50.889</t>
  </si>
  <si>
    <t>15:36:03.369</t>
  </si>
  <si>
    <t>15:36:08.521</t>
  </si>
  <si>
    <t>15:36:13.369</t>
  </si>
  <si>
    <t>15:38:33.417</t>
  </si>
  <si>
    <t>15:38:40.603</t>
  </si>
  <si>
    <t>15:38:59.350</t>
  </si>
  <si>
    <t>15:38:59.349</t>
  </si>
  <si>
    <t>15:39:01.784</t>
  </si>
  <si>
    <t>15:41:56.613</t>
  </si>
  <si>
    <t>15:42:00.731</t>
  </si>
  <si>
    <t>15:42:19.478</t>
  </si>
  <si>
    <t>15:42:30.811</t>
  </si>
  <si>
    <t>15:44:22.006</t>
  </si>
  <si>
    <t>15:44:25.592</t>
  </si>
  <si>
    <t>15:44:35.105</t>
  </si>
  <si>
    <t>15:44:44.338</t>
  </si>
  <si>
    <t>15:44:46.290</t>
  </si>
  <si>
    <t>15:48:29.660</t>
  </si>
  <si>
    <t>15:48:32.046</t>
  </si>
  <si>
    <t>15:48:47.659</t>
  </si>
  <si>
    <t>15:48:49.812</t>
  </si>
  <si>
    <t>15:48:54.826</t>
  </si>
  <si>
    <t>15:48:57.959</t>
  </si>
  <si>
    <t>15:49:21.825</t>
  </si>
  <si>
    <t>15:49:24.758</t>
  </si>
  <si>
    <t>15:51:52.867</t>
  </si>
  <si>
    <t>15:51:54.653</t>
  </si>
  <si>
    <t>15:52:01.233</t>
  </si>
  <si>
    <t>15:52:03.019</t>
  </si>
  <si>
    <t>15:52:09.534</t>
  </si>
  <si>
    <t>15:52:21.766</t>
  </si>
  <si>
    <t>15:52:23.867</t>
  </si>
  <si>
    <t>15:52:42.631</t>
  </si>
  <si>
    <t>15:52:45.398</t>
  </si>
  <si>
    <t>15:53:04.163</t>
  </si>
  <si>
    <t>15:53:05.964</t>
  </si>
  <si>
    <t>15:02:06.236</t>
  </si>
  <si>
    <t>15:02:09.621</t>
  </si>
  <si>
    <t>15:02:20.534</t>
  </si>
  <si>
    <t>15:02:22.102</t>
  </si>
  <si>
    <t>15:02:28.701</t>
  </si>
  <si>
    <t>15:02:30.620</t>
  </si>
  <si>
    <t>15:02:32.701</t>
  </si>
  <si>
    <t>15:05:22.593</t>
  </si>
  <si>
    <t>15:05:24.212</t>
  </si>
  <si>
    <t>15:05:30.793</t>
  </si>
  <si>
    <t>15:05:32.811</t>
  </si>
  <si>
    <t>15:05:45.225</t>
  </si>
  <si>
    <t>15:05:57.559</t>
  </si>
  <si>
    <t>15:08:58.877</t>
  </si>
  <si>
    <t>15:09:00.865</t>
  </si>
  <si>
    <t>15:09:18.042</t>
  </si>
  <si>
    <t>15:09:19.779</t>
  </si>
  <si>
    <t>15:09:26.377</t>
  </si>
  <si>
    <t>15:09:28.780</t>
  </si>
  <si>
    <t>15:09:47.507</t>
  </si>
  <si>
    <t>15:09:49.176</t>
  </si>
  <si>
    <t>15:13:08.046</t>
  </si>
  <si>
    <t>15:13:09.767</t>
  </si>
  <si>
    <t>15:13:17.548</t>
  </si>
  <si>
    <t>15:13:18.614</t>
  </si>
  <si>
    <t>15:13:34.613</t>
  </si>
  <si>
    <t>15:13:36.832</t>
  </si>
  <si>
    <t>15:13:51.012</t>
  </si>
  <si>
    <t>15:13:55.577</t>
  </si>
  <si>
    <t>15:13:57.846</t>
  </si>
  <si>
    <t>15:17:04.769</t>
  </si>
  <si>
    <t>15:17:07.421</t>
  </si>
  <si>
    <t>15:17:10.502</t>
  </si>
  <si>
    <t>15:17:12.137</t>
  </si>
  <si>
    <t>15:17:23.401</t>
  </si>
  <si>
    <t>15:17:25.687</t>
  </si>
  <si>
    <t>15:17:26.235</t>
  </si>
  <si>
    <t>15:21:39.539</t>
  </si>
  <si>
    <t>15:21:55.872</t>
  </si>
  <si>
    <t>15:21:58.290</t>
  </si>
  <si>
    <t>15:22:01.372</t>
  </si>
  <si>
    <t>15:22:03.739</t>
  </si>
  <si>
    <t>15:22:11.904</t>
  </si>
  <si>
    <t>15:22:14.338</t>
  </si>
  <si>
    <t>15:22:20.571</t>
  </si>
  <si>
    <t>15:22:22.438</t>
  </si>
  <si>
    <t>15:22:23.037</t>
  </si>
  <si>
    <t>15:22:28.637</t>
  </si>
  <si>
    <t>15:22:30.737</t>
  </si>
  <si>
    <t>15:23:01.385</t>
  </si>
  <si>
    <t>15:26:45.691</t>
  </si>
  <si>
    <t>15:26:47.242</t>
  </si>
  <si>
    <t>15:26:55.024</t>
  </si>
  <si>
    <t>15:26:56.758</t>
  </si>
  <si>
    <t>15:27:12.756</t>
  </si>
  <si>
    <t>15:27:34.390</t>
  </si>
  <si>
    <t>15:27:36.622</t>
  </si>
  <si>
    <t>15:27:55.787</t>
  </si>
  <si>
    <t>15:27:57.488</t>
  </si>
  <si>
    <t>15:28:07.221</t>
  </si>
  <si>
    <t>15:28:08.887</t>
  </si>
  <si>
    <t>15:28:40.747</t>
  </si>
  <si>
    <t>15:32:42.334</t>
  </si>
  <si>
    <t>15:32:49.754</t>
  </si>
  <si>
    <t>15:32:54.401</t>
  </si>
  <si>
    <t>15:32:56.121</t>
  </si>
  <si>
    <t>15:32:57.633</t>
  </si>
  <si>
    <t>15:32:59.002</t>
  </si>
  <si>
    <t>15:33:07.166</t>
  </si>
  <si>
    <t>15:33:09.034</t>
  </si>
  <si>
    <t>15:33:12.132</t>
  </si>
  <si>
    <t>15:33:13.700</t>
  </si>
  <si>
    <t>15:33:18.700</t>
  </si>
  <si>
    <t>15:33:20.232</t>
  </si>
  <si>
    <t>15:33:22.033</t>
  </si>
  <si>
    <t>15:33:42.398</t>
  </si>
  <si>
    <t>14:23:32.293</t>
  </si>
  <si>
    <t>14:23:36.613</t>
  </si>
  <si>
    <t>14:26:07.402</t>
  </si>
  <si>
    <t>14:26:11.355</t>
  </si>
  <si>
    <t>14:28:41.461</t>
  </si>
  <si>
    <t>14:28:44.713</t>
  </si>
  <si>
    <t>14:28:54.427</t>
  </si>
  <si>
    <t>14:28:57.813</t>
  </si>
  <si>
    <t>14:29:07.125</t>
  </si>
  <si>
    <t>14:29:08.588</t>
  </si>
  <si>
    <t>14:30:32.310</t>
  </si>
  <si>
    <t>14:30:35.975</t>
  </si>
  <si>
    <t>14:30:45.655</t>
  </si>
  <si>
    <t>14:30:47.608</t>
  </si>
  <si>
    <t>14:30:56.921</t>
  </si>
  <si>
    <t>14:30:58.788</t>
  </si>
  <si>
    <t>14:31:03.820</t>
  </si>
  <si>
    <t>14:31:54.008</t>
  </si>
  <si>
    <t>14:31:55.260</t>
  </si>
  <si>
    <t>14:32:01.840</t>
  </si>
  <si>
    <t>14:32:04.441</t>
  </si>
  <si>
    <t>14:32:57.676</t>
  </si>
  <si>
    <t>14:33:01.163</t>
  </si>
  <si>
    <t>14:33:29.208</t>
  </si>
  <si>
    <t>14:33:30.494</t>
  </si>
  <si>
    <t>14:33:41.774</t>
  </si>
  <si>
    <t>14:33:47.508</t>
  </si>
  <si>
    <t>14:34:05.107</t>
  </si>
  <si>
    <t>14:34:11.773</t>
  </si>
  <si>
    <t>14:35:45.252</t>
  </si>
  <si>
    <t>14:35:47.171</t>
  </si>
  <si>
    <t>14:35:53.368</t>
  </si>
  <si>
    <t>14:35:54.620</t>
  </si>
  <si>
    <t>14:36:02.401</t>
  </si>
  <si>
    <t>14:36:03.468</t>
  </si>
  <si>
    <t>14:36:21.033</t>
  </si>
  <si>
    <t>14:36:21.901</t>
  </si>
  <si>
    <t>14:36:33.633</t>
  </si>
  <si>
    <t>14:37:37.868</t>
  </si>
  <si>
    <t>14:37:39.687</t>
  </si>
  <si>
    <t>14:37:45.901</t>
  </si>
  <si>
    <t>14:37:47.253</t>
  </si>
  <si>
    <t>14:38:21.538</t>
  </si>
  <si>
    <t>14:38:22.458</t>
  </si>
  <si>
    <t>14:38:28.649</t>
  </si>
  <si>
    <t>14:38:29.768</t>
  </si>
  <si>
    <t>14:38:35.982</t>
  </si>
  <si>
    <t>14:38:36.716</t>
  </si>
  <si>
    <t>14:38:42.950</t>
  </si>
  <si>
    <t>14:38:45.782</t>
  </si>
  <si>
    <t>14:38:52.381</t>
  </si>
  <si>
    <t>14:38:54.399</t>
  </si>
  <si>
    <t>14:38:57.498</t>
  </si>
  <si>
    <t>14:38:58.866</t>
  </si>
  <si>
    <t>14:39:10.603</t>
  </si>
  <si>
    <t>14:39:22.702</t>
  </si>
  <si>
    <t>14:41:29.872</t>
  </si>
  <si>
    <t>14:41:31.192</t>
  </si>
  <si>
    <t>14:41:49.939</t>
  </si>
  <si>
    <t>14:41:52.107</t>
  </si>
  <si>
    <t>14:41:55.206</t>
  </si>
  <si>
    <t>14:43:05.558</t>
  </si>
  <si>
    <t>14:43:06.710</t>
  </si>
  <si>
    <t>14:43:13.291</t>
  </si>
  <si>
    <t>14:43:14.458</t>
  </si>
  <si>
    <t>14:43:27.323</t>
  </si>
  <si>
    <t>14:43:28.643</t>
  </si>
  <si>
    <t>14:43:47.389</t>
  </si>
  <si>
    <t>14:43:50.790</t>
  </si>
  <si>
    <t>14:44:03.422</t>
  </si>
  <si>
    <t>14:44:09.554</t>
  </si>
  <si>
    <t>14:44:11.289</t>
  </si>
  <si>
    <t>14:44:30.053</t>
  </si>
  <si>
    <t>14:44:31.854</t>
  </si>
  <si>
    <t>14:44:41.421</t>
  </si>
  <si>
    <t>14:46:39.525</t>
  </si>
  <si>
    <t>14:46:40.678</t>
  </si>
  <si>
    <t>14:46:47.257</t>
  </si>
  <si>
    <t>14:46:48.125</t>
  </si>
  <si>
    <t>14:46:53.252</t>
  </si>
  <si>
    <t>14:46:54.718</t>
  </si>
  <si>
    <t>14:46:55.919</t>
  </si>
  <si>
    <t>14:47:00.579</t>
  </si>
  <si>
    <t>14:47:01.999</t>
  </si>
  <si>
    <t>14:47:06.646</t>
  </si>
  <si>
    <t>14:47:08.446</t>
  </si>
  <si>
    <t>14:47:09.146</t>
  </si>
  <si>
    <t>14:47:13.112</t>
  </si>
  <si>
    <t>14:47:14.313</t>
  </si>
  <si>
    <t>14:47:23.112</t>
  </si>
  <si>
    <t>14:16:48.562</t>
  </si>
  <si>
    <t>14:16:50.711</t>
  </si>
  <si>
    <t>14:16:53.795</t>
  </si>
  <si>
    <t>14:16:55.413</t>
  </si>
  <si>
    <t>14:17:03.561</t>
  </si>
  <si>
    <t>14:17:04.628</t>
  </si>
  <si>
    <t>14:17:06.161</t>
  </si>
  <si>
    <t>14:17:07.162</t>
  </si>
  <si>
    <t>14:17:16.894</t>
  </si>
  <si>
    <t>14:17:17.761</t>
  </si>
  <si>
    <t>14:17:23.993</t>
  </si>
  <si>
    <t>14:17:25.261</t>
  </si>
  <si>
    <t>14:17:36.193</t>
  </si>
  <si>
    <t>14:18:28.413</t>
  </si>
  <si>
    <t>14:18:31.066</t>
  </si>
  <si>
    <t>14:19:09.900</t>
  </si>
  <si>
    <t>14:19:10.967</t>
  </si>
  <si>
    <t>14:19:17.566</t>
  </si>
  <si>
    <t>14:19:18.667</t>
  </si>
  <si>
    <t>14:19:21.765</t>
  </si>
  <si>
    <t>14:19:22.933</t>
  </si>
  <si>
    <t>14:19:26.933</t>
  </si>
  <si>
    <t>14:19:31.099</t>
  </si>
  <si>
    <t>14:19:32.566</t>
  </si>
  <si>
    <t>14:20:36.006</t>
  </si>
  <si>
    <t>14:20:37.492</t>
  </si>
  <si>
    <t>14:24:42.872</t>
  </si>
  <si>
    <t>14:24:46.324</t>
  </si>
  <si>
    <t>14:24:52.538</t>
  </si>
  <si>
    <t>14:24:53.823</t>
  </si>
  <si>
    <t>14:25:00.037</t>
  </si>
  <si>
    <t>14:25:01.839</t>
  </si>
  <si>
    <t>14:25:08.071</t>
  </si>
  <si>
    <t>14:25:09.605</t>
  </si>
  <si>
    <t>14:26:34.989</t>
  </si>
  <si>
    <t>14:26:39.656</t>
  </si>
  <si>
    <t>14:26:46.255</t>
  </si>
  <si>
    <t>14:26:47.321</t>
  </si>
  <si>
    <t>14:26:49.022</t>
  </si>
  <si>
    <t>14:31:37.124</t>
  </si>
  <si>
    <t>14:31:39.410</t>
  </si>
  <si>
    <t>14:31:45.624</t>
  </si>
  <si>
    <t>14:31:46.842</t>
  </si>
  <si>
    <t>14:33:49.979</t>
  </si>
  <si>
    <t>14:33:52.297</t>
  </si>
  <si>
    <t>14:34:10.012</t>
  </si>
  <si>
    <t>14:34:11.044</t>
  </si>
  <si>
    <t>14:34:12.245</t>
  </si>
  <si>
    <t>14:34:30.977</t>
  </si>
  <si>
    <t>14:34:33.929</t>
  </si>
  <si>
    <t>14:34:36.976</t>
  </si>
  <si>
    <t>14:34:38.378</t>
  </si>
  <si>
    <t>14:34:53.313</t>
  </si>
  <si>
    <t>14:34:56.258</t>
  </si>
  <si>
    <t>14:35:07.574</t>
  </si>
  <si>
    <t>14:35:12.077</t>
  </si>
  <si>
    <t>14:40:39.920</t>
  </si>
  <si>
    <t>14:40:41.444</t>
  </si>
  <si>
    <t>14:40:50.879</t>
  </si>
  <si>
    <t>14:40:52.497</t>
  </si>
  <si>
    <t>14:40:58.469</t>
  </si>
  <si>
    <t>14:41:00.637</t>
  </si>
  <si>
    <t>14:41:09.492</t>
  </si>
  <si>
    <t>14:41:11.025</t>
  </si>
  <si>
    <t>14:41:17.972</t>
  </si>
  <si>
    <t>14:41:19.442</t>
  </si>
  <si>
    <t>14:41:33.350</t>
  </si>
  <si>
    <t>14:41:34.220</t>
  </si>
  <si>
    <t>14:41:39.217</t>
  </si>
  <si>
    <t>14:41:58.838</t>
  </si>
  <si>
    <t>14:44:34.819</t>
  </si>
  <si>
    <t>14:42:46.084</t>
  </si>
  <si>
    <t>14:42:49.470</t>
  </si>
  <si>
    <t>14:46:08.040</t>
  </si>
  <si>
    <t>14:46:13.326</t>
  </si>
  <si>
    <t>14:48:48.349</t>
  </si>
  <si>
    <t>14:48:49.569</t>
  </si>
  <si>
    <t>14:48:59.281</t>
  </si>
  <si>
    <t>14:49:04.682</t>
  </si>
  <si>
    <t>14:49:10.915</t>
  </si>
  <si>
    <t>14:49:13.682</t>
  </si>
  <si>
    <t>14:49:24.614</t>
  </si>
  <si>
    <t>14:49:30.880</t>
  </si>
  <si>
    <t>14:50:02.211</t>
  </si>
  <si>
    <t>14:51:30.636</t>
  </si>
  <si>
    <t>14:51:31.889</t>
  </si>
  <si>
    <t>14:51:36.902</t>
  </si>
  <si>
    <t>14:52:07.889</t>
  </si>
  <si>
    <t>14:52:10.475</t>
  </si>
  <si>
    <t>14:52:17.522</t>
  </si>
  <si>
    <t>14:52:18.808</t>
  </si>
  <si>
    <t>14:52:25.388</t>
  </si>
  <si>
    <t>14:52:27.189</t>
  </si>
  <si>
    <t>14:52:33.788</t>
  </si>
  <si>
    <t>14:52:35.522</t>
  </si>
  <si>
    <t>14:52:57.887</t>
  </si>
  <si>
    <t>14:53:10.420</t>
  </si>
  <si>
    <t>14:53:22.986</t>
  </si>
  <si>
    <t>14:54:21.883</t>
  </si>
  <si>
    <t>14:54:22.769</t>
  </si>
  <si>
    <t>14:54:27.382</t>
  </si>
  <si>
    <t>14:54:28.583</t>
  </si>
  <si>
    <t>14:54:35.182</t>
  </si>
  <si>
    <t>14:54:36.149</t>
  </si>
  <si>
    <t>14:54:38.282</t>
  </si>
  <si>
    <t>14:54:42.748</t>
  </si>
  <si>
    <t>14:54:46.883</t>
  </si>
  <si>
    <t>14:55:11.981</t>
  </si>
  <si>
    <t>14:55:21.747</t>
  </si>
  <si>
    <t>14:57:45.912</t>
  </si>
  <si>
    <t>14:57:47.165</t>
  </si>
  <si>
    <t>14:58:32.937</t>
  </si>
  <si>
    <t>14:58:35.023</t>
  </si>
  <si>
    <t>14:58:39.670</t>
  </si>
  <si>
    <t>14:58:40.704</t>
  </si>
  <si>
    <t>14:58:47.303</t>
  </si>
  <si>
    <t>14:58:47.870</t>
  </si>
  <si>
    <t>14:58:49.937</t>
  </si>
  <si>
    <t>14:58:54.469</t>
  </si>
  <si>
    <t>14:58:55.570</t>
  </si>
  <si>
    <t>14:59:01.801</t>
  </si>
  <si>
    <t>14:59:02.770</t>
  </si>
  <si>
    <t>14:59:03.169</t>
  </si>
  <si>
    <t>14:59:09.001</t>
  </si>
  <si>
    <t>14:59:10.837</t>
  </si>
  <si>
    <t>14:59:17.235</t>
  </si>
  <si>
    <t>15:01:29.700</t>
  </si>
  <si>
    <t>15:01:32.254</t>
  </si>
  <si>
    <t>15:01:50.938</t>
  </si>
  <si>
    <t>15:01:51.919</t>
  </si>
  <si>
    <t>15:02:10.670</t>
  </si>
  <si>
    <t>15:02:12.205</t>
  </si>
  <si>
    <t>15:02:15.305</t>
  </si>
  <si>
    <t>15:02:16.138</t>
  </si>
  <si>
    <t>15:02:16.504</t>
  </si>
  <si>
    <t>15:02:30.570</t>
  </si>
  <si>
    <t>15:02:32.804</t>
  </si>
  <si>
    <t>15:02:44.103</t>
  </si>
  <si>
    <t>15:02:45.870</t>
  </si>
  <si>
    <t>15:03:26.767</t>
  </si>
  <si>
    <t>15:05:44.599</t>
  </si>
  <si>
    <t>15:05:45.819</t>
  </si>
  <si>
    <t>15:05:50.466</t>
  </si>
  <si>
    <t>15:05:52.433</t>
  </si>
  <si>
    <t>15:05:57.099</t>
  </si>
  <si>
    <t>15:05:58.566</t>
  </si>
  <si>
    <t>15:06:03.231</t>
  </si>
  <si>
    <t>15:06:04.266</t>
  </si>
  <si>
    <t>15:06:05.799</t>
  </si>
  <si>
    <t>15:06:07.199</t>
  </si>
  <si>
    <t>15:06:12.230</t>
  </si>
  <si>
    <t>15:07:28.527</t>
  </si>
  <si>
    <t>15:07:30.441</t>
  </si>
  <si>
    <t>15:07:37.017</t>
  </si>
  <si>
    <t>15:07:39.122</t>
  </si>
  <si>
    <t>15:07:43.782</t>
  </si>
  <si>
    <t>15:07:44.916</t>
  </si>
  <si>
    <t>15:07:49.581</t>
  </si>
  <si>
    <t>15:07:51.449</t>
  </si>
  <si>
    <t>15:07:56.114</t>
  </si>
  <si>
    <t>15:07:57.449</t>
  </si>
  <si>
    <t>15:08:00.547</t>
  </si>
  <si>
    <t>15:08:02.416</t>
  </si>
  <si>
    <t>15:08:07.448</t>
  </si>
  <si>
    <t>15:10:24.979</t>
  </si>
  <si>
    <t>15:10:26.666</t>
  </si>
  <si>
    <t>15:10:31.312</t>
  </si>
  <si>
    <t>15:10:32.481</t>
  </si>
  <si>
    <t>15:10:37.146</t>
  </si>
  <si>
    <t>15:10:39.613</t>
  </si>
  <si>
    <t>15:10:44.281</t>
  </si>
  <si>
    <t>15:10:45.898</t>
  </si>
  <si>
    <t>15:08:19.539</t>
  </si>
  <si>
    <t>15:08:20.946</t>
  </si>
  <si>
    <t>15:08:27.539</t>
  </si>
  <si>
    <t>15:08:28.407</t>
  </si>
  <si>
    <t>15:08:34.639</t>
  </si>
  <si>
    <t>15:08:35.826</t>
  </si>
  <si>
    <t>15:08:42.038</t>
  </si>
  <si>
    <t>15:08:42.874</t>
  </si>
  <si>
    <t>15:08:47.904</t>
  </si>
  <si>
    <t>15:10:46.932</t>
  </si>
  <si>
    <t>15:10:48.352</t>
  </si>
  <si>
    <t>15:10:52.998</t>
  </si>
  <si>
    <t>15:10:54.068</t>
  </si>
  <si>
    <t>15:11:00.659</t>
  </si>
  <si>
    <t>15:11:02.534</t>
  </si>
  <si>
    <t>15:11:07.366</t>
  </si>
  <si>
    <t>15:11:08.767</t>
  </si>
  <si>
    <t>15:11:10.233</t>
  </si>
  <si>
    <t>15:11:16.465</t>
  </si>
  <si>
    <t>15:11:17.766</t>
  </si>
  <si>
    <t>15:11:31.831</t>
  </si>
  <si>
    <t>15:11:32.369</t>
  </si>
  <si>
    <t>15:11:32.632</t>
  </si>
  <si>
    <t>15:11:56.364</t>
  </si>
  <si>
    <t>15:14:03.378</t>
  </si>
  <si>
    <t>15:14:05.331</t>
  </si>
  <si>
    <t>15:14:22.579</t>
  </si>
  <si>
    <t>15:14:22.510</t>
  </si>
  <si>
    <t>15:14:29.143</t>
  </si>
  <si>
    <t>15:14:30.278</t>
  </si>
  <si>
    <t>15:16:24.054</t>
  </si>
  <si>
    <t>15:16:25.275</t>
  </si>
  <si>
    <t>15:16:40.995</t>
  </si>
  <si>
    <t>15:16:40.854</t>
  </si>
  <si>
    <t>15:16:42.340</t>
  </si>
  <si>
    <t>15:16:50.487</t>
  </si>
  <si>
    <t>15:16:53.922</t>
  </si>
  <si>
    <t>15:17:12.652</t>
  </si>
  <si>
    <t>15:17:13.787</t>
  </si>
  <si>
    <t>15:17:18.454</t>
  </si>
  <si>
    <t>15:17:20.354</t>
  </si>
  <si>
    <t>15:17:39.485</t>
  </si>
  <si>
    <t>15:17:40.720</t>
  </si>
  <si>
    <t>15:17:44.219</t>
  </si>
  <si>
    <t>15:20:33.025</t>
  </si>
  <si>
    <t>15:20:34.545</t>
  </si>
  <si>
    <t>15:20:41.114</t>
  </si>
  <si>
    <t>15:20:42.483</t>
  </si>
  <si>
    <t>15:20:47.148</t>
  </si>
  <si>
    <t>15:20:49.016</t>
  </si>
  <si>
    <t>15:20:53.681</t>
  </si>
  <si>
    <t>15:20:56.782</t>
  </si>
  <si>
    <t>15:20:58.313</t>
  </si>
  <si>
    <t>15:21:00.282</t>
  </si>
  <si>
    <t>15:21:05.314</t>
  </si>
  <si>
    <t>15:22:38.755</t>
  </si>
  <si>
    <t>15:22:40.944</t>
  </si>
  <si>
    <t>15:22:45.591</t>
  </si>
  <si>
    <t>15:22:46.688</t>
  </si>
  <si>
    <t>15:22:53.285</t>
  </si>
  <si>
    <t>15:22:55.021</t>
  </si>
  <si>
    <t>15:22:59.686</t>
  </si>
  <si>
    <t>15:23:00.520</t>
  </si>
  <si>
    <t>15:23:05.286</t>
  </si>
  <si>
    <t>15:23:05.185</t>
  </si>
  <si>
    <t>15:23:05.720</t>
  </si>
  <si>
    <t>15:23:12.318</t>
  </si>
  <si>
    <t>15:23:13.290</t>
  </si>
  <si>
    <t>15:24:21.349</t>
  </si>
  <si>
    <t>15:28:50.024</t>
  </si>
  <si>
    <t>15:28:51.044</t>
  </si>
  <si>
    <t>15:28:55.691</t>
  </si>
  <si>
    <t>15:28:57.210</t>
  </si>
  <si>
    <t>15:28:58.723</t>
  </si>
  <si>
    <t>15:29:00.325</t>
  </si>
  <si>
    <t>15:29:06.922</t>
  </si>
  <si>
    <t>15:29:08.358</t>
  </si>
  <si>
    <t>15:29:13.390</t>
  </si>
  <si>
    <t>14:27:19.225</t>
  </si>
  <si>
    <t>14:27:23.311</t>
  </si>
  <si>
    <t>14:27:24.825</t>
  </si>
  <si>
    <t>14:27:27.526</t>
  </si>
  <si>
    <t>14:27:29.058</t>
  </si>
  <si>
    <t>14:27:32.944</t>
  </si>
  <si>
    <t>14:27:34.458</t>
  </si>
  <si>
    <t>14:27:38.125</t>
  </si>
  <si>
    <t>14:27:47.491</t>
  </si>
  <si>
    <t>14:27:52.002</t>
  </si>
  <si>
    <t>14:27:57.035</t>
  </si>
  <si>
    <t>14:27:59.102</t>
  </si>
  <si>
    <t>14:27:58.601</t>
  </si>
  <si>
    <t>14:28:02.735</t>
  </si>
  <si>
    <t>14:28:07.468</t>
  </si>
  <si>
    <t>14:28:07.400</t>
  </si>
  <si>
    <t>14:28:11.168</t>
  </si>
  <si>
    <t>14:28:16.200</t>
  </si>
  <si>
    <t>14:28:16.201</t>
  </si>
  <si>
    <t>14:28:17.134</t>
  </si>
  <si>
    <t>14:28:17.767</t>
  </si>
  <si>
    <t>14:28:19.501</t>
  </si>
  <si>
    <t>14:28:24.600</t>
  </si>
  <si>
    <t>14:28:24.168</t>
  </si>
  <si>
    <t>14:28:25.368</t>
  </si>
  <si>
    <t>14:28:30.399</t>
  </si>
  <si>
    <t>14:28:30.467</t>
  </si>
  <si>
    <t>14:28:37.500</t>
  </si>
  <si>
    <t>14:30:40.332</t>
  </si>
  <si>
    <t>14:30:41.518</t>
  </si>
  <si>
    <t>14:30:51.232</t>
  </si>
  <si>
    <t>14:30:52.777</t>
  </si>
  <si>
    <t>14:30:58.898</t>
  </si>
  <si>
    <t>14:30:58.997</t>
  </si>
  <si>
    <t>14:31:00.966</t>
  </si>
  <si>
    <t>14:31:07.031</t>
  </si>
  <si>
    <t>14:31:07.164</t>
  </si>
  <si>
    <t>14:31:09.465</t>
  </si>
  <si>
    <t>14:31:10.098</t>
  </si>
  <si>
    <t>14:31:16.197</t>
  </si>
  <si>
    <t>14:31:15.697</t>
  </si>
  <si>
    <t>14:31:16.864</t>
  </si>
  <si>
    <t>14:31:22.064</t>
  </si>
  <si>
    <t>14:34:11.060</t>
  </si>
  <si>
    <t>14:34:12.341</t>
  </si>
  <si>
    <t>14:34:18.560</t>
  </si>
  <si>
    <t>14:34:19.579</t>
  </si>
  <si>
    <t>14:34:25.793</t>
  </si>
  <si>
    <t>14:34:26.794</t>
  </si>
  <si>
    <t>14:34:28.326</t>
  </si>
  <si>
    <t>14:34:28.994</t>
  </si>
  <si>
    <t>14:34:35.593</t>
  </si>
  <si>
    <t>14:34:37.160</t>
  </si>
  <si>
    <t>14:34:42.192</t>
  </si>
  <si>
    <t>14:34:42.626</t>
  </si>
  <si>
    <t>14:34:45.292</t>
  </si>
  <si>
    <t>14:34:48.226</t>
  </si>
  <si>
    <t>14:34:53.458</t>
  </si>
  <si>
    <t>14:35:08.758</t>
  </si>
  <si>
    <t>14:35:18.324</t>
  </si>
  <si>
    <t>14:38:33.931</t>
  </si>
  <si>
    <t>14:38:34.749</t>
  </si>
  <si>
    <t>14:38:41.330</t>
  </si>
  <si>
    <t>14:38:42.715</t>
  </si>
  <si>
    <t>14:38:44.230</t>
  </si>
  <si>
    <t>14:38:44.731</t>
  </si>
  <si>
    <t>14:38:49.763</t>
  </si>
  <si>
    <t>14:41:52.282</t>
  </si>
  <si>
    <t>14:41:53.301</t>
  </si>
  <si>
    <t>14:41:59.882</t>
  </si>
  <si>
    <t>14:42:00.615</t>
  </si>
  <si>
    <t>14:42:06.116</t>
  </si>
  <si>
    <t>14:42:07.215</t>
  </si>
  <si>
    <t>14:42:08.549</t>
  </si>
  <si>
    <t>14:42:14.781</t>
  </si>
  <si>
    <t>14:42:16.082</t>
  </si>
  <si>
    <t>14:42:22.314</t>
  </si>
  <si>
    <t>14:42:23.282</t>
  </si>
  <si>
    <t>14:42:28.414</t>
  </si>
  <si>
    <t>14:42:29.513</t>
  </si>
  <si>
    <t>14:42:31.166</t>
  </si>
  <si>
    <t>14:42:51.980</t>
  </si>
  <si>
    <t>14:42:58.940</t>
  </si>
  <si>
    <t>14:43:05.768</t>
  </si>
  <si>
    <t>14:46:01.448</t>
  </si>
  <si>
    <t>14:46:02.464</t>
  </si>
  <si>
    <t>14:46:09.381</t>
  </si>
  <si>
    <t>14:46:21.180</t>
  </si>
  <si>
    <t>14:46:22.232</t>
  </si>
  <si>
    <t>14:46:40.979</t>
  </si>
  <si>
    <t>14:46:42.713</t>
  </si>
  <si>
    <t>14:46:55.712</t>
  </si>
  <si>
    <t>14:47:01.445</t>
  </si>
  <si>
    <t>14:47:02.379</t>
  </si>
  <si>
    <t>14:47:03.911</t>
  </si>
  <si>
    <t>14:47:05.412</t>
  </si>
  <si>
    <t>14:47:18.277</t>
  </si>
  <si>
    <t>14:47:18.944</t>
  </si>
  <si>
    <t>14:47:43.287</t>
  </si>
  <si>
    <t>14:50:05.858</t>
  </si>
  <si>
    <t>14:50:06.944</t>
  </si>
  <si>
    <t>14:50:11.591</t>
  </si>
  <si>
    <t>14:50:12.576</t>
  </si>
  <si>
    <t>14:50:17.224</t>
  </si>
  <si>
    <t>14:50:18.092</t>
  </si>
  <si>
    <t>14:50:22.757</t>
  </si>
  <si>
    <t>14:50:23.758</t>
  </si>
  <si>
    <t>14:50:30.725</t>
  </si>
  <si>
    <t>14:50:34.690</t>
  </si>
  <si>
    <t>14:50:35.590</t>
  </si>
  <si>
    <t>14:50:40.856</t>
  </si>
  <si>
    <t>14:50:45.323</t>
  </si>
  <si>
    <t>14:50:46.157</t>
  </si>
  <si>
    <t>14:18:23.849</t>
  </si>
  <si>
    <t>14:18:24.868</t>
  </si>
  <si>
    <t>14:18:31.448</t>
  </si>
  <si>
    <t>14:18:32.949</t>
  </si>
  <si>
    <t>14:18:36.015</t>
  </si>
  <si>
    <t>14:18:36.816</t>
  </si>
  <si>
    <t>14:18:40.115</t>
  </si>
  <si>
    <t>14:18:44.981</t>
  </si>
  <si>
    <t>14:18:46.034</t>
  </si>
  <si>
    <t>14:18:47.081</t>
  </si>
  <si>
    <t>14:18:52.248</t>
  </si>
  <si>
    <t>14:18:53.248</t>
  </si>
  <si>
    <t>14:18:59.480</t>
  </si>
  <si>
    <t>14:19:01.414</t>
  </si>
  <si>
    <t>14:19:06.614</t>
  </si>
  <si>
    <t>14:19:24.413</t>
  </si>
  <si>
    <t>14:19:30.212</t>
  </si>
  <si>
    <t>14:19:37.912</t>
  </si>
  <si>
    <t>14:22:41.208</t>
  </si>
  <si>
    <t>14:22:42.060</t>
  </si>
  <si>
    <t>14:22:59.230</t>
  </si>
  <si>
    <t>14:23:00.864</t>
  </si>
  <si>
    <t>14:23:07.462</t>
  </si>
  <si>
    <t>14:23:08.964</t>
  </si>
  <si>
    <t>14:23:15.162</t>
  </si>
  <si>
    <t>14:23:16.096</t>
  </si>
  <si>
    <t>14:23:26.629</t>
  </si>
  <si>
    <t>14:23:33.645</t>
  </si>
  <si>
    <t>14:23:35.231</t>
  </si>
  <si>
    <t>14:23:53.977</t>
  </si>
  <si>
    <t>14:23:55.078</t>
  </si>
  <si>
    <t>14:23:55.844</t>
  </si>
  <si>
    <t>14:24:32.997</t>
  </si>
  <si>
    <t>14:28:47.952</t>
  </si>
  <si>
    <t>14:28:48.971</t>
  </si>
  <si>
    <t>14:28:55.551</t>
  </si>
  <si>
    <t>14:28:56.918</t>
  </si>
  <si>
    <t>14:29:01.584</t>
  </si>
  <si>
    <t>14:29:02.504</t>
  </si>
  <si>
    <t>14:29:06.251</t>
  </si>
  <si>
    <t>14:29:07.150</t>
  </si>
  <si>
    <t>14:29:09.851</t>
  </si>
  <si>
    <t>14:29:14.517</t>
  </si>
  <si>
    <t>14:29:15.517</t>
  </si>
  <si>
    <t>14:29:15.518</t>
  </si>
  <si>
    <t>14:29:20.183</t>
  </si>
  <si>
    <t>14:29:20.883</t>
  </si>
  <si>
    <t>14:31:07.656</t>
  </si>
  <si>
    <t>14:31:08.902</t>
  </si>
  <si>
    <t>14:31:15.489</t>
  </si>
  <si>
    <t>14:31:16.307</t>
  </si>
  <si>
    <t>14:31:20.955</t>
  </si>
  <si>
    <t>14:31:22.789</t>
  </si>
  <si>
    <t>14:31:27.455</t>
  </si>
  <si>
    <t>14:31:28.022</t>
  </si>
  <si>
    <t>14:31:30.255</t>
  </si>
  <si>
    <t>14:31:32.688</t>
  </si>
  <si>
    <t>14:31:33.522</t>
  </si>
  <si>
    <t>14:31:35.255</t>
  </si>
  <si>
    <t>14:31:39.087</t>
  </si>
  <si>
    <t>14:31:43.454</t>
  </si>
  <si>
    <t>14:31:48.487</t>
  </si>
  <si>
    <t>14:31:52.821</t>
  </si>
  <si>
    <t>14:31:52.287</t>
  </si>
  <si>
    <t>14:31:53.288</t>
  </si>
  <si>
    <t>14:32:03.553</t>
  </si>
  <si>
    <t>15:09:45.638</t>
  </si>
  <si>
    <t>15:09:51.856</t>
  </si>
  <si>
    <t>15:26:29.999</t>
  </si>
  <si>
    <t>15:26:35.619</t>
  </si>
  <si>
    <t>15:28:45.815</t>
  </si>
  <si>
    <t>15:28:48.534</t>
  </si>
  <si>
    <t>15:31:16.741</t>
  </si>
  <si>
    <t>15:31:18.394</t>
  </si>
  <si>
    <t>15:31:30.841</t>
  </si>
  <si>
    <t>15:31:34.393</t>
  </si>
  <si>
    <t>15:31:42.173</t>
  </si>
  <si>
    <t>15:31:44.940</t>
  </si>
  <si>
    <t>15:33:35.951</t>
  </si>
  <si>
    <t>15:33:38.803</t>
  </si>
  <si>
    <t>15:33:51.283</t>
  </si>
  <si>
    <t>15:33:55.351</t>
  </si>
  <si>
    <t>15:34:06.283</t>
  </si>
  <si>
    <t>15:34:08.117</t>
  </si>
  <si>
    <t>15:35:05.147</t>
  </si>
  <si>
    <t>15:36:35.354</t>
  </si>
  <si>
    <t>15:36:36.773</t>
  </si>
  <si>
    <t>15:36:42.986</t>
  </si>
  <si>
    <t>15:36:45.239</t>
  </si>
  <si>
    <t>15:36:53.019</t>
  </si>
  <si>
    <t>15:36:55.020</t>
  </si>
  <si>
    <t>15:37:25.318</t>
  </si>
  <si>
    <t>15:37:46.200</t>
  </si>
  <si>
    <t>15:39:44.677</t>
  </si>
  <si>
    <t>15:39:46.063</t>
  </si>
  <si>
    <t>15:40:04.810</t>
  </si>
  <si>
    <t>15:40:07.396</t>
  </si>
  <si>
    <t>15:40:21.403</t>
  </si>
  <si>
    <t>15:40:22.832</t>
  </si>
  <si>
    <t>15:40:29.397</t>
  </si>
  <si>
    <t>15:40:31.431</t>
  </si>
  <si>
    <t>15:40:36.464</t>
  </si>
  <si>
    <t>15:40:39.597</t>
  </si>
  <si>
    <t>15:40:41.731</t>
  </si>
  <si>
    <t>15:41:00.468</t>
  </si>
  <si>
    <t>15:41:02.502</t>
  </si>
  <si>
    <t>15:41:03.135</t>
  </si>
  <si>
    <t>15:43:54.548</t>
  </si>
  <si>
    <t>15:43:56.001</t>
  </si>
  <si>
    <t>15:44:00.648</t>
  </si>
  <si>
    <t>15:44:01.949</t>
  </si>
  <si>
    <t>15:44:03.481</t>
  </si>
  <si>
    <t>15:44:07.815</t>
  </si>
  <si>
    <t>15:44:14.414</t>
  </si>
  <si>
    <t>15:44:15.648</t>
  </si>
  <si>
    <t>15:44:16.582</t>
  </si>
  <si>
    <t>15:44:22.247</t>
  </si>
  <si>
    <t>15:44:26.533</t>
  </si>
  <si>
    <t>15:44:30.214</t>
  </si>
  <si>
    <t>15:44:31.180</t>
  </si>
  <si>
    <t>15:44:33.080</t>
  </si>
  <si>
    <t>15:44:40.946</t>
  </si>
  <si>
    <t>15:46:25.846</t>
  </si>
  <si>
    <t>15:46:27.166</t>
  </si>
  <si>
    <t>15:46:31.812</t>
  </si>
  <si>
    <t>15:46:33.332</t>
  </si>
  <si>
    <t>15:46:34.846</t>
  </si>
  <si>
    <t>15:46:36.047</t>
  </si>
  <si>
    <t>15:46:42.646</t>
  </si>
  <si>
    <t>15:46:44.213</t>
  </si>
  <si>
    <t>15:46:49.245</t>
  </si>
  <si>
    <t>15:46:51.012</t>
  </si>
  <si>
    <t>15:46:50.812</t>
  </si>
  <si>
    <t>15:47:02.279</t>
  </si>
  <si>
    <t>15:47:06.945</t>
  </si>
  <si>
    <t>15:47:08.312</t>
  </si>
  <si>
    <t>15:47:12.244</t>
  </si>
  <si>
    <t>15:47:20.177</t>
  </si>
  <si>
    <t>15:48:37.601</t>
  </si>
  <si>
    <t>15:48:38.854</t>
  </si>
  <si>
    <t>15:48:43.501</t>
  </si>
  <si>
    <t>15:48:45.068</t>
  </si>
  <si>
    <t>15:48:49.734</t>
  </si>
  <si>
    <t>15:48:51.135</t>
  </si>
  <si>
    <t>15:48:52.667</t>
  </si>
  <si>
    <t>15:48:54.035</t>
  </si>
  <si>
    <t>15:49:00.633</t>
  </si>
  <si>
    <t>15:49:01.868</t>
  </si>
  <si>
    <t>15:49:06.899</t>
  </si>
  <si>
    <t>15:49:08.633</t>
  </si>
  <si>
    <t>15:49:08.466</t>
  </si>
  <si>
    <t>15:49:09.585</t>
  </si>
  <si>
    <t>15:49:15.966</t>
  </si>
  <si>
    <t>15:49:25.266</t>
  </si>
  <si>
    <t>15:50:29.457</t>
  </si>
  <si>
    <t>15:50:30.777</t>
  </si>
  <si>
    <t>15:50:35.423</t>
  </si>
  <si>
    <t>15:50:37.325</t>
  </si>
  <si>
    <t>15:50:41.973</t>
  </si>
  <si>
    <t>15:50:43.340</t>
  </si>
  <si>
    <t>15:50:49.939</t>
  </si>
  <si>
    <t>15:50:51.173</t>
  </si>
  <si>
    <t>15:50:55.806</t>
  </si>
  <si>
    <t>15:50:57.473</t>
  </si>
  <si>
    <t>15:51:07.439</t>
  </si>
  <si>
    <t>15:51:16.805</t>
  </si>
  <si>
    <t>15:51:25.871</t>
  </si>
  <si>
    <t>15:06:35.738</t>
  </si>
  <si>
    <t>15:06:36.819</t>
  </si>
  <si>
    <t>15:06:43.011</t>
  </si>
  <si>
    <t>15:06:44.365</t>
  </si>
  <si>
    <t>15:06:50.576</t>
  </si>
  <si>
    <t>15:06:51.945</t>
  </si>
  <si>
    <t>15:06:58.177</t>
  </si>
  <si>
    <t>15:06:59.444</t>
  </si>
  <si>
    <t>15:07:04.110</t>
  </si>
  <si>
    <t>15:07:05.244</t>
  </si>
  <si>
    <t>15:07:16.709</t>
  </si>
  <si>
    <t>15:07:23.242</t>
  </si>
  <si>
    <t>15:07:29.475</t>
  </si>
  <si>
    <t>15:08:56.360</t>
  </si>
  <si>
    <t>15:08:57.545</t>
  </si>
  <si>
    <t>15:09:03.759</t>
  </si>
  <si>
    <t>15:09:04.811</t>
  </si>
  <si>
    <t>15:09:11.025</t>
  </si>
  <si>
    <t>15:09:12.493</t>
  </si>
  <si>
    <t>15:09:18.725</t>
  </si>
  <si>
    <t>15:09:19.993</t>
  </si>
  <si>
    <t>15:09:24.658</t>
  </si>
  <si>
    <t>15:09:26.124</t>
  </si>
  <si>
    <t>15:09:37.792</t>
  </si>
  <si>
    <t>15:09:50.191</t>
  </si>
  <si>
    <t>15:10:02.790</t>
  </si>
  <si>
    <t>15:11:52.050</t>
  </si>
  <si>
    <t>15:11:53.357</t>
  </si>
  <si>
    <t>15:11:59.584</t>
  </si>
  <si>
    <t>15:12:01.379</t>
  </si>
  <si>
    <t>15:12:04.461</t>
  </si>
  <si>
    <t>15:12:05.762</t>
  </si>
  <si>
    <t>15:12:13.928</t>
  </si>
  <si>
    <t>15:12:15.113</t>
  </si>
  <si>
    <t>15:12:21.327</t>
  </si>
  <si>
    <t>15:12:22.962</t>
  </si>
  <si>
    <t>15:12:23.860</t>
  </si>
  <si>
    <t>15:12:29.560</t>
  </si>
  <si>
    <t>15:12:31.727</t>
  </si>
  <si>
    <t>15:12:41.327</t>
  </si>
  <si>
    <t>15:12:54.160</t>
  </si>
  <si>
    <t>15:13:06.192</t>
  </si>
  <si>
    <t>15:14:28.392</t>
  </si>
  <si>
    <t>15:14:33.048</t>
  </si>
  <si>
    <t>15:14:42.393</t>
  </si>
  <si>
    <t>15:14:43.694</t>
  </si>
  <si>
    <t>15:14:53.059</t>
  </si>
  <si>
    <t>15:14:56.710</t>
  </si>
  <si>
    <t>15:14:58.725</t>
  </si>
  <si>
    <t>15:15:06.062</t>
  </si>
  <si>
    <t>15:15:08.158</t>
  </si>
  <si>
    <t>15:15:36.323</t>
  </si>
  <si>
    <t>15:15:37.924</t>
  </si>
  <si>
    <t>15:15:44.523</t>
  </si>
  <si>
    <t>15:15:45.757</t>
  </si>
  <si>
    <t>15:15:52.356</t>
  </si>
  <si>
    <t>15:16:03.689</t>
  </si>
  <si>
    <t>15:16:46.864</t>
  </si>
  <si>
    <t>15:16:48.149</t>
  </si>
  <si>
    <t>15:16:57.492</t>
  </si>
  <si>
    <t>15:16:58.510</t>
  </si>
  <si>
    <t>15:17:07.836</t>
  </si>
  <si>
    <t>15:17:09.104</t>
  </si>
  <si>
    <t>15:17:13.135</t>
  </si>
  <si>
    <t>15:17:18.468</t>
  </si>
  <si>
    <t>15:17:22.935</t>
  </si>
  <si>
    <t>15:17:51.100</t>
  </si>
  <si>
    <t>15:17:53.500</t>
  </si>
  <si>
    <t>15:18:00.099</t>
  </si>
  <si>
    <t>15:18:02.433</t>
  </si>
  <si>
    <t>15:18:09.033</t>
  </si>
  <si>
    <t>15:18:11.300</t>
  </si>
  <si>
    <t>15:18:16.331</t>
  </si>
  <si>
    <t>15:19:01.091</t>
  </si>
  <si>
    <t>15:19:02.672</t>
  </si>
  <si>
    <t>15:19:12.018</t>
  </si>
  <si>
    <t>15:19:13.442</t>
  </si>
  <si>
    <t>15:19:22.807</t>
  </si>
  <si>
    <t>15:19:24.608</t>
  </si>
  <si>
    <t>15:19:26.140</t>
  </si>
  <si>
    <t>15:19:26.841</t>
  </si>
  <si>
    <t>15:19:39.645</t>
  </si>
  <si>
    <t>15:19:40.928</t>
  </si>
  <si>
    <t>15:19:42.461</t>
  </si>
  <si>
    <t>15:19:43.662</t>
  </si>
  <si>
    <t>15:19:50.261</t>
  </si>
  <si>
    <t>15:19:52.529</t>
  </si>
  <si>
    <t>15:20:13.894</t>
  </si>
  <si>
    <t>15:20:50.925</t>
  </si>
  <si>
    <t>15:22:58.579</t>
  </si>
  <si>
    <t>15:23:01.537</t>
  </si>
  <si>
    <t>15:23:55.615</t>
  </si>
  <si>
    <t>15:23:57.234</t>
  </si>
  <si>
    <t>15:24:01.882</t>
  </si>
  <si>
    <t>15:24:03.301</t>
  </si>
  <si>
    <t>15:24:07.948</t>
  </si>
  <si>
    <t>15:24:10.021</t>
  </si>
  <si>
    <t>15:24:13.098</t>
  </si>
  <si>
    <t>15:24:14.999</t>
  </si>
  <si>
    <t>15:24:21.565</t>
  </si>
  <si>
    <t>15:24:22.798</t>
  </si>
  <si>
    <t>15:24:24.331</t>
  </si>
  <si>
    <t>15:24:25.831</t>
  </si>
  <si>
    <t>15:24:36.232</t>
  </si>
  <si>
    <t>15:24:45.564</t>
  </si>
  <si>
    <t>15:24:55.030</t>
  </si>
  <si>
    <t>15:26:23.481</t>
  </si>
  <si>
    <t>15:26:26.532</t>
  </si>
  <si>
    <t>15:28:00.448</t>
  </si>
  <si>
    <t>15:28:02.167</t>
  </si>
  <si>
    <t>15:28:06.815</t>
  </si>
  <si>
    <t>15:28:08.772</t>
  </si>
  <si>
    <t>15:28:13.414</t>
  </si>
  <si>
    <t>15:28:14.948</t>
  </si>
  <si>
    <t>15:28:22.747</t>
  </si>
  <si>
    <t>15:28:26.114</t>
  </si>
  <si>
    <t>15:28:40.546</t>
  </si>
  <si>
    <t>15:28:41.947</t>
  </si>
  <si>
    <t>15:28:46.978</t>
  </si>
  <si>
    <t>15:28:47.046</t>
  </si>
  <si>
    <t>15:29:52.454</t>
  </si>
  <si>
    <t>15:29:54.572</t>
  </si>
  <si>
    <t>15:30:01.153</t>
  </si>
  <si>
    <t>15:30:02.239</t>
  </si>
  <si>
    <t>15:30:06.853</t>
  </si>
  <si>
    <t>15:30:09.920</t>
  </si>
  <si>
    <t>15:30:14.386</t>
  </si>
  <si>
    <t>15:30:14.586</t>
  </si>
  <si>
    <t>15:30:17.754</t>
  </si>
  <si>
    <t>15:30:22.419</t>
  </si>
  <si>
    <t>15:30:24.386</t>
  </si>
  <si>
    <t>15:30:58.884</t>
  </si>
  <si>
    <t>15:33:26.149</t>
  </si>
  <si>
    <t>15:33:27.401</t>
  </si>
  <si>
    <t>15:33:32.048</t>
  </si>
  <si>
    <t>15:33:33.068</t>
  </si>
  <si>
    <t>15:34:58.894</t>
  </si>
  <si>
    <t>15:35:00.112</t>
  </si>
  <si>
    <t>15:35:04.760</t>
  </si>
  <si>
    <t>15:35:06.413</t>
  </si>
  <si>
    <t>15:35:11.060</t>
  </si>
  <si>
    <t>15:35:14.128</t>
  </si>
  <si>
    <t>15:35:20.726</t>
  </si>
  <si>
    <t>15:35:23.361</t>
  </si>
  <si>
    <t>15:35:24.994</t>
  </si>
  <si>
    <t>15:35:28.026</t>
  </si>
  <si>
    <t>15:35:29.727</t>
  </si>
  <si>
    <t>15:35:31.259</t>
  </si>
  <si>
    <t>15:35:34.427</t>
  </si>
  <si>
    <t>15:35:39.457</t>
  </si>
  <si>
    <t>15:35:39.626</t>
  </si>
  <si>
    <t>15:36:37.351</t>
  </si>
  <si>
    <t>15:36:38.470</t>
  </si>
  <si>
    <t>15:37:27.593</t>
  </si>
  <si>
    <t>15:37:29.411</t>
  </si>
  <si>
    <t>15:38:37.317</t>
  </si>
  <si>
    <t>15:38:38.502</t>
  </si>
  <si>
    <t>15:38:41.583</t>
  </si>
  <si>
    <t>15:38:42.812</t>
  </si>
  <si>
    <t>15:38:49.389</t>
  </si>
  <si>
    <t>15:38:50.556</t>
  </si>
  <si>
    <t>15:38:52.088</t>
  </si>
  <si>
    <t>15:38:57.356</t>
  </si>
  <si>
    <t>15:39:02.388</t>
  </si>
  <si>
    <t>15:39:05.521</t>
  </si>
  <si>
    <t>15:39:09.888</t>
  </si>
  <si>
    <t>15:40:50.166</t>
  </si>
  <si>
    <t>15:40:51.418</t>
  </si>
  <si>
    <t>15:40:57.999</t>
  </si>
  <si>
    <t>15:40:59.066</t>
  </si>
  <si>
    <t>15:41:00.598</t>
  </si>
  <si>
    <t>15:41:01.633</t>
  </si>
  <si>
    <t>15:41:02.366</t>
  </si>
  <si>
    <t>15:41:09.798</t>
  </si>
  <si>
    <t>15:41:10.966</t>
  </si>
  <si>
    <t>15:41:15.631</t>
  </si>
  <si>
    <t>15:41:17.917</t>
  </si>
  <si>
    <t>15:41:20.498</t>
  </si>
  <si>
    <t>15:41:22.564</t>
  </si>
  <si>
    <t>15:41:25.165</t>
  </si>
  <si>
    <t>15:41:30.164</t>
  </si>
  <si>
    <t>15:17:15.249</t>
  </si>
  <si>
    <t>15:17:18.368</t>
  </si>
  <si>
    <t>15:19:45.041</t>
  </si>
  <si>
    <t>15:19:48.764</t>
  </si>
  <si>
    <t>15:22:38.010</t>
  </si>
  <si>
    <t>15:22:41.963</t>
  </si>
  <si>
    <t>15:23:00.109</t>
  </si>
  <si>
    <t>15:23:00.709</t>
  </si>
  <si>
    <t>15:23:02.262</t>
  </si>
  <si>
    <t>15:23:21.008</t>
  </si>
  <si>
    <t>15:23:24.175</t>
  </si>
  <si>
    <t>15:24:22.039</t>
  </si>
  <si>
    <t>15:24:24.606</t>
  </si>
  <si>
    <t>15:26:21.760</t>
  </si>
  <si>
    <t>15:26:23.613</t>
  </si>
  <si>
    <t>15:26:51.759</t>
  </si>
  <si>
    <t>15:26:52.926</t>
  </si>
  <si>
    <t>15:30:29.204</t>
  </si>
  <si>
    <t>15:30:30.457</t>
  </si>
  <si>
    <t>15:30:49.136</t>
  </si>
  <si>
    <t>15:30:50.356</t>
  </si>
  <si>
    <t>15:30:50.836</t>
  </si>
  <si>
    <t>15:31:09.102</t>
  </si>
  <si>
    <t>15:31:11.602</t>
  </si>
  <si>
    <t>15:31:41.333</t>
  </si>
  <si>
    <t>15:31:42.467</t>
  </si>
  <si>
    <t>15:32:06.299</t>
  </si>
  <si>
    <t>15:32:08.100</t>
  </si>
  <si>
    <t>15:32:23.165</t>
  </si>
  <si>
    <t>15:36:16.584</t>
  </si>
  <si>
    <t>15:36:18.937</t>
  </si>
  <si>
    <t>15:36:36.651</t>
  </si>
  <si>
    <t>15:36:37.683</t>
  </si>
  <si>
    <t>15:36:38.768</t>
  </si>
  <si>
    <t>15:36:57.516</t>
  </si>
  <si>
    <t>15:36:59.217</t>
  </si>
  <si>
    <t>15:37:00.749</t>
  </si>
  <si>
    <t>15:37:01.783</t>
  </si>
  <si>
    <t>15:37:16.215</t>
  </si>
  <si>
    <t>15:37:17.115</t>
  </si>
  <si>
    <t>15:37:29.981</t>
  </si>
  <si>
    <t>15:37:30.848</t>
  </si>
  <si>
    <t>15:37:34.347</t>
  </si>
  <si>
    <t>15:40:06.956</t>
  </si>
  <si>
    <t>15:40:07.975</t>
  </si>
  <si>
    <t>15:40:14.556</t>
  </si>
  <si>
    <t>15:40:16.057</t>
  </si>
  <si>
    <t>15:40:22.656</t>
  </si>
  <si>
    <t>15:40:24.041</t>
  </si>
  <si>
    <t>15:40:25.555</t>
  </si>
  <si>
    <t>15:40:28.688</t>
  </si>
  <si>
    <t>15:40:29.656</t>
  </si>
  <si>
    <t>15:40:34.322</t>
  </si>
  <si>
    <t>15:40:35.256</t>
  </si>
  <si>
    <t>15:40:39.921</t>
  </si>
  <si>
    <t>15:40:41.189</t>
  </si>
  <si>
    <t>15:40:57.487</t>
  </si>
  <si>
    <t>15:42:34.582</t>
  </si>
  <si>
    <t>15:42:35.434</t>
  </si>
  <si>
    <t>15:42:42.015</t>
  </si>
  <si>
    <t>15:42:43.550</t>
  </si>
  <si>
    <t>15:42:50.148</t>
  </si>
  <si>
    <t>15:42:52.016</t>
  </si>
  <si>
    <t>15:42:52.749</t>
  </si>
  <si>
    <t>15:42:55.815</t>
  </si>
  <si>
    <t>15:42:56.682</t>
  </si>
  <si>
    <t>15:42:58.316</t>
  </si>
  <si>
    <t>15:43:02.981</t>
  </si>
  <si>
    <t>15:43:03.833</t>
  </si>
  <si>
    <t>15:43:08.481</t>
  </si>
  <si>
    <t>15:43:09.081</t>
  </si>
  <si>
    <t>15:43:29.980</t>
  </si>
  <si>
    <t>15:01:15.273</t>
  </si>
  <si>
    <t>15:01:17.760</t>
  </si>
  <si>
    <t>15:01:24.340</t>
  </si>
  <si>
    <t>15:01:25.273</t>
  </si>
  <si>
    <t>15:01:31.873</t>
  </si>
  <si>
    <t>15:01:33.026</t>
  </si>
  <si>
    <t>15:01:39.239</t>
  </si>
  <si>
    <t>15:01:40.273</t>
  </si>
  <si>
    <t>15:02:22.503</t>
  </si>
  <si>
    <t>15:03:51.399</t>
  </si>
  <si>
    <t>15:03:52.452</t>
  </si>
  <si>
    <t>15:03:57.099</t>
  </si>
  <si>
    <t>15:03:57.866</t>
  </si>
  <si>
    <t>15:04:04.465</t>
  </si>
  <si>
    <t>15:04:05.432</t>
  </si>
  <si>
    <t>15:04:10.465</t>
  </si>
  <si>
    <t>15:04:12.031</t>
  </si>
  <si>
    <t>15:04:13.584</t>
  </si>
  <si>
    <t>15:05:48.877</t>
  </si>
  <si>
    <t>15:05:50.296</t>
  </si>
  <si>
    <t>15:05:53.376</t>
  </si>
  <si>
    <t>15:05:54.096</t>
  </si>
  <si>
    <t>15:06:02.243</t>
  </si>
  <si>
    <t>15:06:02.977</t>
  </si>
  <si>
    <t>15:06:09.209</t>
  </si>
  <si>
    <t>15:06:09.943</t>
  </si>
  <si>
    <t>15:06:16.175</t>
  </si>
  <si>
    <t>15:06:17.242</t>
  </si>
  <si>
    <t>15:06:18.276</t>
  </si>
  <si>
    <t>15:06:21.908</t>
  </si>
  <si>
    <t>15:06:22.776</t>
  </si>
  <si>
    <t>15:06:54.607</t>
  </si>
  <si>
    <t>15:08:57.651</t>
  </si>
  <si>
    <t>15:08:58.570</t>
  </si>
  <si>
    <t>15:09:14.951</t>
  </si>
  <si>
    <t>15:09:17.316</t>
  </si>
  <si>
    <t>15:09:18.750</t>
  </si>
  <si>
    <t>15:09:21.849</t>
  </si>
  <si>
    <t>15:09:23.002</t>
  </si>
  <si>
    <t>15:09:29.582</t>
  </si>
  <si>
    <t>15:09:30.683</t>
  </si>
  <si>
    <t>15:09:49.815</t>
  </si>
  <si>
    <t>15:09:51.216</t>
  </si>
  <si>
    <t>15:10:09.981</t>
  </si>
  <si>
    <t>15:10:10.914</t>
  </si>
  <si>
    <t>15:10:48.746</t>
  </si>
  <si>
    <t>15:14:02.769</t>
  </si>
  <si>
    <t>15:14:07.255</t>
  </si>
  <si>
    <t>15:14:25.069</t>
  </si>
  <si>
    <t>15:14:26.001</t>
  </si>
  <si>
    <t>15:14:27.188</t>
  </si>
  <si>
    <t>15:14:31.834</t>
  </si>
  <si>
    <t>15:14:32.936</t>
  </si>
  <si>
    <t>15:14:39.533</t>
  </si>
  <si>
    <t>15:14:40.535</t>
  </si>
  <si>
    <t>15:14:58.099</t>
  </si>
  <si>
    <t>15:14:59.099</t>
  </si>
  <si>
    <t>15:15:17.865</t>
  </si>
  <si>
    <t>15:15:19.099</t>
  </si>
  <si>
    <t>15:15:57.031</t>
  </si>
  <si>
    <t>15:17:54.826</t>
  </si>
  <si>
    <t>15:18:57.490</t>
  </si>
  <si>
    <t>15:20:56.371</t>
  </si>
  <si>
    <t>15:20:58.124</t>
  </si>
  <si>
    <t>15:21:05.904</t>
  </si>
  <si>
    <t>15:21:09.338</t>
  </si>
  <si>
    <t>15:21:25.336</t>
  </si>
  <si>
    <t>15:21:26.356</t>
  </si>
  <si>
    <t>15:21:45.068</t>
  </si>
  <si>
    <t>15:21:49.469</t>
  </si>
  <si>
    <t>15:22:00.401</t>
  </si>
  <si>
    <t>15:22:01.402</t>
  </si>
  <si>
    <t>15:22:25.734</t>
  </si>
  <si>
    <t>15:24:33.682</t>
  </si>
  <si>
    <t>15:24:34.835</t>
  </si>
  <si>
    <t>15:24:53.582</t>
  </si>
  <si>
    <t>15:24:54.734</t>
  </si>
  <si>
    <t>15:25:13.481</t>
  </si>
  <si>
    <t>15:25:14.981</t>
  </si>
  <si>
    <t>15:25:16.514</t>
  </si>
  <si>
    <t>15:25:17.414</t>
  </si>
  <si>
    <t>15:25:39.679</t>
  </si>
  <si>
    <t>15:25:41.180</t>
  </si>
  <si>
    <t>15:25:42.180</t>
  </si>
  <si>
    <t>15:25:50.545</t>
  </si>
  <si>
    <t>15:25:51.646</t>
  </si>
  <si>
    <t>15:26:06.545</t>
  </si>
  <si>
    <t>15:28:49.048</t>
  </si>
  <si>
    <t>15:28:50.301</t>
  </si>
  <si>
    <t>15:29:08.114</t>
  </si>
  <si>
    <t>15:29:09.047</t>
  </si>
  <si>
    <t>15:29:10.533</t>
  </si>
  <si>
    <t>15:29:29.201</t>
  </si>
  <si>
    <t>15:29:30.236</t>
  </si>
  <si>
    <t>15:29:42.734</t>
  </si>
  <si>
    <t>15:29:44.334</t>
  </si>
  <si>
    <t>15:29:55.634</t>
  </si>
  <si>
    <t>15:29:56.901</t>
  </si>
  <si>
    <t>15:29:58.432</t>
  </si>
  <si>
    <t>15:30:02.400</t>
  </si>
  <si>
    <t>15:30:43.865</t>
  </si>
  <si>
    <t>15:39:01.484</t>
  </si>
  <si>
    <t>15:39:03.172</t>
  </si>
  <si>
    <t>15:39:22.084</t>
  </si>
  <si>
    <t>15:39:20.350</t>
  </si>
  <si>
    <t>15:39:22.318</t>
  </si>
  <si>
    <t>15:39:28.916</t>
  </si>
  <si>
    <t>15:39:30.536</t>
  </si>
  <si>
    <t>15:39:49.283</t>
  </si>
  <si>
    <t>15:39:50.749</t>
  </si>
  <si>
    <t>15:40:09.481</t>
  </si>
  <si>
    <t>15:40:10.615</t>
  </si>
  <si>
    <t>15:40:29.374</t>
  </si>
  <si>
    <t>15:40:29.909</t>
  </si>
  <si>
    <t>15:40:54.229</t>
  </si>
  <si>
    <t>15:46:02.247</t>
  </si>
  <si>
    <t>15:46:03.528</t>
  </si>
  <si>
    <t>15:46:22.280</t>
  </si>
  <si>
    <t>15:46:23.532</t>
  </si>
  <si>
    <t>15:46:27.280</t>
  </si>
  <si>
    <t>15:46:42.279</t>
  </si>
  <si>
    <t>15:46:44.646</t>
  </si>
  <si>
    <t>15:46:47.745</t>
  </si>
  <si>
    <t>15:46:48.778</t>
  </si>
  <si>
    <t>15:46:55.378</t>
  </si>
  <si>
    <t>15:46:56.545</t>
  </si>
  <si>
    <t>15:47:15.644</t>
  </si>
  <si>
    <t>15:47:17.344</t>
  </si>
  <si>
    <t>15:47:56.475</t>
  </si>
  <si>
    <t>15:51:11.393</t>
  </si>
  <si>
    <t>15:51:12.579</t>
  </si>
  <si>
    <t>15:51:28.259</t>
  </si>
  <si>
    <t>15:51:31.326</t>
  </si>
  <si>
    <t>15:51:32.526</t>
  </si>
  <si>
    <t>15:51:45.025</t>
  </si>
  <si>
    <t>15:51:45.577</t>
  </si>
  <si>
    <t>15:51:59.991</t>
  </si>
  <si>
    <t>15:52:01.058</t>
  </si>
  <si>
    <t>15:53:03.221</t>
  </si>
  <si>
    <t>14:24:53.711</t>
  </si>
  <si>
    <t>14:25:02.920</t>
  </si>
  <si>
    <t>14:26:18.735</t>
  </si>
  <si>
    <t>14:26:21.955</t>
  </si>
  <si>
    <t>14:26:40.667</t>
  </si>
  <si>
    <t>14:26:44.782</t>
  </si>
  <si>
    <t>14:26:52.561</t>
  </si>
  <si>
    <t>14:27:03.494</t>
  </si>
  <si>
    <t>14:27:07.094</t>
  </si>
  <si>
    <t>14:27:25.816</t>
  </si>
  <si>
    <t>14:27:29.810</t>
  </si>
  <si>
    <t>14:29:45.375</t>
  </si>
  <si>
    <t>14:29:54.961</t>
  </si>
  <si>
    <t>14:30:13.706</t>
  </si>
  <si>
    <t>14:30:15.741</t>
  </si>
  <si>
    <t>14:30:20.406</t>
  </si>
  <si>
    <t>14:30:34.506</t>
  </si>
  <si>
    <t>14:30:39.607</t>
  </si>
  <si>
    <t>14:30:58.366</t>
  </si>
  <si>
    <t>14:31:02.494</t>
  </si>
  <si>
    <t>14:32:43.972</t>
  </si>
  <si>
    <t>14:32:46.425</t>
  </si>
  <si>
    <t>14:33:11.704</t>
  </si>
  <si>
    <t>14:35:42.574</t>
  </si>
  <si>
    <t>14:35:45.060</t>
  </si>
  <si>
    <t>14:36:03.777</t>
  </si>
  <si>
    <t>14:36:06.246</t>
  </si>
  <si>
    <t>14:36:23.539</t>
  </si>
  <si>
    <t>14:37:48.962</t>
  </si>
  <si>
    <t>14:37:54.282</t>
  </si>
  <si>
    <t>14:38:05.561</t>
  </si>
  <si>
    <t>14:38:08.763</t>
  </si>
  <si>
    <t>14:38:21.261</t>
  </si>
  <si>
    <t>14:38:23.461</t>
  </si>
  <si>
    <t>14:38:40.727</t>
  </si>
  <si>
    <t>14:40:09.878</t>
  </si>
  <si>
    <t>14:40:13.397</t>
  </si>
  <si>
    <t>14:40:29.343</t>
  </si>
  <si>
    <t>14:40:35.744</t>
  </si>
  <si>
    <t>14:40:48.242</t>
  </si>
  <si>
    <t>14:40:51.277</t>
  </si>
  <si>
    <t>14:41:03.775</t>
  </si>
  <si>
    <t>14:41:06.276</t>
  </si>
  <si>
    <t>14:41:15.708</t>
  </si>
  <si>
    <t>14:41:18.774</t>
  </si>
  <si>
    <t>14:41:23.708</t>
  </si>
  <si>
    <t>14:42:53.381</t>
  </si>
  <si>
    <t>14:42:55.800</t>
  </si>
  <si>
    <t>14:43:05.514</t>
  </si>
  <si>
    <t>14:43:09.980</t>
  </si>
  <si>
    <t>14:43:16.213</t>
  </si>
  <si>
    <t>14:43:19.147</t>
  </si>
  <si>
    <t>14:43:25.379</t>
  </si>
  <si>
    <t>14:43:30.613</t>
  </si>
  <si>
    <t>14:43:36.845</t>
  </si>
  <si>
    <t>14:43:42.746</t>
  </si>
  <si>
    <t>14:44:03.138</t>
  </si>
  <si>
    <t>14:46:18.448</t>
  </si>
  <si>
    <t>14:46:24.068</t>
  </si>
  <si>
    <t>14:46:33.781</t>
  </si>
  <si>
    <t>14:46:37.582</t>
  </si>
  <si>
    <t>14:46:43.808</t>
  </si>
  <si>
    <t>14:46:47.004</t>
  </si>
  <si>
    <t>14:46:53.236</t>
  </si>
  <si>
    <t>14:46:55.237</t>
  </si>
  <si>
    <t>14:46:58.535</t>
  </si>
  <si>
    <t>14:47:48.528</t>
  </si>
  <si>
    <t>15:12:03.577</t>
  </si>
  <si>
    <t>15:14:42.196</t>
  </si>
  <si>
    <t>15:14:44.214</t>
  </si>
  <si>
    <t>15:17:27.159</t>
  </si>
  <si>
    <t>15:21:04.271</t>
  </si>
  <si>
    <t>15:21:28.136</t>
  </si>
  <si>
    <t>15:21:30.522</t>
  </si>
  <si>
    <t>15:21:36.736</t>
  </si>
  <si>
    <t>15:21:49.269</t>
  </si>
  <si>
    <t>15:21:59.035</t>
  </si>
  <si>
    <t>15:22:13.501</t>
  </si>
  <si>
    <t>15:22:16.568</t>
  </si>
  <si>
    <t>15:22:21.600</t>
  </si>
  <si>
    <t>15:22:59.198</t>
  </si>
  <si>
    <t>15:23:34.231</t>
  </si>
  <si>
    <t>15:26:48.959</t>
  </si>
  <si>
    <t>15:26:52.178</t>
  </si>
  <si>
    <t>15:27:10.892</t>
  </si>
  <si>
    <t>15:27:14.259</t>
  </si>
  <si>
    <t>15:27:23.624</t>
  </si>
  <si>
    <t>15:27:26.459</t>
  </si>
  <si>
    <t>15:27:40.891</t>
  </si>
  <si>
    <t>15:27:44.158</t>
  </si>
  <si>
    <t>15:28:02.916</t>
  </si>
  <si>
    <t>15:28:05.584</t>
  </si>
  <si>
    <t>15:29:08.764</t>
  </si>
  <si>
    <t>15:02:20.620</t>
  </si>
  <si>
    <t>15:02:24.199</t>
  </si>
  <si>
    <t>15:05:33.321</t>
  </si>
  <si>
    <t>15:05:37.139</t>
  </si>
  <si>
    <t>15:05:43.721</t>
  </si>
  <si>
    <t>15:05:46.355</t>
  </si>
  <si>
    <t>15:05:57.521</t>
  </si>
  <si>
    <t>15:05:58.853</t>
  </si>
  <si>
    <t>15:06:02.255</t>
  </si>
  <si>
    <t>15:06:11.619</t>
  </si>
  <si>
    <t>15:06:17.885</t>
  </si>
  <si>
    <t>15:06:24.152</t>
  </si>
  <si>
    <t>15:06:36.684</t>
  </si>
  <si>
    <t>15:06:42.951</t>
  </si>
  <si>
    <t>15:06:52.016</t>
  </si>
  <si>
    <t>15:06:56.018</t>
  </si>
  <si>
    <t>15:07:07.817</t>
  </si>
  <si>
    <t>15:08:48.906</t>
  </si>
  <si>
    <t>15:08:57.491</t>
  </si>
  <si>
    <t>15:09:09.972</t>
  </si>
  <si>
    <t>15:09:12.606</t>
  </si>
  <si>
    <t>15:09:17.271</t>
  </si>
  <si>
    <t>15:09:17.972</t>
  </si>
  <si>
    <t>15:09:48.537</t>
  </si>
  <si>
    <t>15:12:58.927</t>
  </si>
  <si>
    <t>15:13:01.445</t>
  </si>
  <si>
    <t>15:13:08.026</t>
  </si>
  <si>
    <t>15:13:11.061</t>
  </si>
  <si>
    <t>15:13:19.226</t>
  </si>
  <si>
    <t>15:13:21.327</t>
  </si>
  <si>
    <t>15:13:27.559</t>
  </si>
  <si>
    <t>15:13:30.127</t>
  </si>
  <si>
    <t>15:13:54.092</t>
  </si>
  <si>
    <t>15:17:48.352</t>
  </si>
  <si>
    <t>15:17:51.702</t>
  </si>
  <si>
    <t>15:17:57.918</t>
  </si>
  <si>
    <t>15:18:00.219</t>
  </si>
  <si>
    <t>15:18:03.318</t>
  </si>
  <si>
    <t>15:18:05.718</t>
  </si>
  <si>
    <t>15:18:13.884</t>
  </si>
  <si>
    <t>15:18:16.252</t>
  </si>
  <si>
    <t>15:18:22.450</t>
  </si>
  <si>
    <t>15:18:24.111</t>
  </si>
  <si>
    <t>15:18:28.607</t>
  </si>
  <si>
    <t>15:18:31.905</t>
  </si>
  <si>
    <t>15:18:33.473</t>
  </si>
  <si>
    <t>15:19:04.437</t>
  </si>
  <si>
    <t>15:25:20.424</t>
  </si>
  <si>
    <t>15:25:22.376</t>
  </si>
  <si>
    <t>15:25:28.957</t>
  </si>
  <si>
    <t>15:25:31.476</t>
  </si>
  <si>
    <t>15:25:50.223</t>
  </si>
  <si>
    <t>15:25:53.723</t>
  </si>
  <si>
    <t>15:26:12.488</t>
  </si>
  <si>
    <t>15:26:14.556</t>
  </si>
  <si>
    <t>15:26:33.287</t>
  </si>
  <si>
    <t>15:26:36.521</t>
  </si>
  <si>
    <t>15:26:42.721</t>
  </si>
  <si>
    <t>15:26:42.720</t>
  </si>
  <si>
    <t>15:26:45.420</t>
  </si>
  <si>
    <t>15:29:09.063</t>
  </si>
  <si>
    <t>15:29:10.881</t>
  </si>
  <si>
    <t>15:29:18.663</t>
  </si>
  <si>
    <t>15:29:21.648</t>
  </si>
  <si>
    <t>15:29:30.929</t>
  </si>
  <si>
    <t>15:29:32.929</t>
  </si>
  <si>
    <t>15:29:39.528</t>
  </si>
  <si>
    <t>15:29:41.462</t>
  </si>
  <si>
    <t>15:29:47.595</t>
  </si>
  <si>
    <t>15:30:00.227</t>
  </si>
  <si>
    <t>15:30:02.595</t>
  </si>
  <si>
    <t>15:30:18.693</t>
  </si>
  <si>
    <t>15:30:21.360</t>
  </si>
  <si>
    <t>15:30:23.794</t>
  </si>
  <si>
    <t>15:32:46.410</t>
  </si>
  <si>
    <t>15:32:46.391</t>
  </si>
  <si>
    <t>15:32:48.677</t>
  </si>
  <si>
    <t>15:32:55.257</t>
  </si>
  <si>
    <t>15:32:57.791</t>
  </si>
  <si>
    <t>15:33:04.390</t>
  </si>
  <si>
    <t>15:33:06.924</t>
  </si>
  <si>
    <t>15:33:25.645</t>
  </si>
  <si>
    <t>15:33:29.379</t>
  </si>
  <si>
    <t>15:33:45.911</t>
  </si>
  <si>
    <t>15:33:48.110</t>
  </si>
  <si>
    <t>15:33:51.478</t>
  </si>
  <si>
    <t>15:34:10.226</t>
  </si>
  <si>
    <t>15:34:12.430</t>
  </si>
  <si>
    <t>15:34:25.426</t>
  </si>
  <si>
    <t>15:37:23.211</t>
  </si>
  <si>
    <t>15:37:26.063</t>
  </si>
  <si>
    <t>15:37:30.677</t>
  </si>
  <si>
    <t>15:37:32.744</t>
  </si>
  <si>
    <t>15:37:34.277</t>
  </si>
  <si>
    <t>15:37:37.378</t>
  </si>
  <si>
    <t>15:37:45.543</t>
  </si>
  <si>
    <t>15:37:48.511</t>
  </si>
  <si>
    <t>15:37:53.176</t>
  </si>
  <si>
    <t>15:37:56.843</t>
  </si>
  <si>
    <t>15:38:01.510</t>
  </si>
  <si>
    <t>15:38:01.509</t>
  </si>
  <si>
    <t>15:38:04.943</t>
  </si>
  <si>
    <t>15:38:29.742</t>
  </si>
  <si>
    <t>15:46:20.495</t>
  </si>
  <si>
    <t>15:46:24.348</t>
  </si>
  <si>
    <t>15:46:28.995</t>
  </si>
  <si>
    <t>15:46:32.763</t>
  </si>
  <si>
    <t>15:46:34.295</t>
  </si>
  <si>
    <t>15:46:37.796</t>
  </si>
  <si>
    <t>15:46:45.961</t>
  </si>
  <si>
    <t>15:46:53.061</t>
  </si>
  <si>
    <t>15:46:57.727</t>
  </si>
  <si>
    <t>15:47:00.061</t>
  </si>
  <si>
    <t>15:47:04.727</t>
  </si>
  <si>
    <t>15:47:04.726</t>
  </si>
  <si>
    <t>15:47:07.395</t>
  </si>
  <si>
    <t>15:47:33.626</t>
  </si>
  <si>
    <t>15:50:02.062</t>
  </si>
  <si>
    <t>15:50:04.348</t>
  </si>
  <si>
    <t>15:50:08.995</t>
  </si>
  <si>
    <t>15:50:10.497</t>
  </si>
  <si>
    <t>15:50:13.595</t>
  </si>
  <si>
    <t>15:50:16.529</t>
  </si>
  <si>
    <t>15:50:23.128</t>
  </si>
  <si>
    <t>15:50:27.195</t>
  </si>
  <si>
    <t>15:50:31.828</t>
  </si>
  <si>
    <t>15:50:34.329</t>
  </si>
  <si>
    <t>15:50:36.328</t>
  </si>
  <si>
    <t>15:50:43.694</t>
  </si>
  <si>
    <t>15:50:46.161</t>
  </si>
  <si>
    <t>15:51:01.360</t>
  </si>
  <si>
    <t>14:59:02.985</t>
  </si>
  <si>
    <t>14:59:06.038</t>
  </si>
  <si>
    <t>14:59:18.451</t>
  </si>
  <si>
    <t>14:59:22.137</t>
  </si>
  <si>
    <t>15:00:14.271</t>
  </si>
  <si>
    <t>15:02:05.854</t>
  </si>
  <si>
    <t>15:02:09.372</t>
  </si>
  <si>
    <t>15:02:21.853</t>
  </si>
  <si>
    <t>15:02:23.987</t>
  </si>
  <si>
    <t>15:02:48.153</t>
  </si>
  <si>
    <t>15:04:53.084</t>
  </si>
  <si>
    <t>15:04:54.970</t>
  </si>
  <si>
    <t>15:05:01.184</t>
  </si>
  <si>
    <t>15:05:03.318</t>
  </si>
  <si>
    <t>15:05:26.783</t>
  </si>
  <si>
    <t>15:05:32.017</t>
  </si>
  <si>
    <t>15:05:37.049</t>
  </si>
  <si>
    <t>15:07:55.431</t>
  </si>
  <si>
    <t>15:07:58.050</t>
  </si>
  <si>
    <t>15:08:04.264</t>
  </si>
  <si>
    <t>15:08:06.165</t>
  </si>
  <si>
    <t>15:09:01.056</t>
  </si>
  <si>
    <t>15:10:31.396</t>
  </si>
  <si>
    <t>15:10:33.748</t>
  </si>
  <si>
    <t>15:10:40.329</t>
  </si>
  <si>
    <t>15:10:42.363</t>
  </si>
  <si>
    <t>15:10:48.595</t>
  </si>
  <si>
    <t>15:10:50.029</t>
  </si>
  <si>
    <t>15:10:53.128</t>
  </si>
  <si>
    <t>15:10:54.862</t>
  </si>
  <si>
    <t>15:11:15.761</t>
  </si>
  <si>
    <t>15:12:20.540</t>
  </si>
  <si>
    <t>15:12:22.026</t>
  </si>
  <si>
    <t>15:12:28.607</t>
  </si>
  <si>
    <t>15:12:31.741</t>
  </si>
  <si>
    <t>15:12:36.406</t>
  </si>
  <si>
    <t>15:12:37.273</t>
  </si>
  <si>
    <t>15:12:43.872</t>
  </si>
  <si>
    <t>15:12:47.407</t>
  </si>
  <si>
    <t>15:14:51.205</t>
  </si>
  <si>
    <t>15:14:54.224</t>
  </si>
  <si>
    <t>15:15:11.405</t>
  </si>
  <si>
    <t>15:15:12.738</t>
  </si>
  <si>
    <t>15:15:19.337</t>
  </si>
  <si>
    <t>15:15:19.905</t>
  </si>
  <si>
    <t>15:15:26.503</t>
  </si>
  <si>
    <t>15:15:29.604</t>
  </si>
  <si>
    <t>15:15:48.369</t>
  </si>
  <si>
    <t>15:15:51.903</t>
  </si>
  <si>
    <t>15:16:08.003</t>
  </si>
  <si>
    <t>15:17:59.857</t>
  </si>
  <si>
    <t>15:18:22.156</t>
  </si>
  <si>
    <t>15:18:23.439</t>
  </si>
  <si>
    <t>15:18:30.022</t>
  </si>
  <si>
    <t>15:18:31.156</t>
  </si>
  <si>
    <t>15:18:37.755</t>
  </si>
  <si>
    <t>15:18:39.456</t>
  </si>
  <si>
    <t>15:18:58.220</t>
  </si>
  <si>
    <t>15:19:00.622</t>
  </si>
  <si>
    <t>15:19:15.154</t>
  </si>
  <si>
    <t>15:22:30.762</t>
  </si>
  <si>
    <t>15:22:32.347</t>
  </si>
  <si>
    <t>15:22:38.928</t>
  </si>
  <si>
    <t>15:22:39.662</t>
  </si>
  <si>
    <t>15:22:46.260</t>
  </si>
  <si>
    <t>15:22:47.728</t>
  </si>
  <si>
    <t>15:22:52.394</t>
  </si>
  <si>
    <t>15:22:53.728</t>
  </si>
  <si>
    <t>15:22:58.894</t>
  </si>
  <si>
    <t>14:58:55.701</t>
  </si>
  <si>
    <t>14:58:57.921</t>
  </si>
  <si>
    <t>14:59:04.134</t>
  </si>
  <si>
    <t>14:59:06.903</t>
  </si>
  <si>
    <t>14:59:36.600</t>
  </si>
  <si>
    <t>14:59:38.200</t>
  </si>
  <si>
    <t>14:59:44.799</t>
  </si>
  <si>
    <t>14:59:46.167</t>
  </si>
  <si>
    <t>15:00:02.766</t>
  </si>
  <si>
    <t>15:01:32.433</t>
  </si>
  <si>
    <t>15:01:35.219</t>
  </si>
  <si>
    <t>15:01:41.432</t>
  </si>
  <si>
    <t>15:01:42.966</t>
  </si>
  <si>
    <t>15:02:12.697</t>
  </si>
  <si>
    <t>15:02:14.065</t>
  </si>
  <si>
    <t>15:02:20.664</t>
  </si>
  <si>
    <t>15:02:21.231</t>
  </si>
  <si>
    <t>15:02:44.329</t>
  </si>
  <si>
    <t>15:04:15.569</t>
  </si>
  <si>
    <t>15:04:18.955</t>
  </si>
  <si>
    <t>15:04:37.668</t>
  </si>
  <si>
    <t>15:04:42.102</t>
  </si>
  <si>
    <t>15:05:00.867</t>
  </si>
  <si>
    <t>15:05:03.968</t>
  </si>
  <si>
    <t>15:05:11.733</t>
  </si>
  <si>
    <t>15:05:13.767</t>
  </si>
  <si>
    <t>15:05:20.366</t>
  </si>
  <si>
    <t>15:05:20.967</t>
  </si>
  <si>
    <t>15:06:02.764</t>
  </si>
  <si>
    <t>15:08:19.346</t>
  </si>
  <si>
    <t>15:08:21.599</t>
  </si>
  <si>
    <t>15:08:40.334</t>
  </si>
  <si>
    <t>15:08:43.429</t>
  </si>
  <si>
    <t>15:09:02.155</t>
  </si>
  <si>
    <t>15:09:04.156</t>
  </si>
  <si>
    <t>15:09:11.954</t>
  </si>
  <si>
    <t>15:09:13.889</t>
  </si>
  <si>
    <t>15:09:20.487</t>
  </si>
  <si>
    <t>15:09:21.088</t>
  </si>
  <si>
    <t>15:10:02.586</t>
  </si>
  <si>
    <t>15:11:33.425</t>
  </si>
  <si>
    <t>15:11:35.145</t>
  </si>
  <si>
    <t>15:11:53.890</t>
  </si>
  <si>
    <t>15:11:56.592</t>
  </si>
  <si>
    <t>15:12:15.357</t>
  </si>
  <si>
    <t>15:12:16.758</t>
  </si>
  <si>
    <t>15:12:22.990</t>
  </si>
  <si>
    <t>15:12:26.158</t>
  </si>
  <si>
    <t>15:12:32.756</t>
  </si>
  <si>
    <t>15:12:34.688</t>
  </si>
  <si>
    <t>15:12:50.688</t>
  </si>
  <si>
    <t>15:12:52.983</t>
  </si>
  <si>
    <t>15:13:18.488</t>
  </si>
  <si>
    <t>15:15:04.121</t>
  </si>
  <si>
    <t>15:15:05.707</t>
  </si>
  <si>
    <t>15:15:24.453</t>
  </si>
  <si>
    <t>15:15:26.854</t>
  </si>
  <si>
    <t>15:15:45.619</t>
  </si>
  <si>
    <t>15:15:47.812</t>
  </si>
  <si>
    <t>15:16:08.196</t>
  </si>
  <si>
    <t>15:16:12.398</t>
  </si>
  <si>
    <t>15:16:18.629</t>
  </si>
  <si>
    <t>15:16:20.329</t>
  </si>
  <si>
    <t>15:16:26.928</t>
  </si>
  <si>
    <t>15:16:28.497</t>
  </si>
  <si>
    <t>15:17:18.926</t>
  </si>
  <si>
    <t>15:19:08.610</t>
  </si>
  <si>
    <t>15:19:10.494</t>
  </si>
  <si>
    <t>15:19:29.241</t>
  </si>
  <si>
    <t>15:19:31.001</t>
  </si>
  <si>
    <t>15:19:49.769</t>
  </si>
  <si>
    <t>15:19:52.069</t>
  </si>
  <si>
    <t>15:20:10.834</t>
  </si>
  <si>
    <t>15:20:15.203</t>
  </si>
  <si>
    <t>15:20:21.434</t>
  </si>
  <si>
    <t>15:20:23.166</t>
  </si>
  <si>
    <t>15:20:29.767</t>
  </si>
  <si>
    <t>15:20:31.235</t>
  </si>
  <si>
    <t>15:21:13.766</t>
  </si>
  <si>
    <t>15:23:33.609</t>
  </si>
  <si>
    <t>15:23:32.241</t>
  </si>
  <si>
    <t>15:23:34.536</t>
  </si>
  <si>
    <t>15:23:53.274</t>
  </si>
  <si>
    <t>15:23:55.075</t>
  </si>
  <si>
    <t>15:24:13.807</t>
  </si>
  <si>
    <t>15:24:15.341</t>
  </si>
  <si>
    <t>15:24:23.138</t>
  </si>
  <si>
    <t>15:24:25.568</t>
  </si>
  <si>
    <t>15:24:32.138</t>
  </si>
  <si>
    <t>15:24:32.807</t>
  </si>
  <si>
    <t>15:24:47.237</t>
  </si>
  <si>
    <t>15:24:48.906</t>
  </si>
  <si>
    <t>15:27:04.465</t>
  </si>
  <si>
    <t>15:27:07.216</t>
  </si>
  <si>
    <t>15:27:11.864</t>
  </si>
  <si>
    <t>15:27:13.733</t>
  </si>
  <si>
    <t>15:27:18.398</t>
  </si>
  <si>
    <t>15:27:21.563</t>
  </si>
  <si>
    <t>15:27:26.230</t>
  </si>
  <si>
    <t>15:27:28.429</t>
  </si>
  <si>
    <t>15:27:37.795</t>
  </si>
  <si>
    <t>15:27:39.166</t>
  </si>
  <si>
    <t>15:27:45.763</t>
  </si>
  <si>
    <t>15:27:46.564</t>
  </si>
  <si>
    <t>15:28:04.093</t>
  </si>
  <si>
    <t>15:28:13.494</t>
  </si>
  <si>
    <t>15:29:06.325</t>
  </si>
  <si>
    <t>15:29:08.459</t>
  </si>
  <si>
    <t>15:29:13.091</t>
  </si>
  <si>
    <t>15:29:16.194</t>
  </si>
  <si>
    <t>15:29:20.858</t>
  </si>
  <si>
    <t>15:29:23.594</t>
  </si>
  <si>
    <t>15:29:28.257</t>
  </si>
  <si>
    <t>15:29:29.859</t>
  </si>
  <si>
    <t>15:29:39.223</t>
  </si>
  <si>
    <t>15:29:40.492</t>
  </si>
  <si>
    <t>15:29:47.090</t>
  </si>
  <si>
    <t>15:29:47.954</t>
  </si>
  <si>
    <t>15:30:06.057</t>
  </si>
  <si>
    <t>15:31:50.195</t>
  </si>
  <si>
    <t>15:31:52.297</t>
  </si>
  <si>
    <t>15:31:56.927</t>
  </si>
  <si>
    <t>15:32:01.128</t>
  </si>
  <si>
    <t>15:32:05.794</t>
  </si>
  <si>
    <t>15:32:07.529</t>
  </si>
  <si>
    <t>15:32:12.193</t>
  </si>
  <si>
    <t>15:32:14.095</t>
  </si>
  <si>
    <t>15:32:23.460</t>
  </si>
  <si>
    <t>15:32:25.262</t>
  </si>
  <si>
    <t>15:32:31.859</t>
  </si>
  <si>
    <t>15:32:32.760</t>
  </si>
  <si>
    <t>15:32:46.260</t>
  </si>
  <si>
    <t>15:34:43.314</t>
  </si>
  <si>
    <t>15:34:47.942</t>
  </si>
  <si>
    <t>15:34:52.580</t>
  </si>
  <si>
    <t>15:34:55.013</t>
  </si>
  <si>
    <t>15:34:59.612</t>
  </si>
  <si>
    <t>15:35:01.115</t>
  </si>
  <si>
    <t>15:35:05.779</t>
  </si>
  <si>
    <t>15:35:07.315</t>
  </si>
  <si>
    <t>15:35:16.679</t>
  </si>
  <si>
    <t>15:35:17.647</t>
  </si>
  <si>
    <t>15:35:24.245</t>
  </si>
  <si>
    <t>15:35:25.247</t>
  </si>
  <si>
    <t>15:35:30.250</t>
  </si>
  <si>
    <t>15:37:12.495</t>
  </si>
  <si>
    <t>15:37:14.157</t>
  </si>
  <si>
    <t>15:37:18.785</t>
  </si>
  <si>
    <t>15:37:23.275</t>
  </si>
  <si>
    <t>15:37:27.939</t>
  </si>
  <si>
    <t>15:37:30.074</t>
  </si>
  <si>
    <t>15:37:34.738</t>
  </si>
  <si>
    <t>15:37:37.708</t>
  </si>
  <si>
    <t>15:37:42.372</t>
  </si>
  <si>
    <t>15:37:43.773</t>
  </si>
  <si>
    <t>15:37:50.372</t>
  </si>
  <si>
    <t>15:37:51.140</t>
  </si>
  <si>
    <t>15:37:59.303</t>
  </si>
  <si>
    <t>15:38:01.371</t>
  </si>
  <si>
    <t>15:39:17.745</t>
  </si>
  <si>
    <t>15:39:19.167</t>
  </si>
  <si>
    <t>15:39:23.810</t>
  </si>
  <si>
    <t>15:39:24.945</t>
  </si>
  <si>
    <t>15:39:29.612</t>
  </si>
  <si>
    <t>15:39:32.546</t>
  </si>
  <si>
    <t>15:39:37.209</t>
  </si>
  <si>
    <t>15:39:39.779</t>
  </si>
  <si>
    <t>15:39:49.142</t>
  </si>
  <si>
    <t>15:39:50.778</t>
  </si>
  <si>
    <t>15:39:57.376</t>
  </si>
  <si>
    <t>15:39:58.542</t>
  </si>
  <si>
    <t>15:40:16.109</t>
  </si>
  <si>
    <t>15:40:17.143</t>
  </si>
  <si>
    <t>15:41:16.073</t>
  </si>
  <si>
    <t>15:41:18.242</t>
  </si>
  <si>
    <t>15:41:22.873</t>
  </si>
  <si>
    <t>15:41:24.340</t>
  </si>
  <si>
    <t>15:41:29.005</t>
  </si>
  <si>
    <t>15:41:29.871</t>
  </si>
  <si>
    <t>15:41:34.537</t>
  </si>
  <si>
    <t>15:41:37.735</t>
  </si>
  <si>
    <t>15:41:47.093</t>
  </si>
  <si>
    <t>15:41:47.662</t>
  </si>
  <si>
    <t>15:41:54.260</t>
  </si>
  <si>
    <t>15:41:55.261</t>
  </si>
  <si>
    <t>15:42:14.394</t>
  </si>
  <si>
    <t>14:59:12.947</t>
  </si>
  <si>
    <t>14:59:21.296</t>
  </si>
  <si>
    <t>15:11:38.095</t>
  </si>
  <si>
    <t>15:12:00.693</t>
  </si>
  <si>
    <t>15:12:08.880</t>
  </si>
  <si>
    <t>15:14:17.148</t>
  </si>
  <si>
    <t>15:14:23.568</t>
  </si>
  <si>
    <t>15:14:34.847</t>
  </si>
  <si>
    <t>15:14:40.894</t>
  </si>
  <si>
    <t>15:14:53.335</t>
  </si>
  <si>
    <t>15:14:58.503</t>
  </si>
  <si>
    <t>15:15:38.567</t>
  </si>
  <si>
    <t>15:17:11.595</t>
  </si>
  <si>
    <t>15:17:14.548</t>
  </si>
  <si>
    <t>15:17:30.528</t>
  </si>
  <si>
    <t>15:17:35.028</t>
  </si>
  <si>
    <t>15:17:47.527</t>
  </si>
  <si>
    <t>15:17:56.113</t>
  </si>
  <si>
    <t>15:18:36.092</t>
  </si>
  <si>
    <t>15:21:02.529</t>
  </si>
  <si>
    <t>15:21:05.114</t>
  </si>
  <si>
    <t>15:21:17.595</t>
  </si>
  <si>
    <t>15:21:20.447</t>
  </si>
  <si>
    <t>15:21:53.259</t>
  </si>
  <si>
    <t>15:21:55.927</t>
  </si>
  <si>
    <t>15:22:20.392</t>
  </si>
  <si>
    <t>15:25:07.872</t>
  </si>
  <si>
    <t>15:25:10.391</t>
  </si>
  <si>
    <t>15:25:29.138</t>
  </si>
  <si>
    <t>15:25:32.524</t>
  </si>
  <si>
    <t>15:00:11.798</t>
  </si>
  <si>
    <t>15:00:15.151</t>
  </si>
  <si>
    <t>15:00:27.631</t>
  </si>
  <si>
    <t>15:00:33.083</t>
  </si>
  <si>
    <t>15:01:18.384</t>
  </si>
  <si>
    <t>15:01:21.051</t>
  </si>
  <si>
    <t>15:01:26.084</t>
  </si>
  <si>
    <t>15:03:11.668</t>
  </si>
  <si>
    <t>15:03:16.186</t>
  </si>
  <si>
    <t>15:03:22.400</t>
  </si>
  <si>
    <t>15:03:26.686</t>
  </si>
  <si>
    <t>15:03:28.200</t>
  </si>
  <si>
    <t>15:03:30.867</t>
  </si>
  <si>
    <t>15:04:32.698</t>
  </si>
  <si>
    <t>15:06:10.320</t>
  </si>
  <si>
    <t>15:06:12.904</t>
  </si>
  <si>
    <t>15:06:19.486</t>
  </si>
  <si>
    <t>15:06:22.753</t>
  </si>
  <si>
    <t>15:06:25.852</t>
  </si>
  <si>
    <t>15:06:28.953</t>
  </si>
  <si>
    <t>15:06:37.118</t>
  </si>
  <si>
    <t>15:06:39.770</t>
  </si>
  <si>
    <t>15:07:18.356</t>
  </si>
  <si>
    <t>15:09:04.983</t>
  </si>
  <si>
    <t>15:09:07.869</t>
  </si>
  <si>
    <t>15:09:15.649</t>
  </si>
  <si>
    <t>15:10:36.818</t>
  </si>
  <si>
    <t>15:10:40.452</t>
  </si>
  <si>
    <t>15:10:59.167</t>
  </si>
  <si>
    <t>15:11:01.952</t>
  </si>
  <si>
    <t>15:11:20.699</t>
  </si>
  <si>
    <t>15:11:22.933</t>
  </si>
  <si>
    <t>15:11:52.664</t>
  </si>
  <si>
    <t>15:11:53.732</t>
  </si>
  <si>
    <t>15:11:58.764</t>
  </si>
  <si>
    <t>15:13:25.449</t>
  </si>
  <si>
    <t>15:15:02.266</t>
  </si>
  <si>
    <t>15:15:06.647</t>
  </si>
  <si>
    <t>15:15:25.398</t>
  </si>
  <si>
    <t>15:15:27.465</t>
  </si>
  <si>
    <t>15:15:46.231</t>
  </si>
  <si>
    <t>15:15:49.315</t>
  </si>
  <si>
    <t>15:16:37.828</t>
  </si>
  <si>
    <t>15:16:39.829</t>
  </si>
  <si>
    <t>15:17:13.227</t>
  </si>
  <si>
    <t>15:19:14.193</t>
  </si>
  <si>
    <t>15:19:17.611</t>
  </si>
  <si>
    <t>15:19:36.358</t>
  </si>
  <si>
    <t>15:19:39.644</t>
  </si>
  <si>
    <t>15:19:58.390</t>
  </si>
  <si>
    <t>15:20:53.588</t>
  </si>
  <si>
    <t>15:20:54.955</t>
  </si>
  <si>
    <t>15:21:29.020</t>
  </si>
  <si>
    <t>15:23:21.436</t>
  </si>
  <si>
    <t>15:23:24.521</t>
  </si>
  <si>
    <t>15:23:43.268</t>
  </si>
  <si>
    <t>15:23:47.320</t>
  </si>
  <si>
    <t>15:24:06.067</t>
  </si>
  <si>
    <t>15:24:09.801</t>
  </si>
  <si>
    <t>15:24:58.331</t>
  </si>
  <si>
    <t>15:24:59.799</t>
  </si>
  <si>
    <t>15:25:33.330</t>
  </si>
  <si>
    <t>15:27:08.597</t>
  </si>
  <si>
    <t>15:27:12.415</t>
  </si>
  <si>
    <t>15:27:31.162</t>
  </si>
  <si>
    <t>15:27:35.630</t>
  </si>
  <si>
    <t>15:27:54.395</t>
  </si>
  <si>
    <t>15:27:57.980</t>
  </si>
  <si>
    <t>15:28:46.492</t>
  </si>
  <si>
    <t>15:28:49.560</t>
  </si>
  <si>
    <t>15:29:22.780</t>
  </si>
  <si>
    <t>15:30:41.009</t>
  </si>
  <si>
    <t>15:30:44.758</t>
  </si>
  <si>
    <t>15:30:46.275</t>
  </si>
  <si>
    <t>15:30:48.494</t>
  </si>
  <si>
    <t>15:30:50.007</t>
  </si>
  <si>
    <t>15:30:52.782</t>
  </si>
  <si>
    <t>15:30:54.314</t>
  </si>
  <si>
    <t>15:30:57.415</t>
  </si>
  <si>
    <t>15:31:19.296</t>
  </si>
  <si>
    <t>15:31:20.430</t>
  </si>
  <si>
    <t>15:31:25.462</t>
  </si>
  <si>
    <t>15:31:27.029</t>
  </si>
  <si>
    <t>15:31:29.796</t>
  </si>
  <si>
    <t>15:31:36.350</t>
  </si>
  <si>
    <t>15:31:38.085</t>
  </si>
  <si>
    <t>15:31:43.117</t>
  </si>
  <si>
    <t>15:31:44.683</t>
  </si>
  <si>
    <t>15:31:46.555</t>
  </si>
  <si>
    <t>15:31:53.150</t>
  </si>
  <si>
    <t>15:31:54.951</t>
  </si>
  <si>
    <t>15:31:59.983</t>
  </si>
  <si>
    <t>15:32:01.550</t>
  </si>
  <si>
    <t>15:32:03.389</t>
  </si>
  <si>
    <t>15:32:19.370</t>
  </si>
  <si>
    <t>15:33:54.855</t>
  </si>
  <si>
    <t>15:33:58.040</t>
  </si>
  <si>
    <t>15:34:26.131</t>
  </si>
  <si>
    <t>15:34:28.804</t>
  </si>
  <si>
    <t>15:38:24.753</t>
  </si>
  <si>
    <t>15:38:29.505</t>
  </si>
  <si>
    <t>15:05:09.583</t>
  </si>
  <si>
    <t>15:05:11.303</t>
  </si>
  <si>
    <t>15:08:42.240</t>
  </si>
  <si>
    <t>15:08:47.940</t>
  </si>
  <si>
    <t>15:08:54.133</t>
  </si>
  <si>
    <t>15:08:58.601</t>
  </si>
  <si>
    <t>15:09:01.700</t>
  </si>
  <si>
    <t>15:09:03.152</t>
  </si>
  <si>
    <t>15:09:11.299</t>
  </si>
  <si>
    <t>15:09:13.900</t>
  </si>
  <si>
    <t>15:09:20.099</t>
  </si>
  <si>
    <t>15:09:21.933</t>
  </si>
  <si>
    <t>15:09:28.133</t>
  </si>
  <si>
    <t>15:09:28.132</t>
  </si>
  <si>
    <t>15:09:32.565</t>
  </si>
  <si>
    <t>15:10:08.874</t>
  </si>
  <si>
    <t>15:11:34.047</t>
  </si>
  <si>
    <t>15:11:36.033</t>
  </si>
  <si>
    <t>15:11:42.614</t>
  </si>
  <si>
    <t>15:11:48.333</t>
  </si>
  <si>
    <t>15:12:00.778</t>
  </si>
  <si>
    <t>15:12:03.847</t>
  </si>
  <si>
    <t>15:12:16.334</t>
  </si>
  <si>
    <t>15:14:02.818</t>
  </si>
  <si>
    <t>15:14:04.303</t>
  </si>
  <si>
    <t>15:14:13.985</t>
  </si>
  <si>
    <t>15:14:18.386</t>
  </si>
  <si>
    <t>15:14:24.617</t>
  </si>
  <si>
    <t>15:14:27.385</t>
  </si>
  <si>
    <t>15:14:33.554</t>
  </si>
  <si>
    <t>15:14:38.829</t>
  </si>
  <si>
    <t>15:14:45.044</t>
  </si>
  <si>
    <t>15:14:47.911</t>
  </si>
  <si>
    <t>15:15:03.543</t>
  </si>
  <si>
    <t>15:15:06.677</t>
  </si>
  <si>
    <t>15:15:11.710</t>
  </si>
  <si>
    <t>15:17:10.865</t>
  </si>
  <si>
    <t>15:17:13.350</t>
  </si>
  <si>
    <t>15:17:25.831</t>
  </si>
  <si>
    <t>15:17:28.016</t>
  </si>
  <si>
    <t>15:17:40.497</t>
  </si>
  <si>
    <t>15:17:44.397</t>
  </si>
  <si>
    <t>15:18:21.928</t>
  </si>
  <si>
    <t>15:18:24.296</t>
  </si>
  <si>
    <t>15:19:46.223</t>
  </si>
  <si>
    <t>15:19:49.143</t>
  </si>
  <si>
    <t>15:08:06.456</t>
  </si>
  <si>
    <t>15:08:10.076</t>
  </si>
  <si>
    <t>15:08:22.556</t>
  </si>
  <si>
    <t>15:08:27.190</t>
  </si>
  <si>
    <t>15:09:03.154</t>
  </si>
  <si>
    <t>15:09:05.187</t>
  </si>
  <si>
    <t>15:10:36.127</t>
  </si>
  <si>
    <t>15:10:40.013</t>
  </si>
  <si>
    <t>15:10:52.493</t>
  </si>
  <si>
    <t>15:10:56.460</t>
  </si>
  <si>
    <t>15:11:51.206</t>
  </si>
  <si>
    <t>15:11:53.607</t>
  </si>
  <si>
    <t>15:13:06.853</t>
  </si>
  <si>
    <t>15:13:10.405</t>
  </si>
  <si>
    <t>15:13:29.118</t>
  </si>
  <si>
    <t>15:13:30.418</t>
  </si>
  <si>
    <t>15:13:49.151</t>
  </si>
  <si>
    <t>15:13:52.418</t>
  </si>
  <si>
    <t>15:14:47.148</t>
  </si>
  <si>
    <t>15:14:48.882</t>
  </si>
  <si>
    <t>15:16:41.009</t>
  </si>
  <si>
    <t>15:17:31.845</t>
  </si>
  <si>
    <t>15:17:34.065</t>
  </si>
  <si>
    <t>15:17:52.811</t>
  </si>
  <si>
    <t>15:17:55.797</t>
  </si>
  <si>
    <t>15:18:33.559</t>
  </si>
  <si>
    <t>15:18:35.713</t>
  </si>
  <si>
    <t>15:18:51.325</t>
  </si>
  <si>
    <t>15:18:53.611</t>
  </si>
  <si>
    <t>15:19:01.758</t>
  </si>
  <si>
    <t>15:19:05.891</t>
  </si>
  <si>
    <t>15:19:24.657</t>
  </si>
  <si>
    <t>15:19:26.690</t>
  </si>
  <si>
    <t>15:19:59.077</t>
  </si>
  <si>
    <t>15:20:00.511</t>
  </si>
  <si>
    <t>15:21:20.023</t>
  </si>
  <si>
    <t>15:21:43.883</t>
  </si>
  <si>
    <t>15:21:45.801</t>
  </si>
  <si>
    <t>15:23:08.685</t>
  </si>
  <si>
    <t>15:23:11.485</t>
  </si>
  <si>
    <t>15:25:48.695</t>
  </si>
  <si>
    <t>15:25:52.280</t>
  </si>
  <si>
    <t>15:26:20.427</t>
  </si>
  <si>
    <t>15:26:24.361</t>
  </si>
  <si>
    <t>15:28:27.015</t>
  </si>
  <si>
    <t>15:28:29.001</t>
  </si>
  <si>
    <t>15:28:35.215</t>
  </si>
  <si>
    <t>15:28:38.067</t>
  </si>
  <si>
    <t>15:28:55.613</t>
  </si>
  <si>
    <t>15:28:57.381</t>
  </si>
  <si>
    <t>15:29:16.146</t>
  </si>
  <si>
    <t>15:29:18.347</t>
  </si>
  <si>
    <t>15:29:37.111</t>
  </si>
  <si>
    <t>15:29:42.180</t>
  </si>
  <si>
    <t>15:29:43.711</t>
  </si>
  <si>
    <t>15:29:45.345</t>
  </si>
  <si>
    <t>15:30:42.531</t>
  </si>
  <si>
    <t>15:30:45.211</t>
  </si>
  <si>
    <t>15:31:03.951</t>
  </si>
  <si>
    <t>15:31:07.086</t>
  </si>
  <si>
    <t>15:31:25.851</t>
  </si>
  <si>
    <t>15:31:30.535</t>
  </si>
  <si>
    <t>15:32:06.532</t>
  </si>
  <si>
    <t>15:32:08.800</t>
  </si>
  <si>
    <t>15:34:39.769</t>
  </si>
  <si>
    <t>15:34:44.154</t>
  </si>
  <si>
    <t>15:35:02.896</t>
  </si>
  <si>
    <t>15:35:05.163</t>
  </si>
  <si>
    <t>15:35:23.889</t>
  </si>
  <si>
    <t>15:35:25.835</t>
  </si>
  <si>
    <t>15:35:30.461</t>
  </si>
  <si>
    <t>15:35:32.095</t>
  </si>
  <si>
    <t>15:40:49.790</t>
  </si>
  <si>
    <t>15:40:54.341</t>
  </si>
  <si>
    <t>15:41:00.556</t>
  </si>
  <si>
    <t>15:41:04.790</t>
  </si>
  <si>
    <t>15:41:09.455</t>
  </si>
  <si>
    <t>15:41:12.522</t>
  </si>
  <si>
    <t>15:41:19.122</t>
  </si>
  <si>
    <t>15:41:22.422</t>
  </si>
  <si>
    <t>15:41:28.621</t>
  </si>
  <si>
    <t>15:41:35.822</t>
  </si>
  <si>
    <t>15:41:43.588</t>
  </si>
  <si>
    <t>15:41:43.587</t>
  </si>
  <si>
    <t>15:41:47.587</t>
  </si>
  <si>
    <t>15:43:29.438</t>
  </si>
  <si>
    <t>15:43:31.956</t>
  </si>
  <si>
    <t>15:43:50.670</t>
  </si>
  <si>
    <t>15:45:33.826</t>
  </si>
  <si>
    <t>15:45:36.811</t>
  </si>
  <si>
    <t>15:45:41.459</t>
  </si>
  <si>
    <t>15:45:44.693</t>
  </si>
  <si>
    <t>15:45:47.792</t>
  </si>
  <si>
    <t>15:45:50.125</t>
  </si>
  <si>
    <t>15:45:56.725</t>
  </si>
  <si>
    <t>15:45:59.459</t>
  </si>
  <si>
    <t>15:46:04.124</t>
  </si>
  <si>
    <t>15:46:07.658</t>
  </si>
  <si>
    <t>15:46:12.324</t>
  </si>
  <si>
    <t>15:46:17.023</t>
  </si>
  <si>
    <t>15:46:19.376</t>
  </si>
  <si>
    <t>15:49:26.548</t>
  </si>
  <si>
    <t>15:49:30.000</t>
  </si>
  <si>
    <t>15:49:34.647</t>
  </si>
  <si>
    <t>15:49:37.415</t>
  </si>
  <si>
    <t>15:49:40.513</t>
  </si>
  <si>
    <t>15:49:43.314</t>
  </si>
  <si>
    <t>15:49:49.913</t>
  </si>
  <si>
    <t>15:49:52.647</t>
  </si>
  <si>
    <t>15:49:57.313</t>
  </si>
  <si>
    <t>15:50:00.147</t>
  </si>
  <si>
    <t>15:50:04.813</t>
  </si>
  <si>
    <t>15:50:04.812</t>
  </si>
  <si>
    <t>15:50:09.947</t>
  </si>
  <si>
    <t>15:50:38.477</t>
  </si>
  <si>
    <t>15:52:03.306</t>
  </si>
  <si>
    <t>15:52:05.992</t>
  </si>
  <si>
    <t>15:52:10.640</t>
  </si>
  <si>
    <t>15:52:16.075</t>
  </si>
  <si>
    <t>15:52:19.172</t>
  </si>
  <si>
    <t>15:52:21.840</t>
  </si>
  <si>
    <t>15:52:28.439</t>
  </si>
  <si>
    <t>15:52:31.873</t>
  </si>
  <si>
    <t>15:52:36.538</t>
  </si>
  <si>
    <t>15:52:38.973</t>
  </si>
  <si>
    <t>15:52:43.638</t>
  </si>
  <si>
    <t>15:52:48.338</t>
  </si>
  <si>
    <t>15:52:49.739</t>
  </si>
  <si>
    <t>15:53:09.504</t>
  </si>
  <si>
    <t>14:21:23.215</t>
  </si>
  <si>
    <t>14:21:31.468</t>
  </si>
  <si>
    <t>14:23:57.735</t>
  </si>
  <si>
    <t>14:24:03.388</t>
  </si>
  <si>
    <t>14:27:28.342</t>
  </si>
  <si>
    <t>14:27:34.861</t>
  </si>
  <si>
    <t>14:27:50.829</t>
  </si>
  <si>
    <t>14:27:58.715</t>
  </si>
  <si>
    <t>14:28:11.195</t>
  </si>
  <si>
    <t>14:28:18.390</t>
  </si>
  <si>
    <t>14:28:26.188</t>
  </si>
  <si>
    <t>14:28:30.888</t>
  </si>
  <si>
    <t>14:28:36.922</t>
  </si>
  <si>
    <t>14:30:22.517</t>
  </si>
  <si>
    <t>14:30:24.836</t>
  </si>
  <si>
    <t>14:30:36.109</t>
  </si>
  <si>
    <t>14:30:38.712</t>
  </si>
  <si>
    <t>14:30:51.193</t>
  </si>
  <si>
    <t>14:30:53.960</t>
  </si>
  <si>
    <t>14:31:14.392</t>
  </si>
  <si>
    <t>14:32:43.654</t>
  </si>
  <si>
    <t>14:32:45.774</t>
  </si>
  <si>
    <t>14:33:01.752</t>
  </si>
  <si>
    <t>14:33:05.026</t>
  </si>
  <si>
    <t>14:33:16.430</t>
  </si>
  <si>
    <t>14:33:17.495</t>
  </si>
  <si>
    <t>14:33:19.850</t>
  </si>
  <si>
    <t>14:33:33.963</t>
  </si>
  <si>
    <t>14:33:40.495</t>
  </si>
  <si>
    <t>14:38:16.499</t>
  </si>
  <si>
    <t>14:38:20.618</t>
  </si>
  <si>
    <t>14:38:26.832</t>
  </si>
  <si>
    <t>14:38:30.932</t>
  </si>
  <si>
    <t>14:38:35.598</t>
  </si>
  <si>
    <t>14:38:37.499</t>
  </si>
  <si>
    <t>14:38:44.098</t>
  </si>
  <si>
    <t>14:38:46.265</t>
  </si>
  <si>
    <t>14:38:51.297</t>
  </si>
  <si>
    <t>14:38:52.864</t>
  </si>
  <si>
    <t>14:38:56.531</t>
  </si>
  <si>
    <t>14:39:02.763</t>
  </si>
  <si>
    <t>14:39:08.763</t>
  </si>
  <si>
    <t>14:39:43.262</t>
  </si>
  <si>
    <t>14:42:15.504</t>
  </si>
  <si>
    <t>14:42:18.590</t>
  </si>
  <si>
    <t>14:42:25.170</t>
  </si>
  <si>
    <t>14:42:26.837</t>
  </si>
  <si>
    <t>14:42:33.436</t>
  </si>
  <si>
    <t>14:42:39.404</t>
  </si>
  <si>
    <t>14:42:45.636</t>
  </si>
  <si>
    <t>14:42:53.969</t>
  </si>
  <si>
    <t>14:42:55.468</t>
  </si>
  <si>
    <t>14:44:11.576</t>
  </si>
  <si>
    <t>14:44:15.029</t>
  </si>
  <si>
    <t>14:44:24.742</t>
  </si>
  <si>
    <t>14:44:30.809</t>
  </si>
  <si>
    <t>14:44:35.475</t>
  </si>
  <si>
    <t>14:44:38.014</t>
  </si>
  <si>
    <t>14:44:44.607</t>
  </si>
  <si>
    <t>14:44:49.208</t>
  </si>
  <si>
    <t>14:44:55.440</t>
  </si>
  <si>
    <t>14:45:04.574</t>
  </si>
  <si>
    <t>14:45:10.806</t>
  </si>
  <si>
    <t>14:45:18.073</t>
  </si>
  <si>
    <t>14:45:46.205</t>
  </si>
  <si>
    <t>14:48:52.034</t>
  </si>
  <si>
    <t>14:48:53.187</t>
  </si>
  <si>
    <t>14:48:59.767</t>
  </si>
  <si>
    <t>14:49:00.768</t>
  </si>
  <si>
    <t>14:49:07.367</t>
  </si>
  <si>
    <t>14:49:10.934</t>
  </si>
  <si>
    <t>14:49:15.167</t>
  </si>
  <si>
    <t>14:49:17.167</t>
  </si>
  <si>
    <t>14:49:20.500</t>
  </si>
  <si>
    <t>14:49:26.733</t>
  </si>
  <si>
    <t>14:49:30.200</t>
  </si>
  <si>
    <t>14:49:36.432</t>
  </si>
  <si>
    <t>14:49:40.099</t>
  </si>
  <si>
    <t>14:50:10.164</t>
  </si>
  <si>
    <t>14:53:16.982</t>
  </si>
  <si>
    <t>14:54:03.313</t>
  </si>
  <si>
    <t>14:54:06.533</t>
  </si>
  <si>
    <t>14:54:23.712</t>
  </si>
  <si>
    <t>14:54:25.813</t>
  </si>
  <si>
    <t>14:54:32.412</t>
  </si>
  <si>
    <t>14:54:37.165</t>
  </si>
  <si>
    <t>14:54:51.183</t>
  </si>
  <si>
    <t>14:54:52.551</t>
  </si>
  <si>
    <t>15:00:41.779</t>
  </si>
  <si>
    <t>15:00:45.631</t>
  </si>
  <si>
    <t>15:04:07.507</t>
  </si>
  <si>
    <t>15:04:11.826</t>
  </si>
  <si>
    <t>15:04:18.040</t>
  </si>
  <si>
    <t>15:04:22.008</t>
  </si>
  <si>
    <t>15:04:28.240</t>
  </si>
  <si>
    <t>15:04:30.974</t>
  </si>
  <si>
    <t>15:04:34.073</t>
  </si>
  <si>
    <t>15:04:36.007</t>
  </si>
  <si>
    <t>15:04:44.172</t>
  </si>
  <si>
    <t>15:04:48.173</t>
  </si>
  <si>
    <t>15:04:50.739</t>
  </si>
  <si>
    <t>15:04:55.972</t>
  </si>
  <si>
    <t>15:04:58.973</t>
  </si>
  <si>
    <t>15:05:30.270</t>
  </si>
  <si>
    <t>15:07:35.769</t>
  </si>
  <si>
    <t>15:07:39.422</t>
  </si>
  <si>
    <t>15:07:58.736</t>
  </si>
  <si>
    <t>15:07:58.135</t>
  </si>
  <si>
    <t>15:08:00.102</t>
  </si>
  <si>
    <t>15:08:06.701</t>
  </si>
  <si>
    <t>15:08:11.502</t>
  </si>
  <si>
    <t>15:08:30.267</t>
  </si>
  <si>
    <t>15:08:34.234</t>
  </si>
  <si>
    <t>15:08:41.734</t>
  </si>
  <si>
    <t>15:08:40.466</t>
  </si>
  <si>
    <t>15:08:42.534</t>
  </si>
  <si>
    <t>15:09:00.098</t>
  </si>
  <si>
    <t>15:09:03.166</t>
  </si>
  <si>
    <t>15:09:08.332</t>
  </si>
  <si>
    <t>15:09:45.852</t>
  </si>
  <si>
    <t>15:12:48.987</t>
  </si>
  <si>
    <t>15:12:51.940</t>
  </si>
  <si>
    <t>15:12:55.020</t>
  </si>
  <si>
    <t>15:12:56.954</t>
  </si>
  <si>
    <t>15:13:03.553</t>
  </si>
  <si>
    <t>15:13:09.055</t>
  </si>
  <si>
    <t>15:13:13.691</t>
  </si>
  <si>
    <t>15:13:17.425</t>
  </si>
  <si>
    <t>15:13:22.090</t>
  </si>
  <si>
    <t>15:13:26.590</t>
  </si>
  <si>
    <t>15:13:31.257</t>
  </si>
  <si>
    <t>15:14:17.937</t>
  </si>
  <si>
    <t>15:14:19.424</t>
  </si>
  <si>
    <t>15:14:25.999</t>
  </si>
  <si>
    <t>15:14:28.334</t>
  </si>
  <si>
    <t>15:14:32.976</t>
  </si>
  <si>
    <t>15:14:35.944</t>
  </si>
  <si>
    <t>15:14:40.610</t>
  </si>
  <si>
    <t>15:14:43.077</t>
  </si>
  <si>
    <t>15:14:48.310</t>
  </si>
  <si>
    <t>15:14:47.643</t>
  </si>
  <si>
    <t>15:14:49.777</t>
  </si>
  <si>
    <t>15:14:52.876</t>
  </si>
  <si>
    <t>15:14:53.810</t>
  </si>
  <si>
    <t>15:15:23.903</t>
  </si>
  <si>
    <t>15:21:26.062</t>
  </si>
  <si>
    <t>15:21:29.681</t>
  </si>
  <si>
    <t>15:21:34.289</t>
  </si>
  <si>
    <t>15:21:38.039</t>
  </si>
  <si>
    <t>15:22:01.870</t>
  </si>
  <si>
    <t>15:22:04.718</t>
  </si>
  <si>
    <t>15:22:09.282</t>
  </si>
  <si>
    <t>15:22:12.417</t>
  </si>
  <si>
    <t>15:22:21.704</t>
  </si>
  <si>
    <t>15:22:27.136</t>
  </si>
  <si>
    <t>15:22:32.141</t>
  </si>
  <si>
    <t>15:22:33.708</t>
  </si>
  <si>
    <t>15:22:36.748</t>
  </si>
  <si>
    <t>15:22:44.892</t>
  </si>
  <si>
    <t>15:22:49.752</t>
  </si>
  <si>
    <t>15:22:56.845</t>
  </si>
  <si>
    <t>15:24:31.781</t>
  </si>
  <si>
    <t>15:24:34.357</t>
  </si>
  <si>
    <t>15:24:40.946</t>
  </si>
  <si>
    <t>15:24:42.150</t>
  </si>
  <si>
    <t>15:24:49.173</t>
  </si>
  <si>
    <t>15:24:48.742</t>
  </si>
  <si>
    <t>15:24:49.942</t>
  </si>
  <si>
    <t>15:24:54.973</t>
  </si>
  <si>
    <t>15:24:55.069</t>
  </si>
  <si>
    <t>15:24:56.529</t>
  </si>
  <si>
    <t>15:24:57.899</t>
  </si>
  <si>
    <t>15:25:02.934</t>
  </si>
  <si>
    <t>15:25:03.135</t>
  </si>
  <si>
    <t>15:25:04.502</t>
  </si>
  <si>
    <t>15:25:05.604</t>
  </si>
  <si>
    <t>15:25:10.619</t>
  </si>
  <si>
    <t>15:25:10.620</t>
  </si>
  <si>
    <t>15:25:10.654</t>
  </si>
  <si>
    <t>15:25:12.252</t>
  </si>
  <si>
    <t>15:25:12.183</t>
  </si>
  <si>
    <t>15:25:14.352</t>
  </si>
  <si>
    <t>15:25:15.883</t>
  </si>
  <si>
    <t>15:25:17.016</t>
  </si>
  <si>
    <t>15:04:57.596</t>
  </si>
  <si>
    <t>15:04:59.515</t>
  </si>
  <si>
    <t>15:05:06.095</t>
  </si>
  <si>
    <t>15:05:07.262</t>
  </si>
  <si>
    <t>15:05:13.861</t>
  </si>
  <si>
    <t>15:05:17.295</t>
  </si>
  <si>
    <t>15:05:19.828</t>
  </si>
  <si>
    <t>15:05:23.527</t>
  </si>
  <si>
    <t>15:05:25.114</t>
  </si>
  <si>
    <t>15:05:31.328</t>
  </si>
  <si>
    <t>15:05:33.228</t>
  </si>
  <si>
    <t>15:05:39.460</t>
  </si>
  <si>
    <t>15:05:40.661</t>
  </si>
  <si>
    <t>15:06:07.796</t>
  </si>
  <si>
    <t>15:07:58.487</t>
  </si>
  <si>
    <t>15:07:59.840</t>
  </si>
  <si>
    <t>15:08:18.020</t>
  </si>
  <si>
    <t>15:08:17.019</t>
  </si>
  <si>
    <t>15:08:19.186</t>
  </si>
  <si>
    <t>15:08:25.785</t>
  </si>
  <si>
    <t>15:08:27.186</t>
  </si>
  <si>
    <t>15:08:33.785</t>
  </si>
  <si>
    <t>15:08:37.786</t>
  </si>
  <si>
    <t>15:08:43.185</t>
  </si>
  <si>
    <t>15:08:56.551</t>
  </si>
  <si>
    <t>15:08:59.536</t>
  </si>
  <si>
    <t>15:09:18.254</t>
  </si>
  <si>
    <t>15:09:19.489</t>
  </si>
  <si>
    <t>15:09:19.955</t>
  </si>
  <si>
    <t>15:09:56.137</t>
  </si>
  <si>
    <t>15:12:38.712</t>
  </si>
  <si>
    <t>15:12:39.979</t>
  </si>
  <si>
    <t>15:12:48.147</t>
  </si>
  <si>
    <t>15:12:49.578</t>
  </si>
  <si>
    <t>15:12:54.513</t>
  </si>
  <si>
    <t>15:12:56.179</t>
  </si>
  <si>
    <t>15:13:00.879</t>
  </si>
  <si>
    <t>15:13:05.543</t>
  </si>
  <si>
    <t>15:13:08.213</t>
  </si>
  <si>
    <t>15:13:12.848</t>
  </si>
  <si>
    <t>15:13:16.281</t>
  </si>
  <si>
    <t>15:13:20.948</t>
  </si>
  <si>
    <t>15:13:21.917</t>
  </si>
  <si>
    <t>15:13:34.989</t>
  </si>
  <si>
    <t>15:16:24.319</t>
  </si>
  <si>
    <t>15:16:25.319</t>
  </si>
  <si>
    <t>15:16:31.917</t>
  </si>
  <si>
    <t>15:16:32.218</t>
  </si>
  <si>
    <t>15:16:39.016</t>
  </si>
  <si>
    <t>15:16:38.822</t>
  </si>
  <si>
    <t>15:16:39.017</t>
  </si>
  <si>
    <t>15:16:44.049</t>
  </si>
  <si>
    <t>15:16:44.286</t>
  </si>
  <si>
    <t>15:16:45.615</t>
  </si>
  <si>
    <t>15:16:47.987</t>
  </si>
  <si>
    <t>15:16:53.021</t>
  </si>
  <si>
    <t>15:16:53.022</t>
  </si>
  <si>
    <t>15:16:53.118</t>
  </si>
  <si>
    <t>15:16:54.585</t>
  </si>
  <si>
    <t>15:16:57.253</t>
  </si>
  <si>
    <t>15:17:02.287</t>
  </si>
  <si>
    <t>15:17:02.288</t>
  </si>
  <si>
    <t>15:17:02.548</t>
  </si>
  <si>
    <t>15:17:04.083</t>
  </si>
  <si>
    <t>15:17:03.849</t>
  </si>
  <si>
    <t>15:17:07.817</t>
  </si>
  <si>
    <t>15:17:09.349</t>
  </si>
  <si>
    <t>15:17:10.717</t>
  </si>
  <si>
    <t>15:20:13.629</t>
  </si>
  <si>
    <t>15:20:25.262</t>
  </si>
  <si>
    <t>15:20:36.895</t>
  </si>
  <si>
    <t>15:20:38.364</t>
  </si>
  <si>
    <t>15:20:39.893</t>
  </si>
  <si>
    <t>15:20:40.730</t>
  </si>
  <si>
    <t>15:21:11.521</t>
  </si>
  <si>
    <t>15:21:13.418</t>
  </si>
  <si>
    <t>15:21:20.009</t>
  </si>
  <si>
    <t>15:21:21.605</t>
  </si>
  <si>
    <t>15:21:28.237</t>
  </si>
  <si>
    <t>15:21:28.202</t>
  </si>
  <si>
    <t>15:21:29.638</t>
  </si>
  <si>
    <t>15:21:31.270</t>
  </si>
  <si>
    <t>15:21:31.168</t>
  </si>
  <si>
    <t>15:21:33.271</t>
  </si>
  <si>
    <t>15:21:34.768</t>
  </si>
  <si>
    <t>15:21:36.638</t>
  </si>
  <si>
    <t>15:21:36.835</t>
  </si>
  <si>
    <t>15:21:38.168</t>
  </si>
  <si>
    <t>15:21:40.370</t>
  </si>
  <si>
    <t>15:21:45.395</t>
  </si>
  <si>
    <t>15:21:46.329</t>
  </si>
  <si>
    <t>15:21:46.962</t>
  </si>
  <si>
    <t>15:21:48.529</t>
  </si>
  <si>
    <t>15:21:53.566</t>
  </si>
  <si>
    <t>15:21:53.663</t>
  </si>
  <si>
    <t>15:21:55.164</t>
  </si>
  <si>
    <t>15:21:55.128</t>
  </si>
  <si>
    <t>15:21:56.132</t>
  </si>
  <si>
    <t>15:21:59.562</t>
  </si>
  <si>
    <t>15:24:29.278</t>
  </si>
  <si>
    <t>15:24:31.547</t>
  </si>
  <si>
    <t>15:24:38.144</t>
  </si>
  <si>
    <t>15:24:41.477</t>
  </si>
  <si>
    <t>15:24:42.380</t>
  </si>
  <si>
    <t>15:24:48.078</t>
  </si>
  <si>
    <t>15:24:50.712</t>
  </si>
  <si>
    <t>15:24:55.376</t>
  </si>
  <si>
    <t>15:24:57.679</t>
  </si>
  <si>
    <t>15:25:02.376</t>
  </si>
  <si>
    <t>15:25:02.344</t>
  </si>
  <si>
    <t>15:25:03.742</t>
  </si>
  <si>
    <t>15:25:08.412</t>
  </si>
  <si>
    <t>15:25:10.111</t>
  </si>
  <si>
    <t>15:33:53.597</t>
  </si>
  <si>
    <t>15:33:59.408</t>
  </si>
  <si>
    <t>15:36:04.128</t>
  </si>
  <si>
    <t>15:36:07.062</t>
  </si>
  <si>
    <t>15:37:46.363</t>
  </si>
  <si>
    <t>15:37:50.297</t>
  </si>
  <si>
    <t>15:37:56.872</t>
  </si>
  <si>
    <t>15:37:59.274</t>
  </si>
  <si>
    <t>15:38:00.806</t>
  </si>
  <si>
    <t>15:38:02.207</t>
  </si>
  <si>
    <t>15:38:08.801</t>
  </si>
  <si>
    <t>15:38:13.301</t>
  </si>
  <si>
    <t>15:38:14.950</t>
  </si>
  <si>
    <t>15:38:14.817</t>
  </si>
  <si>
    <t>15:38:16.784</t>
  </si>
  <si>
    <t>15:38:18.316</t>
  </si>
  <si>
    <t>15:38:21.045</t>
  </si>
  <si>
    <t>15:38:30.394</t>
  </si>
  <si>
    <t>15:38:35.467</t>
  </si>
  <si>
    <t>15:38:59.298</t>
  </si>
  <si>
    <t>14:42:16.787</t>
  </si>
  <si>
    <t>14:42:25.640</t>
  </si>
  <si>
    <t>14:44:58.389</t>
  </si>
  <si>
    <t>14:44:59.675</t>
  </si>
  <si>
    <t>14:47:04.355</t>
  </si>
  <si>
    <t>14:47:07.940</t>
  </si>
  <si>
    <t>14:47:23.920</t>
  </si>
  <si>
    <t>14:47:31.621</t>
  </si>
  <si>
    <t>14:47:44.120</t>
  </si>
  <si>
    <t>14:47:47.953</t>
  </si>
  <si>
    <t>14:47:53.553</t>
  </si>
  <si>
    <t>14:50:02.096</t>
  </si>
  <si>
    <t>14:50:05.914</t>
  </si>
  <si>
    <t>14:50:17.195</t>
  </si>
  <si>
    <t>14:50:21.796</t>
  </si>
  <si>
    <t>14:50:34.295</t>
  </si>
  <si>
    <t>14:50:37.496</t>
  </si>
  <si>
    <t>14:50:49.862</t>
  </si>
  <si>
    <t>14:53:29.814</t>
  </si>
  <si>
    <t>14:53:42.713</t>
  </si>
  <si>
    <t>14:53:44.832</t>
  </si>
  <si>
    <t>14:54:00.812</t>
  </si>
  <si>
    <t>14:54:24.678</t>
  </si>
  <si>
    <t>14:54:26.545</t>
  </si>
  <si>
    <t>14:55:28.306</t>
  </si>
  <si>
    <t>14:57:21.218</t>
  </si>
  <si>
    <t>14:58:01.966</t>
  </si>
  <si>
    <t>14:58:03.682</t>
  </si>
  <si>
    <t>14:58:20.865</t>
  </si>
  <si>
    <t>14:58:22.599</t>
  </si>
  <si>
    <t>14:58:29.137</t>
  </si>
  <si>
    <t>14:58:33.537</t>
  </si>
  <si>
    <t>14:58:52.302</t>
  </si>
  <si>
    <t>14:58:55.436</t>
  </si>
  <si>
    <t>14:59:03.802</t>
  </si>
  <si>
    <t>15:02:08.837</t>
  </si>
  <si>
    <t>15:02:11.956</t>
  </si>
  <si>
    <t>15:02:21.303</t>
  </si>
  <si>
    <t>15:02:24.771</t>
  </si>
  <si>
    <t>15:02:39.202</t>
  </si>
  <si>
    <t>15:02:40.803</t>
  </si>
  <si>
    <t>15:02:58.535</t>
  </si>
  <si>
    <t>15:02:59.535</t>
  </si>
  <si>
    <t>15:03:02.302</t>
  </si>
  <si>
    <t>15:06:19.642</t>
  </si>
  <si>
    <t>15:06:22.794</t>
  </si>
  <si>
    <t>15:06:41.507</t>
  </si>
  <si>
    <t>15:06:43.193</t>
  </si>
  <si>
    <t>15:06:47.840</t>
  </si>
  <si>
    <t>15:06:49.641</t>
  </si>
  <si>
    <t>15:07:08.772</t>
  </si>
  <si>
    <t>15:07:10.307</t>
  </si>
  <si>
    <t>15:07:29.066</t>
  </si>
  <si>
    <t>15:07:30.967</t>
  </si>
  <si>
    <t>15:08:31.030</t>
  </si>
  <si>
    <t>15:11:04.555</t>
  </si>
  <si>
    <t>15:11:09.540</t>
  </si>
  <si>
    <t>15:11:26.721</t>
  </si>
  <si>
    <t>15:11:29.522</t>
  </si>
  <si>
    <t>15:00:31.815</t>
  </si>
  <si>
    <t>15:00:33.734</t>
  </si>
  <si>
    <t>15:00:43.442</t>
  </si>
  <si>
    <t>15:00:44.643</t>
  </si>
  <si>
    <t>15:00:51.237</t>
  </si>
  <si>
    <t>15:00:54.171</t>
  </si>
  <si>
    <t>15:01:00.403</t>
  </si>
  <si>
    <t>15:01:01.904</t>
  </si>
  <si>
    <t>15:01:08.136</t>
  </si>
  <si>
    <t>15:01:09.855</t>
  </si>
  <si>
    <t>15:01:15.736</t>
  </si>
  <si>
    <t>15:01:16.069</t>
  </si>
  <si>
    <t>15:01:17.503</t>
  </si>
  <si>
    <t>15:03:14.074</t>
  </si>
  <si>
    <t>15:03:15.527</t>
  </si>
  <si>
    <t>15:03:26.807</t>
  </si>
  <si>
    <t>15:03:28.241</t>
  </si>
  <si>
    <t>15:03:40.673</t>
  </si>
  <si>
    <t>15:03:43.840</t>
  </si>
  <si>
    <t>15:03:56.306</t>
  </si>
  <si>
    <t>15:03:57.773</t>
  </si>
  <si>
    <t>15:04:01.740</t>
  </si>
  <si>
    <t>15:04:10.272</t>
  </si>
  <si>
    <t>15:04:11.939</t>
  </si>
  <si>
    <t>15:07:45.591</t>
  </si>
  <si>
    <t>15:07:48.142</t>
  </si>
  <si>
    <t>15:08:06.889</t>
  </si>
  <si>
    <t>15:08:09.824</t>
  </si>
  <si>
    <t>15:08:28.588</t>
  </si>
  <si>
    <t>15:08:30.174</t>
  </si>
  <si>
    <t>15:08:31.688</t>
  </si>
  <si>
    <t>15:08:33.223</t>
  </si>
  <si>
    <t>15:08:55.487</t>
  </si>
  <si>
    <t>15:08:56.688</t>
  </si>
  <si>
    <t>15:09:53.452</t>
  </si>
  <si>
    <t>15:11:42.995</t>
  </si>
  <si>
    <t>15:11:44.881</t>
  </si>
  <si>
    <t>15:12:02.028</t>
  </si>
  <si>
    <t>15:12:05.862</t>
  </si>
  <si>
    <t>15:12:12.461</t>
  </si>
  <si>
    <t>15:12:15.028</t>
  </si>
  <si>
    <t>15:12:33.793</t>
  </si>
  <si>
    <t>15:12:36.527</t>
  </si>
  <si>
    <t>15:12:55.292</t>
  </si>
  <si>
    <t>15:12:58.026</t>
  </si>
  <si>
    <t>15:13:14.325</t>
  </si>
  <si>
    <t>15:15:47.106</t>
  </si>
  <si>
    <t>15:15:50.525</t>
  </si>
  <si>
    <t>15:16:09.272</t>
  </si>
  <si>
    <t>15:16:10.973</t>
  </si>
  <si>
    <t>15:16:17.571</t>
  </si>
  <si>
    <t>15:16:19.939</t>
  </si>
  <si>
    <t>15:16:38.703</t>
  </si>
  <si>
    <t>15:18:00.499</t>
  </si>
  <si>
    <t>15:18:02.718</t>
  </si>
  <si>
    <t>15:18:21.465</t>
  </si>
  <si>
    <t>15:18:24.917</t>
  </si>
  <si>
    <t>15:19:21.262</t>
  </si>
  <si>
    <t>15:19:23.647</t>
  </si>
  <si>
    <t>15:19:42.394</t>
  </si>
  <si>
    <t>15:19:45.995</t>
  </si>
  <si>
    <t>15:20:04.760</t>
  </si>
  <si>
    <t>15:20:09.494</t>
  </si>
  <si>
    <t>15:20:26.692</t>
  </si>
  <si>
    <t>15:20:28.160</t>
  </si>
  <si>
    <t>15:20:34.758</t>
  </si>
  <si>
    <t>15:20:37.259</t>
  </si>
  <si>
    <t>15:21:41.100</t>
  </si>
  <si>
    <t>15:23:06.112</t>
  </si>
  <si>
    <t>15:23:08.331</t>
  </si>
  <si>
    <t>15:23:25.511</t>
  </si>
  <si>
    <t>15:23:27.079</t>
  </si>
  <si>
    <t>15:23:33.678</t>
  </si>
  <si>
    <t>15:23:35.512</t>
  </si>
  <si>
    <t>15:23:40.777</t>
  </si>
  <si>
    <t>15:24:22.192</t>
  </si>
  <si>
    <t>15:24:25.977</t>
  </si>
  <si>
    <t>15:24:44.724</t>
  </si>
  <si>
    <t>15:24:47.125</t>
  </si>
  <si>
    <t>15:24:53.724</t>
  </si>
  <si>
    <t>15:24:55.591</t>
  </si>
  <si>
    <t>15:24:58.924</t>
  </si>
  <si>
    <t>15:25:45.637</t>
  </si>
  <si>
    <t>15:25:47.523</t>
  </si>
  <si>
    <t>15:25:54.104</t>
  </si>
  <si>
    <t>15:25:56.771</t>
  </si>
  <si>
    <t>15:26:37.702</t>
  </si>
  <si>
    <t>15:26:39.955</t>
  </si>
  <si>
    <t>15:26:58.700</t>
  </si>
  <si>
    <t>15:27:00.435</t>
  </si>
  <si>
    <t>15:27:08.233</t>
  </si>
  <si>
    <t>15:27:09.901</t>
  </si>
  <si>
    <t>15:27:14.933</t>
  </si>
  <si>
    <t>15:28:03.447</t>
  </si>
  <si>
    <t>15:28:06.366</t>
  </si>
  <si>
    <t>15:28:23.513</t>
  </si>
  <si>
    <t>15:28:24.913</t>
  </si>
  <si>
    <t>15:28:31.512</t>
  </si>
  <si>
    <t>15:28:35.380</t>
  </si>
  <si>
    <t>15:28:54.112</t>
  </si>
  <si>
    <t>15:28:55.846</t>
  </si>
  <si>
    <t>15:29:14.610</t>
  </si>
  <si>
    <t>15:29:16.245</t>
  </si>
  <si>
    <t>15:29:41.876</t>
  </si>
  <si>
    <t>15:31:35.554</t>
  </si>
  <si>
    <t>15:31:37.739</t>
  </si>
  <si>
    <t>15:31:52.153</t>
  </si>
  <si>
    <t>15:31:54.853</t>
  </si>
  <si>
    <t>15:32:04.218</t>
  </si>
  <si>
    <t>15:32:56.466</t>
  </si>
  <si>
    <t>15:32:58.585</t>
  </si>
  <si>
    <t>15:33:05.166</t>
  </si>
  <si>
    <t>15:33:07.033</t>
  </si>
  <si>
    <t>15:33:13.265</t>
  </si>
  <si>
    <t>15:33:40.792</t>
  </si>
  <si>
    <t>15:34:19.162</t>
  </si>
  <si>
    <t>15:34:21.581</t>
  </si>
  <si>
    <t>15:34:40.328</t>
  </si>
  <si>
    <t>15:34:42.195</t>
  </si>
  <si>
    <t>15:35:00.960</t>
  </si>
  <si>
    <t>15:35:02.495</t>
  </si>
  <si>
    <t>15:35:07.526</t>
  </si>
  <si>
    <t>15:35:09.093</t>
  </si>
  <si>
    <t>15:35:10.727</t>
  </si>
  <si>
    <t>15:35:44.808</t>
  </si>
  <si>
    <t>15:35:46.601</t>
  </si>
  <si>
    <t>15:36:05.307</t>
  </si>
  <si>
    <t>15:36:07.859</t>
  </si>
  <si>
    <t>15:36:14.073</t>
  </si>
  <si>
    <t>15:36:15.674</t>
  </si>
  <si>
    <t>15:36:33.205</t>
  </si>
  <si>
    <t>15:36:35.073</t>
  </si>
  <si>
    <t>15:36:40.039</t>
  </si>
  <si>
    <t>15:39:40.996</t>
  </si>
  <si>
    <t>15:39:42.715</t>
  </si>
  <si>
    <t>15:39:57.129</t>
  </si>
  <si>
    <t>15:40:00.396</t>
  </si>
  <si>
    <t>15:40:19.161</t>
  </si>
  <si>
    <t>15:40:20.995</t>
  </si>
  <si>
    <t>15:40:39.760</t>
  </si>
  <si>
    <t>15:40:42.694</t>
  </si>
  <si>
    <t>15:41:01.260</t>
  </si>
  <si>
    <t>15:41:01.459</t>
  </si>
  <si>
    <t>15:41:02.927</t>
  </si>
  <si>
    <t>15:44:19.866</t>
  </si>
  <si>
    <t>15:45:37.362</t>
  </si>
  <si>
    <t>15:45:40.448</t>
  </si>
  <si>
    <t>15:45:57.594</t>
  </si>
  <si>
    <t>15:46:00.062</t>
  </si>
  <si>
    <t>15:46:06.660</t>
  </si>
  <si>
    <t>15:46:11.512</t>
  </si>
  <si>
    <t>15:46:30.226</t>
  </si>
  <si>
    <t>15:46:31.794</t>
  </si>
  <si>
    <t>15:46:42.726</t>
  </si>
  <si>
    <t>15:47:16.808</t>
  </si>
  <si>
    <t>15:47:18.592</t>
  </si>
  <si>
    <t>15:47:25.173</t>
  </si>
  <si>
    <t>15:47:29.074</t>
  </si>
  <si>
    <t>15:47:47.806</t>
  </si>
  <si>
    <t>15:47:49.773</t>
  </si>
  <si>
    <t>15:48:08.538</t>
  </si>
  <si>
    <t>15:48:10.139</t>
  </si>
  <si>
    <t>15:48:28.904</t>
  </si>
  <si>
    <t>15:48:30.605</t>
  </si>
  <si>
    <t>15:48:55.037</t>
  </si>
  <si>
    <t>15:52:01.060</t>
  </si>
  <si>
    <t>15:52:02.912</t>
  </si>
  <si>
    <t>15:52:21.626</t>
  </si>
  <si>
    <t>15:52:32.958</t>
  </si>
  <si>
    <t>15:52:35.459</t>
  </si>
  <si>
    <t>15:52:53.024</t>
  </si>
  <si>
    <t>15:52:55.058</t>
  </si>
  <si>
    <t>14:22:36.089</t>
  </si>
  <si>
    <t>14:22:41.975</t>
  </si>
  <si>
    <t>14:24:33.545</t>
  </si>
  <si>
    <t>14:24:34.898</t>
  </si>
  <si>
    <t>14:27:22.419</t>
  </si>
  <si>
    <t>14:27:27.573</t>
  </si>
  <si>
    <t>14:27:32.214</t>
  </si>
  <si>
    <t>14:27:36.000</t>
  </si>
  <si>
    <t>14:27:42.213</t>
  </si>
  <si>
    <t>14:27:45.747</t>
  </si>
  <si>
    <t>14:28:19.117</t>
  </si>
  <si>
    <t>14:28:18.517</t>
  </si>
  <si>
    <t>14:28:20.351</t>
  </si>
  <si>
    <t>14:29:37.513</t>
  </si>
  <si>
    <t>14:29:39.199</t>
  </si>
  <si>
    <t>14:29:55.146</t>
  </si>
  <si>
    <t>14:29:56.332</t>
  </si>
  <si>
    <t>14:30:08.812</t>
  </si>
  <si>
    <t>14:30:10.513</t>
  </si>
  <si>
    <t>14:30:15.345</t>
  </si>
  <si>
    <t>14:32:07.072</t>
  </si>
  <si>
    <t>14:32:08.892</t>
  </si>
  <si>
    <t>14:32:15.472</t>
  </si>
  <si>
    <t>14:32:17.239</t>
  </si>
  <si>
    <t>14:32:25.405</t>
  </si>
  <si>
    <t>14:32:27.191</t>
  </si>
  <si>
    <t>14:32:33.404</t>
  </si>
  <si>
    <t>14:32:36.539</t>
  </si>
  <si>
    <t>14:33:10.270</t>
  </si>
  <si>
    <t>14:34:55.664</t>
  </si>
  <si>
    <t>14:34:58.917</t>
  </si>
  <si>
    <t>14:35:05.497</t>
  </si>
  <si>
    <t>14:35:09.364</t>
  </si>
  <si>
    <t>14:35:17.529</t>
  </si>
  <si>
    <t>14:35:21.697</t>
  </si>
  <si>
    <t>14:35:27.929</t>
  </si>
  <si>
    <t>14:35:30.930</t>
  </si>
  <si>
    <t>14:35:35.595</t>
  </si>
  <si>
    <t>14:35:36.129</t>
  </si>
  <si>
    <t>14:36:45.842</t>
  </si>
  <si>
    <t>14:36:48.362</t>
  </si>
  <si>
    <t>14:36:54.942</t>
  </si>
  <si>
    <t>14:36:57.042</t>
  </si>
  <si>
    <t>14:37:05.208</t>
  </si>
  <si>
    <t>14:37:11.842</t>
  </si>
  <si>
    <t>14:38:19.932</t>
  </si>
  <si>
    <t>14:38:21.218</t>
  </si>
  <si>
    <t>14:38:27.798</t>
  </si>
  <si>
    <t>14:38:29.199</t>
  </si>
  <si>
    <t>14:38:37.364</t>
  </si>
  <si>
    <t>14:38:41.132</t>
  </si>
  <si>
    <t>14:38:47.364</t>
  </si>
  <si>
    <t>14:38:50.664</t>
  </si>
  <si>
    <t>14:40:01.877</t>
  </si>
  <si>
    <t>14:40:04.196</t>
  </si>
  <si>
    <t>14:40:10.776</t>
  </si>
  <si>
    <t>14:40:12.844</t>
  </si>
  <si>
    <t>14:40:20.976</t>
  </si>
  <si>
    <t>14:40:24.477</t>
  </si>
  <si>
    <t>14:40:31.243</t>
  </si>
  <si>
    <t>14:40:30.709</t>
  </si>
  <si>
    <t>14:40:33.076</t>
  </si>
  <si>
    <t>14:40:57.308</t>
  </si>
  <si>
    <t>14:41:22.140</t>
  </si>
  <si>
    <t>14:42:43.880</t>
  </si>
  <si>
    <t>14:42:45.599</t>
  </si>
  <si>
    <t>14:42:55.280</t>
  </si>
  <si>
    <t>14:42:56.713</t>
  </si>
  <si>
    <t>14:43:03.312</t>
  </si>
  <si>
    <t>14:43:08.980</t>
  </si>
  <si>
    <t>14:43:14.346</t>
  </si>
  <si>
    <t>14:43:15.212</t>
  </si>
  <si>
    <t>14:43:17.346</t>
  </si>
  <si>
    <t>14:43:23.511</t>
  </si>
  <si>
    <t>14:43:26.346</t>
  </si>
  <si>
    <t>14:43:32.578</t>
  </si>
  <si>
    <t>14:43:34.812</t>
  </si>
  <si>
    <t>14:43:48.744</t>
  </si>
  <si>
    <t>14:44:06.609</t>
  </si>
  <si>
    <t>14:45:50.404</t>
  </si>
  <si>
    <t>14:46:13.337</t>
  </si>
  <si>
    <t>14:46:14.270</t>
  </si>
  <si>
    <t>14:46:17.656</t>
  </si>
  <si>
    <t>14:46:25.436</t>
  </si>
  <si>
    <t>14:46:27.337</t>
  </si>
  <si>
    <t>14:46:33.935</t>
  </si>
  <si>
    <t>14:46:35.036</t>
  </si>
  <si>
    <t>14:46:49.468</t>
  </si>
  <si>
    <t>14:46:53.035</t>
  </si>
  <si>
    <t>14:47:46.604</t>
  </si>
  <si>
    <t>14:47:50.390</t>
  </si>
  <si>
    <t>14:48:09.704</t>
  </si>
  <si>
    <t>14:48:09.103</t>
  </si>
  <si>
    <t>14:48:10.237</t>
  </si>
  <si>
    <t>14:48:16.836</t>
  </si>
  <si>
    <t>14:48:19.837</t>
  </si>
  <si>
    <t>14:48:26.435</t>
  </si>
  <si>
    <t>14:48:29.169</t>
  </si>
  <si>
    <t>14:48:47.934</t>
  </si>
  <si>
    <t>14:48:50.402</t>
  </si>
  <si>
    <t>14:49:09.167</t>
  </si>
  <si>
    <t>14:49:12.434</t>
  </si>
  <si>
    <t>14:49:24.932</t>
  </si>
  <si>
    <t>14:49:53.731</t>
  </si>
  <si>
    <t>14:51:17.255</t>
  </si>
  <si>
    <t>14:51:19.741</t>
  </si>
  <si>
    <t>14:51:36.921</t>
  </si>
  <si>
    <t>14:51:38.488</t>
  </si>
  <si>
    <t>14:51:43.520</t>
  </si>
  <si>
    <t>14:51:45.087</t>
  </si>
  <si>
    <t>14:51:47.154</t>
  </si>
  <si>
    <t>14:51:53.753</t>
  </si>
  <si>
    <t>14:51:57.587</t>
  </si>
  <si>
    <t>14:52:49.584</t>
  </si>
  <si>
    <t>14:52:51.871</t>
  </si>
  <si>
    <t>14:53:09.917</t>
  </si>
  <si>
    <t>14:53:09.049</t>
  </si>
  <si>
    <t>14:53:12.117</t>
  </si>
  <si>
    <t>14:53:18.716</t>
  </si>
  <si>
    <t>14:53:21.549</t>
  </si>
  <si>
    <t>14:53:28.148</t>
  </si>
  <si>
    <t>14:53:31.249</t>
  </si>
  <si>
    <t>14:53:38.415</t>
  </si>
  <si>
    <t>14:14:12.609</t>
  </si>
  <si>
    <t>14:14:14.595</t>
  </si>
  <si>
    <t>14:14:21.175</t>
  </si>
  <si>
    <t>14:14:22.242</t>
  </si>
  <si>
    <t>14:14:30.407</t>
  </si>
  <si>
    <t>14:14:34.309</t>
  </si>
  <si>
    <t>14:14:40.541</t>
  </si>
  <si>
    <t>14:14:42.408</t>
  </si>
  <si>
    <t>14:14:49.241</t>
  </si>
  <si>
    <t>14:17:23.405</t>
  </si>
  <si>
    <t>14:17:25.524</t>
  </si>
  <si>
    <t>14:17:32.104</t>
  </si>
  <si>
    <t>14:17:32.970</t>
  </si>
  <si>
    <t>14:17:41.672</t>
  </si>
  <si>
    <t>14:17:41.104</t>
  </si>
  <si>
    <t>14:17:45.671</t>
  </si>
  <si>
    <t>14:17:51.904</t>
  </si>
  <si>
    <t>14:17:55.604</t>
  </si>
  <si>
    <t>14:18:01.837</t>
  </si>
  <si>
    <t>14:18:04.837</t>
  </si>
  <si>
    <t>14:18:11.069</t>
  </si>
  <si>
    <t>14:18:13.903</t>
  </si>
  <si>
    <t>14:18:22.269</t>
  </si>
  <si>
    <t>14:18:41.568</t>
  </si>
  <si>
    <t>14:20:31.196</t>
  </si>
  <si>
    <t>14:20:33.782</t>
  </si>
  <si>
    <t>14:20:52.528</t>
  </si>
  <si>
    <t>14:20:54.129</t>
  </si>
  <si>
    <t>14:20:59.161</t>
  </si>
  <si>
    <t>14:21:54.550</t>
  </si>
  <si>
    <t>14:22:10.163</t>
  </si>
  <si>
    <t>14:22:11.582</t>
  </si>
  <si>
    <t>14:22:18.163</t>
  </si>
  <si>
    <t>14:22:18.997</t>
  </si>
  <si>
    <t>14:22:25.596</t>
  </si>
  <si>
    <t>14:22:27.762</t>
  </si>
  <si>
    <t>14:22:34.663</t>
  </si>
  <si>
    <t>14:22:46.528</t>
  </si>
  <si>
    <t>14:22:48.362</t>
  </si>
  <si>
    <t>14:23:07.093</t>
  </si>
  <si>
    <t>14:23:09.394</t>
  </si>
  <si>
    <t>14:23:13.260</t>
  </si>
  <si>
    <t>14:23:51.063</t>
  </si>
  <si>
    <t>14:25:25.059</t>
  </si>
  <si>
    <t>14:25:26.545</t>
  </si>
  <si>
    <t>14:25:33.125</t>
  </si>
  <si>
    <t>14:25:34.426</t>
  </si>
  <si>
    <t>14:25:41.025</t>
  </si>
  <si>
    <t>14:25:43.159</t>
  </si>
  <si>
    <t>14:25:44.125</t>
  </si>
  <si>
    <t>14:25:47.791</t>
  </si>
  <si>
    <t>14:25:49.691</t>
  </si>
  <si>
    <t>14:25:54.357</t>
  </si>
  <si>
    <t>14:25:56.858</t>
  </si>
  <si>
    <t>14:26:01.524</t>
  </si>
  <si>
    <t>14:26:03.091</t>
  </si>
  <si>
    <t>14:26:06.357</t>
  </si>
  <si>
    <t>14:26:27.789</t>
  </si>
  <si>
    <t>16:14:45.139</t>
  </si>
  <si>
    <t>16:14:47.091</t>
  </si>
  <si>
    <t>16:16:53.432</t>
  </si>
  <si>
    <t>16:16:55.318</t>
  </si>
  <si>
    <t>16:19:31.751</t>
  </si>
  <si>
    <t>16:19:37.404</t>
  </si>
  <si>
    <t>16:21:41.163</t>
  </si>
  <si>
    <t>16:21:43.148</t>
  </si>
  <si>
    <t>16:24:23.477</t>
  </si>
  <si>
    <t>16:24:25.362</t>
  </si>
  <si>
    <t>14:43:03.502</t>
  </si>
  <si>
    <t>14:43:05.322</t>
  </si>
  <si>
    <t>14:45:33.939</t>
  </si>
  <si>
    <t>14:45:35.492</t>
  </si>
  <si>
    <t>14:47:17.773</t>
  </si>
  <si>
    <t>14:47:21.393</t>
  </si>
  <si>
    <t>14:47:56.416</t>
  </si>
  <si>
    <t>14:47:58.996</t>
  </si>
  <si>
    <t>14:48:29.841</t>
  </si>
  <si>
    <t>14:48:34.470</t>
  </si>
  <si>
    <t>14:49:40.987</t>
  </si>
  <si>
    <t>14:49:44.441</t>
  </si>
  <si>
    <t>14:50:37.274</t>
  </si>
  <si>
    <t>14:50:39.461</t>
  </si>
  <si>
    <t>14:51:13.406</t>
  </si>
  <si>
    <t>14:51:14.992</t>
  </si>
  <si>
    <t>14:51:43.071</t>
  </si>
  <si>
    <t>14:51:45.425</t>
  </si>
  <si>
    <t>14:54:41.713</t>
  </si>
  <si>
    <t>14:54:45.532</t>
  </si>
  <si>
    <t>14:55:18.654</t>
  </si>
  <si>
    <t>14:55:22.174</t>
  </si>
  <si>
    <t>14:55:50.315</t>
  </si>
  <si>
    <t>14:55:54.448</t>
  </si>
  <si>
    <t>15:59:19.559</t>
  </si>
  <si>
    <t>15:59:21.547</t>
  </si>
  <si>
    <t>16:02:23.445</t>
  </si>
  <si>
    <t>16:02:25.085</t>
  </si>
  <si>
    <t>16:02:53.238</t>
  </si>
  <si>
    <t>16:02:54.739</t>
  </si>
  <si>
    <t>16:06:22.745</t>
  </si>
  <si>
    <t>16:06:31.098</t>
  </si>
  <si>
    <t>16:09:56.985</t>
  </si>
  <si>
    <t>16:10:01.537</t>
  </si>
  <si>
    <t>16:10:29.583</t>
  </si>
  <si>
    <t>16:14:17.172</t>
  </si>
  <si>
    <t>16:14:18.958</t>
  </si>
  <si>
    <t>16:14:47.069</t>
  </si>
  <si>
    <t>16:18:18.638</t>
  </si>
  <si>
    <t>16:18:22.857</t>
  </si>
  <si>
    <t>16:18:51.003</t>
  </si>
  <si>
    <t>16:18:53.903</t>
  </si>
  <si>
    <t>16:22:09.321</t>
  </si>
  <si>
    <t>16:22:42.525</t>
  </si>
  <si>
    <t>16:26:20.498</t>
  </si>
  <si>
    <t>16:26:24.678</t>
  </si>
  <si>
    <t>16:26:52.785</t>
  </si>
  <si>
    <t>16:26:56.085</t>
  </si>
  <si>
    <t>15:53:29.716</t>
  </si>
  <si>
    <t>15:53:31.202</t>
  </si>
  <si>
    <t>15:56:02.341</t>
  </si>
  <si>
    <t>15:56:08.595</t>
  </si>
  <si>
    <t>15:59:28.631</t>
  </si>
  <si>
    <t>15:59:34.151</t>
  </si>
  <si>
    <t>15:59:45.064</t>
  </si>
  <si>
    <t>15:59:50.643</t>
  </si>
  <si>
    <t>16:00:03.057</t>
  </si>
  <si>
    <t>16:00:07.552</t>
  </si>
  <si>
    <t>16:01:11.776</t>
  </si>
  <si>
    <t>16:03:21.392</t>
  </si>
  <si>
    <t>16:03:26.311</t>
  </si>
  <si>
    <t>16:03:45.057</t>
  </si>
  <si>
    <t>16:03:47.725</t>
  </si>
  <si>
    <t>16:04:36.889</t>
  </si>
  <si>
    <t>16:06:36.566</t>
  </si>
  <si>
    <t>16:06:39.585</t>
  </si>
  <si>
    <t>16:06:52.065</t>
  </si>
  <si>
    <t>16:06:54.499</t>
  </si>
  <si>
    <t>16:07:05.431</t>
  </si>
  <si>
    <t>16:07:08.298</t>
  </si>
  <si>
    <t>16:07:45.196</t>
  </si>
  <si>
    <t>16:09:19.830</t>
  </si>
  <si>
    <t>16:09:24.383</t>
  </si>
  <si>
    <t>16:09:43.129</t>
  </si>
  <si>
    <t>16:09:47.230</t>
  </si>
  <si>
    <t>16:10:05.994</t>
  </si>
  <si>
    <t>16:10:10.947</t>
  </si>
  <si>
    <t>16:10:24.993</t>
  </si>
  <si>
    <t>16:10:27.994</t>
  </si>
  <si>
    <t>16:11:41.223</t>
  </si>
  <si>
    <t>16:13:26.401</t>
  </si>
  <si>
    <t>16:13:29.020</t>
  </si>
  <si>
    <t>16:13:47.767</t>
  </si>
  <si>
    <t>16:13:51.100</t>
  </si>
  <si>
    <t>16:14:09.865</t>
  </si>
  <si>
    <t>16:14:12.666</t>
  </si>
  <si>
    <t>16:14:29.865</t>
  </si>
  <si>
    <t>16:14:32.232</t>
  </si>
  <si>
    <t>16:14:37.264</t>
  </si>
  <si>
    <t>16:15:54.278</t>
  </si>
  <si>
    <t>16:17:19.384</t>
  </si>
  <si>
    <t>16:17:21.904</t>
  </si>
  <si>
    <t>16:17:40.650</t>
  </si>
  <si>
    <t>16:17:43.184</t>
  </si>
  <si>
    <t>16:18:01.949</t>
  </si>
  <si>
    <t>16:18:04.150</t>
  </si>
  <si>
    <t>16:18:11.948</t>
  </si>
  <si>
    <t>16:18:14.049</t>
  </si>
  <si>
    <t>16:18:56.747</t>
  </si>
  <si>
    <t>16:21:05.168</t>
  </si>
  <si>
    <t>16:21:08.187</t>
  </si>
  <si>
    <t>16:21:26.934</t>
  </si>
  <si>
    <t>16:21:29.268</t>
  </si>
  <si>
    <t>16:21:47.999</t>
  </si>
  <si>
    <t>16:21:59.332</t>
  </si>
  <si>
    <t>16:22:02.066</t>
  </si>
  <si>
    <t>16:22:45.397</t>
  </si>
  <si>
    <t>16:25:01.540</t>
  </si>
  <si>
    <t>16:25:04.292</t>
  </si>
  <si>
    <t>16:25:13.605</t>
  </si>
  <si>
    <t>16:25:16.473</t>
  </si>
  <si>
    <t>16:25:19.571</t>
  </si>
  <si>
    <t>16:25:25.872</t>
  </si>
  <si>
    <t>16:25:45.004</t>
  </si>
  <si>
    <t>16:28:07.925</t>
  </si>
  <si>
    <t>16:28:10.410</t>
  </si>
  <si>
    <t>16:28:15.058</t>
  </si>
  <si>
    <t>16:28:17.425</t>
  </si>
  <si>
    <t>16:28:20.524</t>
  </si>
  <si>
    <t>16:28:25.891</t>
  </si>
  <si>
    <t>16:28:45.023</t>
  </si>
  <si>
    <t>16:28:47.190</t>
  </si>
  <si>
    <t>16:28:52.223</t>
  </si>
  <si>
    <t>16:30:47.184</t>
  </si>
  <si>
    <t>16:30:50.870</t>
  </si>
  <si>
    <t>16:30:55.517</t>
  </si>
  <si>
    <t>16:30:59.618</t>
  </si>
  <si>
    <t>16:31:02.716</t>
  </si>
  <si>
    <t>16:31:07.417</t>
  </si>
  <si>
    <t>16:31:47.215</t>
  </si>
  <si>
    <t>16:35:04.387</t>
  </si>
  <si>
    <t>16:35:20.720</t>
  </si>
  <si>
    <t>16:35:22.972</t>
  </si>
  <si>
    <t>16:35:32.320</t>
  </si>
  <si>
    <t>16:35:34.887</t>
  </si>
  <si>
    <t>16:35:46.185</t>
  </si>
  <si>
    <t>16:35:58.718</t>
  </si>
  <si>
    <t>16:36:00.952</t>
  </si>
  <si>
    <t>16:36:12.885</t>
  </si>
  <si>
    <t>16:38:46.720</t>
  </si>
  <si>
    <t>16:38:50.873</t>
  </si>
  <si>
    <t>16:39:09.620</t>
  </si>
  <si>
    <t>16:39:12.488</t>
  </si>
  <si>
    <t>16:39:31.186</t>
  </si>
  <si>
    <t>16:39:35.320</t>
  </si>
  <si>
    <t>16:39:43.118</t>
  </si>
  <si>
    <t>16:39:47.486</t>
  </si>
  <si>
    <t>16:40:03.484</t>
  </si>
  <si>
    <t>16:40:06.518</t>
  </si>
  <si>
    <t>16:40:12.750</t>
  </si>
  <si>
    <t>16:40:15.484</t>
  </si>
  <si>
    <t>16:40:21.350</t>
  </si>
  <si>
    <t>16:43:16.274</t>
  </si>
  <si>
    <t>16:43:20.426</t>
  </si>
  <si>
    <t>16:43:27.007</t>
  </si>
  <si>
    <t>16:43:30.575</t>
  </si>
  <si>
    <t>16:43:38.740</t>
  </si>
  <si>
    <t>16:43:42.441</t>
  </si>
  <si>
    <t>16:43:48.645</t>
  </si>
  <si>
    <t>16:43:53.040</t>
  </si>
  <si>
    <t>16:43:59.273</t>
  </si>
  <si>
    <t>16:44:03.773</t>
  </si>
  <si>
    <t>16:44:10.239</t>
  </si>
  <si>
    <t>15:56:36.845</t>
  </si>
  <si>
    <t>15:56:43.198</t>
  </si>
  <si>
    <t>15:59:56.179</t>
  </si>
  <si>
    <t>16:00:01.332</t>
  </si>
  <si>
    <t>16:00:20.045</t>
  </si>
  <si>
    <t>16:00:23.279</t>
  </si>
  <si>
    <t>16:00:28.579</t>
  </si>
  <si>
    <t>16:02:27.022</t>
  </si>
  <si>
    <t>16:02:29.542</t>
  </si>
  <si>
    <t>16:02:34.188</t>
  </si>
  <si>
    <t>16:02:37.789</t>
  </si>
  <si>
    <t>16:02:50.643</t>
  </si>
  <si>
    <t>16:02:53.977</t>
  </si>
  <si>
    <t>16:03:17.876</t>
  </si>
  <si>
    <t>16:06:13.211</t>
  </si>
  <si>
    <t>16:06:16.995</t>
  </si>
  <si>
    <t>16:06:32.970</t>
  </si>
  <si>
    <t>16:06:35.205</t>
  </si>
  <si>
    <t>16:06:46.605</t>
  </si>
  <si>
    <t>16:06:47.704</t>
  </si>
  <si>
    <t>16:06:51.071</t>
  </si>
  <si>
    <t>16:07:03.570</t>
  </si>
  <si>
    <t>16:07:06.570</t>
  </si>
  <si>
    <t>16:07:19.069</t>
  </si>
  <si>
    <t>16:07:20.403</t>
  </si>
  <si>
    <t>16:07:41.868</t>
  </si>
  <si>
    <t>16:10:03.489</t>
  </si>
  <si>
    <t>16:10:07.541</t>
  </si>
  <si>
    <t>16:10:26.287</t>
  </si>
  <si>
    <t>16:10:30.755</t>
  </si>
  <si>
    <t>16:10:38.555</t>
  </si>
  <si>
    <t>16:10:38.554</t>
  </si>
  <si>
    <t>16:10:42.454</t>
  </si>
  <si>
    <t>16:10:49.053</t>
  </si>
  <si>
    <t>16:10:49.920</t>
  </si>
  <si>
    <t>16:11:04.323</t>
  </si>
  <si>
    <t>16:11:07.364</t>
  </si>
  <si>
    <t>16:11:26.129</t>
  </si>
  <si>
    <t>16:11:28.996</t>
  </si>
  <si>
    <t>16:13:33.874</t>
  </si>
  <si>
    <t>16:13:37.676</t>
  </si>
  <si>
    <t>16:13:45.806</t>
  </si>
  <si>
    <t>16:13:48.339</t>
  </si>
  <si>
    <t>16:13:58.841</t>
  </si>
  <si>
    <t>16:13:54.939</t>
  </si>
  <si>
    <t>16:14:01.407</t>
  </si>
  <si>
    <t>16:14:06.066</t>
  </si>
  <si>
    <t>16:14:07.768</t>
  </si>
  <si>
    <t>16:14:12.427</t>
  </si>
  <si>
    <t>16:14:15.263</t>
  </si>
  <si>
    <t>16:14:19.899</t>
  </si>
  <si>
    <t>16:14:21.165</t>
  </si>
  <si>
    <t>16:14:43.721</t>
  </si>
  <si>
    <t>16:16:31.642</t>
  </si>
  <si>
    <t>16:16:33.620</t>
  </si>
  <si>
    <t>16:16:55.919</t>
  </si>
  <si>
    <t>16:16:57.590</t>
  </si>
  <si>
    <t>16:17:04.152</t>
  </si>
  <si>
    <t>16:17:06.389</t>
  </si>
  <si>
    <t>16:17:25.110</t>
  </si>
  <si>
    <t>16:17:27.075</t>
  </si>
  <si>
    <t>16:19:58.027</t>
  </si>
  <si>
    <t>16:20:00.057</t>
  </si>
  <si>
    <t>16:20:22.293</t>
  </si>
  <si>
    <t>16:20:23.727</t>
  </si>
  <si>
    <t>16:20:30.326</t>
  </si>
  <si>
    <t>16:20:33.395</t>
  </si>
  <si>
    <t>16:20:51.425</t>
  </si>
  <si>
    <t>16:20:52.158</t>
  </si>
  <si>
    <t>16:20:55.027</t>
  </si>
  <si>
    <t>16:21:13.729</t>
  </si>
  <si>
    <t>16:21:17.930</t>
  </si>
  <si>
    <t>16:21:36.695</t>
  </si>
  <si>
    <t>16:21:38.127</t>
  </si>
  <si>
    <t>16:23:42.527</t>
  </si>
  <si>
    <t>16:23:46.512</t>
  </si>
  <si>
    <t>16:23:53.093</t>
  </si>
  <si>
    <t>16:23:55.796</t>
  </si>
  <si>
    <t>16:23:57.327</t>
  </si>
  <si>
    <t>16:24:01.228</t>
  </si>
  <si>
    <t>16:24:07.826</t>
  </si>
  <si>
    <t>16:24:14.095</t>
  </si>
  <si>
    <t>16:24:19.126</t>
  </si>
  <si>
    <t>16:24:20.692</t>
  </si>
  <si>
    <t>16:24:20.691</t>
  </si>
  <si>
    <t>16:24:23.577</t>
  </si>
  <si>
    <t>16:24:25.092</t>
  </si>
  <si>
    <t>16:24:26.092</t>
  </si>
  <si>
    <t>16:24:27.625</t>
  </si>
  <si>
    <t>16:24:28.194</t>
  </si>
  <si>
    <t>16:27:18.900</t>
  </si>
  <si>
    <t>16:27:20.536</t>
  </si>
  <si>
    <t>16:27:37.699</t>
  </si>
  <si>
    <t>16:27:39.467</t>
  </si>
  <si>
    <t>16:27:46.065</t>
  </si>
  <si>
    <t>16:27:48.700</t>
  </si>
  <si>
    <t>16:27:54.930</t>
  </si>
  <si>
    <t>16:27:57.600</t>
  </si>
  <si>
    <t>15:56:01.193</t>
  </si>
  <si>
    <t>15:56:03.313</t>
  </si>
  <si>
    <t>15:56:09.527</t>
  </si>
  <si>
    <t>15:56:10.661</t>
  </si>
  <si>
    <t>15:56:21.959</t>
  </si>
  <si>
    <t>15:56:24.127</t>
  </si>
  <si>
    <t>15:56:29.159</t>
  </si>
  <si>
    <t>15:57:14.924</t>
  </si>
  <si>
    <t>15:59:23.257</t>
  </si>
  <si>
    <t>15:59:25.308</t>
  </si>
  <si>
    <t>15:59:31.861</t>
  </si>
  <si>
    <t>15:59:34.541</t>
  </si>
  <si>
    <t>15:59:39.206</t>
  </si>
  <si>
    <t>15:59:40.373</t>
  </si>
  <si>
    <t>15:59:52.239</t>
  </si>
  <si>
    <t>16:00:47.269</t>
  </si>
  <si>
    <t>16:03:11.823</t>
  </si>
  <si>
    <t>16:03:13.174</t>
  </si>
  <si>
    <t>16:03:30.355</t>
  </si>
  <si>
    <t>16:03:32.022</t>
  </si>
  <si>
    <t>16:03:38.621</t>
  </si>
  <si>
    <t>16:03:40.089</t>
  </si>
  <si>
    <t>16:03:46.688</t>
  </si>
  <si>
    <t>16:03:48.789</t>
  </si>
  <si>
    <t>16:03:54.121</t>
  </si>
  <si>
    <t>16:04:07.554</t>
  </si>
  <si>
    <t>16:04:31.413</t>
  </si>
  <si>
    <t>16:04:38.714</t>
  </si>
  <si>
    <t>16:07:39.154</t>
  </si>
  <si>
    <t>16:07:40.973</t>
  </si>
  <si>
    <t>16:07:47.554</t>
  </si>
  <si>
    <t>16:07:48.855</t>
  </si>
  <si>
    <t>16:07:57.621</t>
  </si>
  <si>
    <t>16:07:57.020</t>
  </si>
  <si>
    <t>16:07:59.121</t>
  </si>
  <si>
    <t>16:08:05.353</t>
  </si>
  <si>
    <t>16:08:06.921</t>
  </si>
  <si>
    <t>16:08:13.152</t>
  </si>
  <si>
    <t>16:08:16.187</t>
  </si>
  <si>
    <t>16:08:22.384</t>
  </si>
  <si>
    <t>16:08:28.058</t>
  </si>
  <si>
    <t>16:09:01.417</t>
  </si>
  <si>
    <t>16:11:16.449</t>
  </si>
  <si>
    <t>16:11:18.701</t>
  </si>
  <si>
    <t>16:11:26.848</t>
  </si>
  <si>
    <t>16:11:31.050</t>
  </si>
  <si>
    <t>16:11:35.713</t>
  </si>
  <si>
    <t>16:11:37.814</t>
  </si>
  <si>
    <t>16:11:42.459</t>
  </si>
  <si>
    <t>16:11:44.059</t>
  </si>
  <si>
    <t>16:11:48.724</t>
  </si>
  <si>
    <t>16:11:50.326</t>
  </si>
  <si>
    <t>16:11:51.359</t>
  </si>
  <si>
    <t>16:11:54.958</t>
  </si>
  <si>
    <t>16:11:56.093</t>
  </si>
  <si>
    <t>16:12:16.457</t>
  </si>
  <si>
    <t>16:14:25.489</t>
  </si>
  <si>
    <t>16:14:27.275</t>
  </si>
  <si>
    <t>16:14:36.956</t>
  </si>
  <si>
    <t>16:14:39.390</t>
  </si>
  <si>
    <t>16:14:40.723</t>
  </si>
  <si>
    <t>16:14:45.989</t>
  </si>
  <si>
    <t>16:14:49.823</t>
  </si>
  <si>
    <t>16:14:56.055</t>
  </si>
  <si>
    <t>16:14:58.956</t>
  </si>
  <si>
    <t>16:15:05.188</t>
  </si>
  <si>
    <t>16:15:07.589</t>
  </si>
  <si>
    <t>16:15:13.821</t>
  </si>
  <si>
    <t>16:15:16.588</t>
  </si>
  <si>
    <t>16:15:48.586</t>
  </si>
  <si>
    <t>16:19:04.381</t>
  </si>
  <si>
    <t>16:19:06.305</t>
  </si>
  <si>
    <t>16:19:16.009</t>
  </si>
  <si>
    <t>16:19:17.110</t>
  </si>
  <si>
    <t>16:19:23.703</t>
  </si>
  <si>
    <t>16:19:25.488</t>
  </si>
  <si>
    <t>16:19:31.702</t>
  </si>
  <si>
    <t>16:19:36.137</t>
  </si>
  <si>
    <t>16:19:37.236</t>
  </si>
  <si>
    <t>16:19:42.368</t>
  </si>
  <si>
    <t>16:19:44.470</t>
  </si>
  <si>
    <t>16:19:50.701</t>
  </si>
  <si>
    <t>16:19:52.635</t>
  </si>
  <si>
    <t>16:20:28.972</t>
  </si>
  <si>
    <t>15:08:38.800</t>
  </si>
  <si>
    <t>15:08:40.924</t>
  </si>
  <si>
    <t>16:47:41.531</t>
  </si>
  <si>
    <t>16:47:46.350</t>
  </si>
  <si>
    <t>16:50:58.354</t>
  </si>
  <si>
    <t>16:51:00.674</t>
  </si>
  <si>
    <t>16:51:07.254</t>
  </si>
  <si>
    <t>16:51:09.754</t>
  </si>
  <si>
    <t>16:51:16.353</t>
  </si>
  <si>
    <t>16:51:18.087</t>
  </si>
  <si>
    <t>16:51:19.620</t>
  </si>
  <si>
    <t>16:51:24.319</t>
  </si>
  <si>
    <t>16:51:26.887</t>
  </si>
  <si>
    <t>16:51:33.086</t>
  </si>
  <si>
    <t>16:51:38.720</t>
  </si>
  <si>
    <t>16:51:44.952</t>
  </si>
  <si>
    <t>16:51:48.919</t>
  </si>
  <si>
    <t>16:52:16.817</t>
  </si>
  <si>
    <t>16:54:47.092</t>
  </si>
  <si>
    <t>16:55:09.960</t>
  </si>
  <si>
    <t>16:55:09.358</t>
  </si>
  <si>
    <t>16:55:12.711</t>
  </si>
  <si>
    <t>16:55:19.291</t>
  </si>
  <si>
    <t>16:55:21.092</t>
  </si>
  <si>
    <t>16:55:27.691</t>
  </si>
  <si>
    <t>16:55:32.092</t>
  </si>
  <si>
    <t>16:55:50.856</t>
  </si>
  <si>
    <t>16:55:53.857</t>
  </si>
  <si>
    <t>16:56:12.622</t>
  </si>
  <si>
    <t>16:56:15.289</t>
  </si>
  <si>
    <t>16:59:09.030</t>
  </si>
  <si>
    <t>16:59:10.816</t>
  </si>
  <si>
    <t>16:59:17.396</t>
  </si>
  <si>
    <t>16:59:20.664</t>
  </si>
  <si>
    <t>17:00:36.581</t>
  </si>
  <si>
    <t>17:00:40.801</t>
  </si>
  <si>
    <t>17:00:47.381</t>
  </si>
  <si>
    <t>17:00:48.748</t>
  </si>
  <si>
    <t>17:00:55.347</t>
  </si>
  <si>
    <t>17:00:58.581</t>
  </si>
  <si>
    <t>17:01:03.240</t>
  </si>
  <si>
    <t>17:01:05.342</t>
  </si>
  <si>
    <t>17:01:10.002</t>
  </si>
  <si>
    <t>17:01:14.702</t>
  </si>
  <si>
    <t>17:01:19.368</t>
  </si>
  <si>
    <t>17:01:23.235</t>
  </si>
  <si>
    <t>17:01:47.568</t>
  </si>
  <si>
    <t>17:02:53.452</t>
  </si>
  <si>
    <t>17:02:59.772</t>
  </si>
  <si>
    <t>17:03:06.352</t>
  </si>
  <si>
    <t>17:03:07.952</t>
  </si>
  <si>
    <t>17:03:14.551</t>
  </si>
  <si>
    <t>17:03:19.053</t>
  </si>
  <si>
    <t>17:03:23.718</t>
  </si>
  <si>
    <t>17:03:26.252</t>
  </si>
  <si>
    <t>17:03:30.917</t>
  </si>
  <si>
    <t>17:03:32.485</t>
  </si>
  <si>
    <t>17:03:37.150</t>
  </si>
  <si>
    <t>17:03:39.685</t>
  </si>
  <si>
    <t>17:04:03.149</t>
  </si>
  <si>
    <t>17:04:36.170</t>
  </si>
  <si>
    <t>17:04:38.189</t>
  </si>
  <si>
    <t>17:04:44.769</t>
  </si>
  <si>
    <t>17:04:46.336</t>
  </si>
  <si>
    <t>17:04:53.669</t>
  </si>
  <si>
    <t>17:04:52.936</t>
  </si>
  <si>
    <t>17:04:55.736</t>
  </si>
  <si>
    <t>17:05:00.401</t>
  </si>
  <si>
    <t>17:05:02.269</t>
  </si>
  <si>
    <t>17:05:06.901</t>
  </si>
  <si>
    <t>17:05:10.774</t>
  </si>
  <si>
    <t>17:05:15.367</t>
  </si>
  <si>
    <t>17:05:16.768</t>
  </si>
  <si>
    <t>17:05:36.667</t>
  </si>
  <si>
    <t>15:04:57.520</t>
  </si>
  <si>
    <t>15:05:02.322</t>
  </si>
  <si>
    <t>15:07:31.179</t>
  </si>
  <si>
    <t>15:07:34.469</t>
  </si>
  <si>
    <t>15:10:29.993</t>
  </si>
  <si>
    <t>15:11:03.258</t>
  </si>
  <si>
    <t>15:11:07.331</t>
  </si>
  <si>
    <t>15:13:59.321</t>
  </si>
  <si>
    <t>15:14:02.207</t>
  </si>
  <si>
    <t>15:14:31.647</t>
  </si>
  <si>
    <t>15:17:47.682</t>
  </si>
  <si>
    <t>15:17:49.935</t>
  </si>
  <si>
    <t>15:18:18.047</t>
  </si>
  <si>
    <t>15:18:19.881</t>
  </si>
  <si>
    <t>15:50:57.666</t>
  </si>
  <si>
    <t>15:51:02.818</t>
  </si>
  <si>
    <t>15:53:38.164</t>
  </si>
  <si>
    <t>15:53:44.116</t>
  </si>
  <si>
    <t>15:53:50.697</t>
  </si>
  <si>
    <t>15:53:53.397</t>
  </si>
  <si>
    <t>15:54:05.895</t>
  </si>
  <si>
    <t>15:54:11.981</t>
  </si>
  <si>
    <t>15:54:32.095</t>
  </si>
  <si>
    <t>15:56:19.189</t>
  </si>
  <si>
    <t>15:56:21.608</t>
  </si>
  <si>
    <t>15:56:34.055</t>
  </si>
  <si>
    <t>15:56:39.522</t>
  </si>
  <si>
    <t>15:56:46.104</t>
  </si>
  <si>
    <t>15:56:48.338</t>
  </si>
  <si>
    <t>15:56:59.404</t>
  </si>
  <si>
    <t>15:58:21.983</t>
  </si>
  <si>
    <t>15:58:25.002</t>
  </si>
  <si>
    <t>15:58:37.482</t>
  </si>
  <si>
    <t>15:58:39.816</t>
  </si>
  <si>
    <t>15:58:46.398</t>
  </si>
  <si>
    <t>15:58:48.099</t>
  </si>
  <si>
    <t>15:58:51.197</t>
  </si>
  <si>
    <t>15:59:38.028</t>
  </si>
  <si>
    <t>15:59:40.148</t>
  </si>
  <si>
    <t>15:59:52.628</t>
  </si>
  <si>
    <t>15:59:54.263</t>
  </si>
  <si>
    <t>16:00:00.861</t>
  </si>
  <si>
    <t>16:00:02.895</t>
  </si>
  <si>
    <t>16:00:05.994</t>
  </si>
  <si>
    <t>16:01:01.491</t>
  </si>
  <si>
    <t>16:01:04.011</t>
  </si>
  <si>
    <t>16:01:08.658</t>
  </si>
  <si>
    <t>16:01:11.159</t>
  </si>
  <si>
    <t>16:01:17.758</t>
  </si>
  <si>
    <t>16:01:19.458</t>
  </si>
  <si>
    <t>16:01:25.691</t>
  </si>
  <si>
    <t>16:01:27.824</t>
  </si>
  <si>
    <t>16:01:34.056</t>
  </si>
  <si>
    <t>16:01:35.724</t>
  </si>
  <si>
    <t>16:01:50.690</t>
  </si>
  <si>
    <t>16:01:56.723</t>
  </si>
  <si>
    <t>16:03:32.918</t>
  </si>
  <si>
    <t>16:03:35.336</t>
  </si>
  <si>
    <t>16:03:46.617</t>
  </si>
  <si>
    <t>16:03:48.418</t>
  </si>
  <si>
    <t>16:04:00.650</t>
  </si>
  <si>
    <t>16:04:00.916</t>
  </si>
  <si>
    <t>16:04:03.450</t>
  </si>
  <si>
    <t>16:05:52.578</t>
  </si>
  <si>
    <t>16:05:54.630</t>
  </si>
  <si>
    <t>16:06:01.210</t>
  </si>
  <si>
    <t>16:06:04.112</t>
  </si>
  <si>
    <t>16:06:15.643</t>
  </si>
  <si>
    <t>16:08:39.252</t>
  </si>
  <si>
    <t>16:08:41.072</t>
  </si>
  <si>
    <t>16:08:50.785</t>
  </si>
  <si>
    <t>16:08:53.053</t>
  </si>
  <si>
    <t>16:08:59.651</t>
  </si>
  <si>
    <t>16:09:01.653</t>
  </si>
  <si>
    <t>16:09:07.884</t>
  </si>
  <si>
    <t>16:09:11.319</t>
  </si>
  <si>
    <t>16:09:30.318</t>
  </si>
  <si>
    <t>16:11:05.862</t>
  </si>
  <si>
    <t>16:11:07.615</t>
  </si>
  <si>
    <t>15:28:40.620</t>
  </si>
  <si>
    <t>15:28:42.471</t>
  </si>
  <si>
    <t>15:28:53.386</t>
  </si>
  <si>
    <t>15:28:54.786</t>
  </si>
  <si>
    <t>15:29:01.385</t>
  </si>
  <si>
    <t>15:29:03.653</t>
  </si>
  <si>
    <t>15:29:27.651</t>
  </si>
  <si>
    <t>15:32:37.330</t>
  </si>
  <si>
    <t>15:32:39.082</t>
  </si>
  <si>
    <t>15:33:10.251</t>
  </si>
  <si>
    <t>15:34:20.914</t>
  </si>
  <si>
    <t>15:34:23.066</t>
  </si>
  <si>
    <t>15:34:29.647</t>
  </si>
  <si>
    <t>15:34:32.015</t>
  </si>
  <si>
    <t>15:34:43.580</t>
  </si>
  <si>
    <t>15:34:44.513</t>
  </si>
  <si>
    <t>15:34:46.480</t>
  </si>
  <si>
    <t>15:35:02.078</t>
  </si>
  <si>
    <t>15:37:36.771</t>
  </si>
  <si>
    <t>15:37:38.156</t>
  </si>
  <si>
    <t>15:37:44.737</t>
  </si>
  <si>
    <t>15:37:46.272</t>
  </si>
  <si>
    <t>15:37:52.071</t>
  </si>
  <si>
    <t>15:37:52.870</t>
  </si>
  <si>
    <t>15:37:55.071</t>
  </si>
  <si>
    <t>15:38:01.303</t>
  </si>
  <si>
    <t>15:38:02.905</t>
  </si>
  <si>
    <t>15:38:04.435</t>
  </si>
  <si>
    <t>15:38:07.469</t>
  </si>
  <si>
    <t>15:38:09.136</t>
  </si>
  <si>
    <t>15:38:10.804</t>
  </si>
  <si>
    <t>15:38:13.030</t>
  </si>
  <si>
    <t>15:38:17.024</t>
  </si>
  <si>
    <t>15:38:18.725</t>
  </si>
  <si>
    <t>15:38:19.625</t>
  </si>
  <si>
    <t>15:40:39.668</t>
  </si>
  <si>
    <t>15:40:42.386</t>
  </si>
  <si>
    <t>15:40:59.567</t>
  </si>
  <si>
    <t>15:41:01.033</t>
  </si>
  <si>
    <t>15:41:06.066</t>
  </si>
  <si>
    <t>15:41:07.633</t>
  </si>
  <si>
    <t>15:41:09.500</t>
  </si>
  <si>
    <t>15:41:16.099</t>
  </si>
  <si>
    <t>15:41:18.233</t>
  </si>
  <si>
    <t>15:41:23.566</t>
  </si>
  <si>
    <t>15:41:36.965</t>
  </si>
  <si>
    <t>15:42:00.775</t>
  </si>
  <si>
    <t>15:42:08.008</t>
  </si>
  <si>
    <t>15:42:46.239</t>
  </si>
  <si>
    <t>15:44:42.733</t>
  </si>
  <si>
    <t>15:44:51.291</t>
  </si>
  <si>
    <t>15:44:57.871</t>
  </si>
  <si>
    <t>15:44:59.572</t>
  </si>
  <si>
    <t>15:45:06.171</t>
  </si>
  <si>
    <t>15:45:09.172</t>
  </si>
  <si>
    <t>15:45:12.270</t>
  </si>
  <si>
    <t>15:45:13.837</t>
  </si>
  <si>
    <t>15:45:15.605</t>
  </si>
  <si>
    <t>15:45:18.703</t>
  </si>
  <si>
    <t>15:45:18.866</t>
  </si>
  <si>
    <t>15:45:20.265</t>
  </si>
  <si>
    <t>15:45:22.182</t>
  </si>
  <si>
    <t>15:45:26.814</t>
  </si>
  <si>
    <t>15:45:28.415</t>
  </si>
  <si>
    <t>15:45:28.416</t>
  </si>
  <si>
    <t>15:45:32.381</t>
  </si>
  <si>
    <t>15:47:21.670</t>
  </si>
  <si>
    <t>15:47:23.922</t>
  </si>
  <si>
    <t>15:47:30.503</t>
  </si>
  <si>
    <t>15:47:31.837</t>
  </si>
  <si>
    <t>15:47:39.504</t>
  </si>
  <si>
    <t>15:47:38.436</t>
  </si>
  <si>
    <t>15:47:40.204</t>
  </si>
  <si>
    <t>15:47:45.002</t>
  </si>
  <si>
    <t>15:47:44.869</t>
  </si>
  <si>
    <t>15:47:46.970</t>
  </si>
  <si>
    <t>15:47:51.435</t>
  </si>
  <si>
    <t>15:47:51.635</t>
  </si>
  <si>
    <t>15:47:53.636</t>
  </si>
  <si>
    <t>15:47:56.635</t>
  </si>
  <si>
    <t>15:47:58.302</t>
  </si>
  <si>
    <t>15:48:00.002</t>
  </si>
  <si>
    <t>15:48:01.202</t>
  </si>
  <si>
    <t>15:43:06.441</t>
  </si>
  <si>
    <t>15:43:08.660</t>
  </si>
  <si>
    <t>15:46:46.142</t>
  </si>
  <si>
    <t>15:47:19.385</t>
  </si>
  <si>
    <t>15:47:21.785</t>
  </si>
  <si>
    <t>15:50:43.828</t>
  </si>
  <si>
    <t>15:50:47.916</t>
  </si>
  <si>
    <t>15:51:16.060</t>
  </si>
  <si>
    <t>15:51:17.195</t>
  </si>
  <si>
    <t>15:05:01.681</t>
  </si>
  <si>
    <t>15:05:10.034</t>
  </si>
  <si>
    <t>15:07:15.452</t>
  </si>
  <si>
    <t>15:07:18.338</t>
  </si>
  <si>
    <t>15:10:19.504</t>
  </si>
  <si>
    <t>15:12:58.741</t>
  </si>
  <si>
    <t>15:13:02.394</t>
  </si>
  <si>
    <t>15:13:08.608</t>
  </si>
  <si>
    <t>15:13:11.974</t>
  </si>
  <si>
    <t>15:13:15.073</t>
  </si>
  <si>
    <t>15:13:16.908</t>
  </si>
  <si>
    <t>15:13:25.073</t>
  </si>
  <si>
    <t>15:13:30.240</t>
  </si>
  <si>
    <t>15:13:36.472</t>
  </si>
  <si>
    <t>15:13:40.273</t>
  </si>
  <si>
    <t>15:13:44.073</t>
  </si>
  <si>
    <t>15:13:48.072</t>
  </si>
  <si>
    <t>15:13:51.139</t>
  </si>
  <si>
    <t>15:14:24.137</t>
  </si>
  <si>
    <t>15:19:15.322</t>
  </si>
  <si>
    <t>15:19:19.243</t>
  </si>
  <si>
    <t>15:19:36.422</t>
  </si>
  <si>
    <t>15:19:43.054</t>
  </si>
  <si>
    <t>15:20:06.847</t>
  </si>
  <si>
    <t>15:21:03.561</t>
  </si>
  <si>
    <t>15:22:04.958</t>
  </si>
  <si>
    <t>14:57:42.343</t>
  </si>
  <si>
    <t>14:57:46.395</t>
  </si>
  <si>
    <t>14:57:56.110</t>
  </si>
  <si>
    <t>14:58:00.511</t>
  </si>
  <si>
    <t>14:58:06.742</t>
  </si>
  <si>
    <t>14:58:11.575</t>
  </si>
  <si>
    <t>14:58:17.775</t>
  </si>
  <si>
    <t>14:58:22.309</t>
  </si>
  <si>
    <t>14:58:28.542</t>
  </si>
  <si>
    <t>14:58:33.975</t>
  </si>
  <si>
    <t>14:59:00.506</t>
  </si>
  <si>
    <t>14:59:06.940</t>
  </si>
  <si>
    <t>14:59:18.238</t>
  </si>
  <si>
    <t>15:03:01.200</t>
  </si>
  <si>
    <t>15:03:05.085</t>
  </si>
  <si>
    <t>15:03:11.300</t>
  </si>
  <si>
    <t>15:03:16.233</t>
  </si>
  <si>
    <t>15:03:19.332</t>
  </si>
  <si>
    <t>15:03:22.567</t>
  </si>
  <si>
    <t>15:03:30.732</t>
  </si>
  <si>
    <t>15:03:35.432</t>
  </si>
  <si>
    <t>15:03:41.665</t>
  </si>
  <si>
    <t>15:03:44.433</t>
  </si>
  <si>
    <t>15:03:47.132</t>
  </si>
  <si>
    <t>15:03:52.231</t>
  </si>
  <si>
    <t>15:03:54.931</t>
  </si>
  <si>
    <t>15:04:25.863</t>
  </si>
  <si>
    <t>15:07:56.213</t>
  </si>
  <si>
    <t>15:08:00.165</t>
  </si>
  <si>
    <t>15:08:18.879</t>
  </si>
  <si>
    <t>15:08:21.380</t>
  </si>
  <si>
    <t>15:08:27.979</t>
  </si>
  <si>
    <t>15:08:32.112</t>
  </si>
  <si>
    <t>15:08:50.844</t>
  </si>
  <si>
    <t>15:08:54.479</t>
  </si>
  <si>
    <t>15:09:13.243</t>
  </si>
  <si>
    <t>15:09:33.942</t>
  </si>
  <si>
    <t>15:09:38.209</t>
  </si>
  <si>
    <t>15:10:12.275</t>
  </si>
  <si>
    <t>15:15:53.734</t>
  </si>
  <si>
    <t>15:16:17.600</t>
  </si>
  <si>
    <t>15:16:20.118</t>
  </si>
  <si>
    <t>15:16:38.866</t>
  </si>
  <si>
    <t>15:16:41.300</t>
  </si>
  <si>
    <t>15:16:49.098</t>
  </si>
  <si>
    <t>15:17:05.096</t>
  </si>
  <si>
    <t>15:17:35.230</t>
  </si>
  <si>
    <t>15:17:37.531</t>
  </si>
  <si>
    <t>15:17:42.063</t>
  </si>
  <si>
    <t>15:18:20.695</t>
  </si>
  <si>
    <t>15:24:36.781</t>
  </si>
  <si>
    <t>15:24:59.080</t>
  </si>
  <si>
    <t>15:25:01.098</t>
  </si>
  <si>
    <t>15:25:07.680</t>
  </si>
  <si>
    <t>15:25:12.081</t>
  </si>
  <si>
    <t>15:25:29.212</t>
  </si>
  <si>
    <t>15:25:31.979</t>
  </si>
  <si>
    <t>15:25:37.312</t>
  </si>
  <si>
    <t>15:25:38.578</t>
  </si>
  <si>
    <t>15:25:42.512</t>
  </si>
  <si>
    <t>15:26:01.227</t>
  </si>
  <si>
    <t>15:30:27.847</t>
  </si>
  <si>
    <t>15:30:31.564</t>
  </si>
  <si>
    <t>15:30:38.146</t>
  </si>
  <si>
    <t>15:30:41.181</t>
  </si>
  <si>
    <t>15:30:47.779</t>
  </si>
  <si>
    <t>15:30:51.947</t>
  </si>
  <si>
    <t>15:30:58.313</t>
  </si>
  <si>
    <t>15:31:10.678</t>
  </si>
  <si>
    <t>15:31:13.546</t>
  </si>
  <si>
    <t>15:31:32.311</t>
  </si>
  <si>
    <t>15:31:34.912</t>
  </si>
  <si>
    <t>15:31:38.544</t>
  </si>
  <si>
    <t>15:31:53.676</t>
  </si>
  <si>
    <t>15:31:57.210</t>
  </si>
  <si>
    <t>15:32:19.675</t>
  </si>
  <si>
    <t>15:38:42.173</t>
  </si>
  <si>
    <t>15:38:44.958</t>
  </si>
  <si>
    <t>15:38:49.606</t>
  </si>
  <si>
    <t>15:38:52.773</t>
  </si>
  <si>
    <t>15:38:54.306</t>
  </si>
  <si>
    <t>15:38:56.273</t>
  </si>
  <si>
    <t>15:39:04.438</t>
  </si>
  <si>
    <t>15:39:06.507</t>
  </si>
  <si>
    <t>15:39:11.171</t>
  </si>
  <si>
    <t>15:39:13.039</t>
  </si>
  <si>
    <t>15:39:17.704</t>
  </si>
  <si>
    <t>15:39:22.404</t>
  </si>
  <si>
    <t>15:39:25.272</t>
  </si>
  <si>
    <t>15:39:45.437</t>
  </si>
  <si>
    <t>15:42:22.090</t>
  </si>
  <si>
    <t>15:42:26.008</t>
  </si>
  <si>
    <t>15:42:30.657</t>
  </si>
  <si>
    <t>15:42:32.658</t>
  </si>
  <si>
    <t>15:42:35.756</t>
  </si>
  <si>
    <t>15:42:38.690</t>
  </si>
  <si>
    <t>15:42:45.289</t>
  </si>
  <si>
    <t>15:42:47.623</t>
  </si>
  <si>
    <t>15:42:52.288</t>
  </si>
  <si>
    <t>15:42:57.190</t>
  </si>
  <si>
    <t>15:43:00.056</t>
  </si>
  <si>
    <t>15:43:01.855</t>
  </si>
  <si>
    <t>15:43:03.988</t>
  </si>
  <si>
    <t>15:43:28.720</t>
  </si>
  <si>
    <t>15:23:13.648</t>
  </si>
  <si>
    <t>15:23:15.402</t>
  </si>
  <si>
    <t>15:24:17.130</t>
  </si>
  <si>
    <t>15:24:19.883</t>
  </si>
  <si>
    <t>15:26:52.027</t>
  </si>
  <si>
    <t>15:26:53.414</t>
  </si>
  <si>
    <t>15:32:22.762</t>
  </si>
  <si>
    <t>15:32:26.647</t>
  </si>
  <si>
    <t>15:32:32.873</t>
  </si>
  <si>
    <t>15:32:49.205</t>
  </si>
  <si>
    <t>15:32:52.406</t>
  </si>
  <si>
    <t>15:32:59.004</t>
  </si>
  <si>
    <t>15:33:05.071</t>
  </si>
  <si>
    <t>15:33:11.303</t>
  </si>
  <si>
    <t>15:33:30.770</t>
  </si>
  <si>
    <t>15:33:30.769</t>
  </si>
  <si>
    <t>15:33:33.770</t>
  </si>
  <si>
    <t>15:34:07.968</t>
  </si>
  <si>
    <t>15:49:35.467</t>
  </si>
  <si>
    <t>15:49:44.114</t>
  </si>
  <si>
    <t>15:52:06.649</t>
  </si>
  <si>
    <t>15:52:09.035</t>
  </si>
  <si>
    <t>15:53:05.462</t>
  </si>
  <si>
    <t>15:53:11.382</t>
  </si>
  <si>
    <t>14:58:35.590</t>
  </si>
  <si>
    <t>14:58:39.276</t>
  </si>
  <si>
    <t>14:58:40.756</t>
  </si>
  <si>
    <t>14:58:46.308</t>
  </si>
  <si>
    <t>14:58:47.822</t>
  </si>
  <si>
    <t>14:58:49.823</t>
  </si>
  <si>
    <t>14:58:51.355</t>
  </si>
  <si>
    <t>14:58:52.123</t>
  </si>
  <si>
    <t>14:58:56.788</t>
  </si>
  <si>
    <t>14:58:58.056</t>
  </si>
  <si>
    <t>14:59:04.288</t>
  </si>
  <si>
    <t>14:59:05.689</t>
  </si>
  <si>
    <t>14:59:12.288</t>
  </si>
  <si>
    <t>14:59:14.222</t>
  </si>
  <si>
    <t>14:59:18.887</t>
  </si>
  <si>
    <t>14:59:20.022</t>
  </si>
  <si>
    <t>14:59:25.054</t>
  </si>
  <si>
    <t>14:59:26.620</t>
  </si>
  <si>
    <t>14:59:28.455</t>
  </si>
  <si>
    <t>14:59:33.053</t>
  </si>
  <si>
    <t>14:59:33.854</t>
  </si>
  <si>
    <t>15:00:50.760</t>
  </si>
  <si>
    <t>15:00:54.147</t>
  </si>
  <si>
    <t>15:01:00.360</t>
  </si>
  <si>
    <t>15:01:02.861</t>
  </si>
  <si>
    <t>15:01:15.360</t>
  </si>
  <si>
    <t>15:01:17.711</t>
  </si>
  <si>
    <t>15:01:32.992</t>
  </si>
  <si>
    <t>15:01:34.893</t>
  </si>
  <si>
    <t>15:01:47.390</t>
  </si>
  <si>
    <t>15:01:50.792</t>
  </si>
  <si>
    <t>15:02:29.684</t>
  </si>
  <si>
    <t>15:02:32.236</t>
  </si>
  <si>
    <t>15:02:44.716</t>
  </si>
  <si>
    <t>15:02:47.201</t>
  </si>
  <si>
    <t>15:03:12.815</t>
  </si>
  <si>
    <t>15:03:37.280</t>
  </si>
  <si>
    <t>15:03:40.415</t>
  </si>
  <si>
    <t>15:05:13.914</t>
  </si>
  <si>
    <t>15:05:16.697</t>
  </si>
  <si>
    <t>15:06:09.478</t>
  </si>
  <si>
    <t>15:06:13.364</t>
  </si>
  <si>
    <t>15:06:29.478</t>
  </si>
  <si>
    <t>15:06:32.077</t>
  </si>
  <si>
    <t>15:06:36.262</t>
  </si>
  <si>
    <t>15:06:40.910</t>
  </si>
  <si>
    <t>15:06:43.244</t>
  </si>
  <si>
    <t>15:07:02.376</t>
  </si>
  <si>
    <t>15:07:06.709</t>
  </si>
  <si>
    <t>15:07:25.474</t>
  </si>
  <si>
    <t>15:09:53.984</t>
  </si>
  <si>
    <t>15:09:56.569</t>
  </si>
  <si>
    <t>15:10:24.716</t>
  </si>
  <si>
    <t>15:13:31.712</t>
  </si>
  <si>
    <t>15:13:34.231</t>
  </si>
  <si>
    <t>15:13:35.745</t>
  </si>
  <si>
    <t>15:13:36.530</t>
  </si>
  <si>
    <t>15:13:38.045</t>
  </si>
  <si>
    <t>15:13:38.946</t>
  </si>
  <si>
    <t>15:13:40.478</t>
  </si>
  <si>
    <t>15:13:42.346</t>
  </si>
  <si>
    <t>15:14:13.800</t>
  </si>
  <si>
    <t>15:14:13.600</t>
  </si>
  <si>
    <t>15:14:28.064</t>
  </si>
  <si>
    <t>15:14:30.933</t>
  </si>
  <si>
    <t>15:16:42.772</t>
  </si>
  <si>
    <t>15:17:10.918</t>
  </si>
  <si>
    <t>15:17:14.851</t>
  </si>
  <si>
    <t>15:18:13.360</t>
  </si>
  <si>
    <t>15:18:15.812</t>
  </si>
  <si>
    <t>15:18:43.891</t>
  </si>
  <si>
    <t>15:18:48.875</t>
  </si>
  <si>
    <t>15:21:38.177</t>
  </si>
  <si>
    <t>15:23:06.459</t>
  </si>
  <si>
    <t>15:23:10.912</t>
  </si>
  <si>
    <t>15:24:26.061</t>
  </si>
  <si>
    <t>15:24:27.814</t>
  </si>
  <si>
    <t>15:24:46.544</t>
  </si>
  <si>
    <t>15:24:48.845</t>
  </si>
  <si>
    <t>15:24:55.077</t>
  </si>
  <si>
    <t>15:24:55.076</t>
  </si>
  <si>
    <t>15:25:41.069</t>
  </si>
  <si>
    <t>15:25:43.119</t>
  </si>
  <si>
    <t>15:26:04.278</t>
  </si>
  <si>
    <t>15:26:09.264</t>
  </si>
  <si>
    <t>15:26:13.912</t>
  </si>
  <si>
    <t>15:26:13.911</t>
  </si>
  <si>
    <t>15:26:15.345</t>
  </si>
  <si>
    <t>15:27:01.635</t>
  </si>
  <si>
    <t>15:27:03.355</t>
  </si>
  <si>
    <t>15:27:22.097</t>
  </si>
  <si>
    <t>15:27:24.232</t>
  </si>
  <si>
    <t>15:27:30.830</t>
  </si>
  <si>
    <t>15:27:33.082</t>
  </si>
  <si>
    <t>15:27:51.829</t>
  </si>
  <si>
    <t>15:27:53.230</t>
  </si>
  <si>
    <t>15:27:56.962</t>
  </si>
  <si>
    <t>15:28:11.994</t>
  </si>
  <si>
    <t>15:28:13.562</t>
  </si>
  <si>
    <t>15:28:34.861</t>
  </si>
  <si>
    <t>15:29:18.109</t>
  </si>
  <si>
    <t>15:30:10.544</t>
  </si>
  <si>
    <t>15:30:17.177</t>
  </si>
  <si>
    <t>15:30:19.179</t>
  </si>
  <si>
    <t>15:30:20.711</t>
  </si>
  <si>
    <t>15:30:23.829</t>
  </si>
  <si>
    <t>15:30:25.344</t>
  </si>
  <si>
    <t>15:30:26.278</t>
  </si>
  <si>
    <t>15:31:04.275</t>
  </si>
  <si>
    <t>15:31:05.376</t>
  </si>
  <si>
    <t>15:31:10.408</t>
  </si>
  <si>
    <t>15:31:11.975</t>
  </si>
  <si>
    <t>15:31:33.302</t>
  </si>
  <si>
    <t>15:31:48.950</t>
  </si>
  <si>
    <t>15:31:50.136</t>
  </si>
  <si>
    <t>15:31:51.650</t>
  </si>
  <si>
    <t>15:31:52.984</t>
  </si>
  <si>
    <t>15:31:54.517</t>
  </si>
  <si>
    <t>15:31:56.036</t>
  </si>
  <si>
    <t>15:32:32.365</t>
  </si>
  <si>
    <t>15:32:33.650</t>
  </si>
  <si>
    <t>15:32:35.165</t>
  </si>
  <si>
    <t>15:32:36.066</t>
  </si>
  <si>
    <t>15:32:37.598</t>
  </si>
  <si>
    <t>15:32:41.467</t>
  </si>
  <si>
    <t>15:32:42.981</t>
  </si>
  <si>
    <t>15:32:44.249</t>
  </si>
  <si>
    <t>15:33:38.528</t>
  </si>
  <si>
    <t>15:33:40.110</t>
  </si>
  <si>
    <t>15:34:08.260</t>
  </si>
  <si>
    <t>15:34:09.528</t>
  </si>
  <si>
    <t>15:38:39.103</t>
  </si>
  <si>
    <t>15:38:41.188</t>
  </si>
  <si>
    <t>16:29:17.222</t>
  </si>
  <si>
    <t>16:29:21.228</t>
  </si>
  <si>
    <t>16:32:34.280</t>
  </si>
  <si>
    <t>16:32:37.033</t>
  </si>
  <si>
    <t>16:33:03.990</t>
  </si>
  <si>
    <t>16:34:23.176</t>
  </si>
  <si>
    <t>16:34:56.412</t>
  </si>
  <si>
    <t>16:34:58.999</t>
  </si>
  <si>
    <t>16:35:27.115</t>
  </si>
  <si>
    <t>16:35:31.244</t>
  </si>
  <si>
    <t>16:35:59.343</t>
  </si>
  <si>
    <t>16:36:03.943</t>
  </si>
  <si>
    <t>16:39:01.128</t>
  </si>
  <si>
    <t>16:39:04.347</t>
  </si>
  <si>
    <t>16:41:25.227</t>
  </si>
  <si>
    <t>16:41:28.813</t>
  </si>
  <si>
    <t>16:45:42.425</t>
  </si>
  <si>
    <t>16:45:46.111</t>
  </si>
  <si>
    <t>16:45:52.325</t>
  </si>
  <si>
    <t>16:45:54.925</t>
  </si>
  <si>
    <t>16:45:59.591</t>
  </si>
  <si>
    <t>16:46:01.292</t>
  </si>
  <si>
    <t>16:46:07.891</t>
  </si>
  <si>
    <t>16:46:11.557</t>
  </si>
  <si>
    <t>16:46:17.790</t>
  </si>
  <si>
    <t>16:46:19.924</t>
  </si>
  <si>
    <t>16:46:22.424</t>
  </si>
  <si>
    <t>16:46:27.723</t>
  </si>
  <si>
    <t>16:46:31.424</t>
  </si>
  <si>
    <t>16:47:02.988</t>
  </si>
  <si>
    <t>16:49:46.390</t>
  </si>
  <si>
    <t>16:49:50.510</t>
  </si>
  <si>
    <t>16:50:07.690</t>
  </si>
  <si>
    <t>16:50:10.657</t>
  </si>
  <si>
    <t>16:50:17.257</t>
  </si>
  <si>
    <t>16:50:19.923</t>
  </si>
  <si>
    <t>16:50:26.155</t>
  </si>
  <si>
    <t>16:50:27.390</t>
  </si>
  <si>
    <t>16:50:32.556</t>
  </si>
  <si>
    <t>16:50:44.954</t>
  </si>
  <si>
    <t>16:50:47.689</t>
  </si>
  <si>
    <t>16:51:06.453</t>
  </si>
  <si>
    <t>16:51:10.887</t>
  </si>
  <si>
    <t>16:53:59.295</t>
  </si>
  <si>
    <t>16:54:03.348</t>
  </si>
  <si>
    <t>16:54:21.162</t>
  </si>
  <si>
    <t>16:54:20.527</t>
  </si>
  <si>
    <t>16:54:21.728</t>
  </si>
  <si>
    <t>16:54:28.327</t>
  </si>
  <si>
    <t>16:54:30.828</t>
  </si>
  <si>
    <t>16:54:37.426</t>
  </si>
  <si>
    <t>16:54:40.461</t>
  </si>
  <si>
    <t>16:54:46.193</t>
  </si>
  <si>
    <t>16:54:59.225</t>
  </si>
  <si>
    <t>16:55:23.091</t>
  </si>
  <si>
    <t>16:55:26.125</t>
  </si>
  <si>
    <t>16:55:29.991</t>
  </si>
  <si>
    <t>16:58:55.564</t>
  </si>
  <si>
    <t>16:58:58.250</t>
  </si>
  <si>
    <t>16:59:06.397</t>
  </si>
  <si>
    <t>16:59:11.731</t>
  </si>
  <si>
    <t>16:59:16.396</t>
  </si>
  <si>
    <t>16:59:18.664</t>
  </si>
  <si>
    <t>16:59:21.763</t>
  </si>
  <si>
    <t>16:59:27.230</t>
  </si>
  <si>
    <t>16:59:32.262</t>
  </si>
  <si>
    <t>16:59:33.829</t>
  </si>
  <si>
    <t>16:59:39.596</t>
  </si>
  <si>
    <t>16:59:44.261</t>
  </si>
  <si>
    <t>16:59:49.729</t>
  </si>
  <si>
    <t>17:00:14.327</t>
  </si>
  <si>
    <t>14:16:04.732</t>
  </si>
  <si>
    <t>14:16:10.284</t>
  </si>
  <si>
    <t>14:16:22.737</t>
  </si>
  <si>
    <t>14:16:26.698</t>
  </si>
  <si>
    <t>14:16:38.698</t>
  </si>
  <si>
    <t>14:18:07.420</t>
  </si>
  <si>
    <t>14:18:13.307</t>
  </si>
  <si>
    <t>14:18:24.181</t>
  </si>
  <si>
    <t>14:18:27.748</t>
  </si>
  <si>
    <t>14:18:40.213</t>
  </si>
  <si>
    <t>14:18:43.100</t>
  </si>
  <si>
    <t>14:19:03.379</t>
  </si>
  <si>
    <t>14:21:05.898</t>
  </si>
  <si>
    <t>14:21:08.250</t>
  </si>
  <si>
    <t>14:21:24.231</t>
  </si>
  <si>
    <t>14:21:27.931</t>
  </si>
  <si>
    <t>14:21:40.396</t>
  </si>
  <si>
    <t>14:21:41.980</t>
  </si>
  <si>
    <t>14:22:14.828</t>
  </si>
  <si>
    <t>14:23:51.523</t>
  </si>
  <si>
    <t>14:23:58.309</t>
  </si>
  <si>
    <t>14:24:10.789</t>
  </si>
  <si>
    <t>14:24:14.908</t>
  </si>
  <si>
    <t>14:24:27.388</t>
  </si>
  <si>
    <t>14:24:33.723</t>
  </si>
  <si>
    <t>14:24:54.387</t>
  </si>
  <si>
    <t>14:27:18.713</t>
  </si>
  <si>
    <t>14:27:21.065</t>
  </si>
  <si>
    <t>14:27:27.646</t>
  </si>
  <si>
    <t>14:27:29.747</t>
  </si>
  <si>
    <t>14:27:42.245</t>
  </si>
  <si>
    <t>14:27:48.513</t>
  </si>
  <si>
    <t>14:28:14.244</t>
  </si>
  <si>
    <t>14:31:44.050</t>
  </si>
  <si>
    <t>14:31:47.770</t>
  </si>
  <si>
    <t>14:31:53.983</t>
  </si>
  <si>
    <t>14:31:58.184</t>
  </si>
  <si>
    <t>14:32:02.849</t>
  </si>
  <si>
    <t>14:32:07.317</t>
  </si>
  <si>
    <t>14:32:13.915</t>
  </si>
  <si>
    <t>14:32:18.783</t>
  </si>
  <si>
    <t>14:32:25.014</t>
  </si>
  <si>
    <t>14:32:29.116</t>
  </si>
  <si>
    <t>14:32:36.915</t>
  </si>
  <si>
    <t>14:32:36.914</t>
  </si>
  <si>
    <t>14:32:41.781</t>
  </si>
  <si>
    <t>14:33:12.979</t>
  </si>
  <si>
    <t>14:38:54.307</t>
  </si>
  <si>
    <t>14:38:58.125</t>
  </si>
  <si>
    <t>14:39:04.705</t>
  </si>
  <si>
    <t>14:39:07.173</t>
  </si>
  <si>
    <t>14:39:15.339</t>
  </si>
  <si>
    <t>14:39:22.991</t>
  </si>
  <si>
    <t>14:39:26.071</t>
  </si>
  <si>
    <t>14:39:29.205</t>
  </si>
  <si>
    <t>14:39:34.806</t>
  </si>
  <si>
    <t>14:39:41.038</t>
  </si>
  <si>
    <t>14:39:47.672</t>
  </si>
  <si>
    <t>14:39:53.903</t>
  </si>
  <si>
    <t>14:39:57.471</t>
  </si>
  <si>
    <t>14:40:08.403</t>
  </si>
  <si>
    <t>14:40:22.070</t>
  </si>
  <si>
    <t>14:40:35.269</t>
  </si>
  <si>
    <t>14:43:59.247</t>
  </si>
  <si>
    <t>14:44:02.699</t>
  </si>
  <si>
    <t>14:44:09.280</t>
  </si>
  <si>
    <t>14:44:13.415</t>
  </si>
  <si>
    <t>14:44:20.013</t>
  </si>
  <si>
    <t>14:44:25.413</t>
  </si>
  <si>
    <t>14:44:32.012</t>
  </si>
  <si>
    <t>14:44:39.913</t>
  </si>
  <si>
    <t>14:44:41.445</t>
  </si>
  <si>
    <t>14:44:45.913</t>
  </si>
  <si>
    <t>14:44:47.445</t>
  </si>
  <si>
    <t>14:44:54.546</t>
  </si>
  <si>
    <t>14:44:56.078</t>
  </si>
  <si>
    <t>14:45:04.211</t>
  </si>
  <si>
    <t>14:45:20.711</t>
  </si>
  <si>
    <t>14:48:00.052</t>
  </si>
  <si>
    <t>14:48:03.803</t>
  </si>
  <si>
    <t>14:48:05.318</t>
  </si>
  <si>
    <t>14:48:08.638</t>
  </si>
  <si>
    <t>14:48:10.152</t>
  </si>
  <si>
    <t>14:48:12.452</t>
  </si>
  <si>
    <t>14:48:13.985</t>
  </si>
  <si>
    <t>14:48:17.919</t>
  </si>
  <si>
    <t>14:48:42.950</t>
  </si>
  <si>
    <t>14:48:45.151</t>
  </si>
  <si>
    <t>14:48:51.749</t>
  </si>
  <si>
    <t>14:48:54.017</t>
  </si>
  <si>
    <t>14:49:00.615</t>
  </si>
  <si>
    <t>14:49:03.850</t>
  </si>
  <si>
    <t>14:49:10.447</t>
  </si>
  <si>
    <t>14:49:12.950</t>
  </si>
  <si>
    <t>14:49:19.547</t>
  </si>
  <si>
    <t>14:49:21.416</t>
  </si>
  <si>
    <t>14:49:26.446</t>
  </si>
  <si>
    <t>14:49:28.013</t>
  </si>
  <si>
    <t>14:49:30.248</t>
  </si>
  <si>
    <t>14:51:59.740</t>
  </si>
  <si>
    <t>14:52:04.359</t>
  </si>
  <si>
    <t>14:52:12.506</t>
  </si>
  <si>
    <t>14:52:16.007</t>
  </si>
  <si>
    <t>14:52:20.673</t>
  </si>
  <si>
    <t>14:52:23.207</t>
  </si>
  <si>
    <t>14:52:25.240</t>
  </si>
  <si>
    <t>14:52:27.872</t>
  </si>
  <si>
    <t>14:52:32.040</t>
  </si>
  <si>
    <t>14:52:33.739</t>
  </si>
  <si>
    <t>14:52:38.305</t>
  </si>
  <si>
    <t>14:54:39.999</t>
  </si>
  <si>
    <t>14:54:43.051</t>
  </si>
  <si>
    <t>14:54:55.899</t>
  </si>
  <si>
    <t>14:54:58.299</t>
  </si>
  <si>
    <t>14:55:06.265</t>
  </si>
  <si>
    <t>14:55:07.664</t>
  </si>
  <si>
    <t>14:55:09.532</t>
  </si>
  <si>
    <t>14:55:11.198</t>
  </si>
  <si>
    <t>14:55:15.931</t>
  </si>
  <si>
    <t>14:55:18.896</t>
  </si>
  <si>
    <t>14:55:21.331</t>
  </si>
  <si>
    <t>14:55:23.663</t>
  </si>
  <si>
    <t>14:55:26.264</t>
  </si>
  <si>
    <t>14:55:30.864</t>
  </si>
  <si>
    <t>14:55:30.696</t>
  </si>
  <si>
    <t>14:55:33.503</t>
  </si>
  <si>
    <t>14:55:38.385</t>
  </si>
  <si>
    <t>14:55:42.985</t>
  </si>
  <si>
    <t>14:55:47.618</t>
  </si>
  <si>
    <t>14:55:56.917</t>
  </si>
  <si>
    <t>14:56:01.617</t>
  </si>
  <si>
    <t>14:58:18.383</t>
  </si>
  <si>
    <t>14:58:24.302</t>
  </si>
  <si>
    <t>15:01:31.078</t>
  </si>
  <si>
    <t>15:01:33.264</t>
  </si>
  <si>
    <t>15:01:47.306</t>
  </si>
  <si>
    <t>15:01:49.240</t>
  </si>
  <si>
    <t>15:02:03.305</t>
  </si>
  <si>
    <t>15:02:06.306</t>
  </si>
  <si>
    <t>15:02:20.336</t>
  </si>
  <si>
    <t>15:02:23.105</t>
  </si>
  <si>
    <t>15:02:28.004</t>
  </si>
  <si>
    <t>15:11:37.149</t>
  </si>
  <si>
    <t>15:11:39.167</t>
  </si>
  <si>
    <t>15:11:45.749</t>
  </si>
  <si>
    <t>15:11:48.450</t>
  </si>
  <si>
    <t>15:11:57.815</t>
  </si>
  <si>
    <t>15:12:00.282</t>
  </si>
  <si>
    <t>15:12:09.647</t>
  </si>
  <si>
    <t>15:12:16.548</t>
  </si>
  <si>
    <t>15:12:26.148</t>
  </si>
  <si>
    <t>15:12:25.913</t>
  </si>
  <si>
    <t>15:12:27.714</t>
  </si>
  <si>
    <t>15:21:20.002</t>
  </si>
  <si>
    <t>15:21:24.321</t>
  </si>
  <si>
    <t>15:21:30.901</t>
  </si>
  <si>
    <t>15:21:32.836</t>
  </si>
  <si>
    <t>15:21:39.434</t>
  </si>
  <si>
    <t>15:21:43.668</t>
  </si>
  <si>
    <t>15:21:48.334</t>
  </si>
  <si>
    <t>15:21:52.602</t>
  </si>
  <si>
    <t>15:21:53.235</t>
  </si>
  <si>
    <t>15:21:57.268</t>
  </si>
  <si>
    <t>15:22:00.273</t>
  </si>
  <si>
    <t>15:22:01.906</t>
  </si>
  <si>
    <t>15:22:04.932</t>
  </si>
  <si>
    <t>15:22:07.901</t>
  </si>
  <si>
    <t>15:22:08.467</t>
  </si>
  <si>
    <t>15:22:12.733</t>
  </si>
  <si>
    <t>15:22:17.400</t>
  </si>
  <si>
    <t>15:22:22.133</t>
  </si>
  <si>
    <t>15:22:26.866</t>
  </si>
  <si>
    <t>15:22:31.636</t>
  </si>
  <si>
    <t>15:22:36.266</t>
  </si>
  <si>
    <t>16:51:23.049</t>
  </si>
  <si>
    <t>16:51:31.402</t>
  </si>
  <si>
    <t>16:54:53.632</t>
  </si>
  <si>
    <t>16:54:56.146</t>
  </si>
  <si>
    <t>16:56:28.195</t>
  </si>
  <si>
    <t>16:56:34.036</t>
  </si>
  <si>
    <t>16:56:49.987</t>
  </si>
  <si>
    <t>16:56:55.017</t>
  </si>
  <si>
    <t>16:57:07.477</t>
  </si>
  <si>
    <t>16:57:13.608</t>
  </si>
  <si>
    <t>16:57:40.158</t>
  </si>
  <si>
    <t>17:00:00.073</t>
  </si>
  <si>
    <t>17:00:03.792</t>
  </si>
  <si>
    <t>17:00:10.373</t>
  </si>
  <si>
    <t>17:00:12.291</t>
  </si>
  <si>
    <t>17:00:24.772</t>
  </si>
  <si>
    <t>17:00:30.208</t>
  </si>
  <si>
    <t>17:00:30.209</t>
  </si>
  <si>
    <t>17:00:36.438</t>
  </si>
  <si>
    <t>17:00:42.706</t>
  </si>
  <si>
    <t>17:00:42.705</t>
  </si>
  <si>
    <t>17:00:46.506</t>
  </si>
  <si>
    <t>17:00:51.171</t>
  </si>
  <si>
    <t>17:03:22.270</t>
  </si>
  <si>
    <t>17:03:26.262</t>
  </si>
  <si>
    <t>17:03:37.140</t>
  </si>
  <si>
    <t>17:03:40.771</t>
  </si>
  <si>
    <t>17:03:47.369</t>
  </si>
  <si>
    <t>17:03:50.871</t>
  </si>
  <si>
    <t>17:03:55.534</t>
  </si>
  <si>
    <t>17:04:01.800</t>
  </si>
  <si>
    <t>17:04:08.067</t>
  </si>
  <si>
    <t>17:04:14.301</t>
  </si>
  <si>
    <t>17:04:20.566</t>
  </si>
  <si>
    <t>17:05:20.331</t>
  </si>
  <si>
    <t>17:05:23.250</t>
  </si>
  <si>
    <t>17:05:39.198</t>
  </si>
  <si>
    <t>17:05:46.930</t>
  </si>
  <si>
    <t>17:05:59.396</t>
  </si>
  <si>
    <t>17:06:02.965</t>
  </si>
  <si>
    <t>17:06:04.494</t>
  </si>
  <si>
    <t>17:06:10.761</t>
  </si>
  <si>
    <t>17:06:17.028</t>
  </si>
  <si>
    <t>17:06:23.294</t>
  </si>
  <si>
    <t>17:06:29.560</t>
  </si>
  <si>
    <t>17:07:13.095</t>
  </si>
  <si>
    <t>17:07:15.367</t>
  </si>
  <si>
    <t>17:07:31.296</t>
  </si>
  <si>
    <t>17:07:35.699</t>
  </si>
  <si>
    <t>17:07:45.229</t>
  </si>
  <si>
    <t>17:07:48.161</t>
  </si>
  <si>
    <t>17:07:52.429</t>
  </si>
  <si>
    <t>17:07:54.129</t>
  </si>
  <si>
    <t>17:08:00.330</t>
  </si>
  <si>
    <t>17:08:06.595</t>
  </si>
  <si>
    <t>17:08:12.795</t>
  </si>
  <si>
    <t>17:10:03.539</t>
  </si>
  <si>
    <t>17:10:06.805</t>
  </si>
  <si>
    <t>17:10:22.770</t>
  </si>
  <si>
    <t>17:10:27.590</t>
  </si>
  <si>
    <t>17:10:37.231</t>
  </si>
  <si>
    <t>17:10:39.997</t>
  </si>
  <si>
    <t>17:10:41.900</t>
  </si>
  <si>
    <t>17:10:43.599</t>
  </si>
  <si>
    <t>17:10:49.797</t>
  </si>
  <si>
    <t>17:10:55.998</t>
  </si>
  <si>
    <t>17:11:02.297</t>
  </si>
  <si>
    <t>17:14:44.309</t>
  </si>
  <si>
    <t>17:14:46.879</t>
  </si>
  <si>
    <t>17:14:53.441</t>
  </si>
  <si>
    <t>17:14:55.212</t>
  </si>
  <si>
    <t>17:15:13.939</t>
  </si>
  <si>
    <t>17:15:15.709</t>
  </si>
  <si>
    <t>17:15:28.184</t>
  </si>
  <si>
    <t>17:15:30.251</t>
  </si>
  <si>
    <t>17:15:35.101</t>
  </si>
  <si>
    <t>17:15:41.535</t>
  </si>
  <si>
    <t>17:15:43.668</t>
  </si>
  <si>
    <t>17:16:02.433</t>
  </si>
  <si>
    <t>17:16:04.368</t>
  </si>
  <si>
    <t>17:19:15.990</t>
  </si>
  <si>
    <t>17:19:18.209</t>
  </si>
  <si>
    <t>17:19:31.054</t>
  </si>
  <si>
    <t>17:19:33.293</t>
  </si>
  <si>
    <t>14:27:49.023</t>
  </si>
  <si>
    <t>14:27:53.848</t>
  </si>
  <si>
    <t>14:28:00.061</t>
  </si>
  <si>
    <t>14:28:05.163</t>
  </si>
  <si>
    <t>14:28:11.394</t>
  </si>
  <si>
    <t>14:28:16.028</t>
  </si>
  <si>
    <t>14:28:19.127</t>
  </si>
  <si>
    <t>14:28:23.414</t>
  </si>
  <si>
    <t>14:28:26.488</t>
  </si>
  <si>
    <t>14:28:29.350</t>
  </si>
  <si>
    <t>14:28:43.381</t>
  </si>
  <si>
    <t>14:28:45.516</t>
  </si>
  <si>
    <t>14:28:50.548</t>
  </si>
  <si>
    <t>14:29:01.047</t>
  </si>
  <si>
    <t>14:29:11.647</t>
  </si>
  <si>
    <t>14:31:08.557</t>
  </si>
  <si>
    <t>14:31:10.710</t>
  </si>
  <si>
    <t>14:31:16.924</t>
  </si>
  <si>
    <t>14:31:19.192</t>
  </si>
  <si>
    <t>14:31:25.423</t>
  </si>
  <si>
    <t>14:31:28.091</t>
  </si>
  <si>
    <t>14:31:31.190</t>
  </si>
  <si>
    <t>14:31:32.824</t>
  </si>
  <si>
    <t>14:31:39.790</t>
  </si>
  <si>
    <t>14:31:39.423</t>
  </si>
  <si>
    <t>14:31:42.423</t>
  </si>
  <si>
    <t>14:31:49.022</t>
  </si>
  <si>
    <t>14:31:51.156</t>
  </si>
  <si>
    <t>14:32:12.088</t>
  </si>
  <si>
    <t>14:35:47.246</t>
  </si>
  <si>
    <t>14:35:50.832</t>
  </si>
  <si>
    <t>14:36:09.578</t>
  </si>
  <si>
    <t>14:36:13.663</t>
  </si>
  <si>
    <t>14:36:22.678</t>
  </si>
  <si>
    <t>14:36:32.410</t>
  </si>
  <si>
    <t>14:36:33.845</t>
  </si>
  <si>
    <t>14:36:40.443</t>
  </si>
  <si>
    <t>14:36:42.577</t>
  </si>
  <si>
    <t>14:36:51.943</t>
  </si>
  <si>
    <t>14:36:59.775</t>
  </si>
  <si>
    <t>14:37:01.476</t>
  </si>
  <si>
    <t>14:37:08.075</t>
  </si>
  <si>
    <t>14:37:11.075</t>
  </si>
  <si>
    <t>14:37:58.540</t>
  </si>
  <si>
    <t>14:40:03.016</t>
  </si>
  <si>
    <t>14:40:07.435</t>
  </si>
  <si>
    <t>14:40:25.316</t>
  </si>
  <si>
    <t>14:40:26.148</t>
  </si>
  <si>
    <t>14:40:28.216</t>
  </si>
  <si>
    <t>14:40:46.981</t>
  </si>
  <si>
    <t>14:40:48.915</t>
  </si>
  <si>
    <t>14:40:55.147</t>
  </si>
  <si>
    <t>14:40:56.648</t>
  </si>
  <si>
    <t>14:41:03.247</t>
  </si>
  <si>
    <t>14:41:04.115</t>
  </si>
  <si>
    <t>14:41:20.113</t>
  </si>
  <si>
    <t>14:41:23.113</t>
  </si>
  <si>
    <t>14:41:30.313</t>
  </si>
  <si>
    <t>14:42:15.887</t>
  </si>
  <si>
    <t>14:44:49.412</t>
  </si>
  <si>
    <t>14:44:51.031</t>
  </si>
  <si>
    <t>14:44:57.612</t>
  </si>
  <si>
    <t>14:44:58.879</t>
  </si>
  <si>
    <t>14:45:05.478</t>
  </si>
  <si>
    <t>14:45:08.012</t>
  </si>
  <si>
    <t>14:45:08.512</t>
  </si>
  <si>
    <t>14:45:12.678</t>
  </si>
  <si>
    <t>14:45:14.579</t>
  </si>
  <si>
    <t>14:45:19.211</t>
  </si>
  <si>
    <t>14:45:19.244</t>
  </si>
  <si>
    <t>14:45:20.578</t>
  </si>
  <si>
    <t>14:45:25.243</t>
  </si>
  <si>
    <t>14:45:27.711</t>
  </si>
  <si>
    <t>14:45:28.411</t>
  </si>
  <si>
    <t>14:16:04.101</t>
  </si>
  <si>
    <t>14:16:06.287</t>
  </si>
  <si>
    <t>14:16:12.469</t>
  </si>
  <si>
    <t>14:16:14.670</t>
  </si>
  <si>
    <t>14:16:20.902</t>
  </si>
  <si>
    <t>14:16:22.736</t>
  </si>
  <si>
    <t>14:16:25.835</t>
  </si>
  <si>
    <t>14:16:27.336</t>
  </si>
  <si>
    <t>14:16:35.501</t>
  </si>
  <si>
    <t>14:16:37.602</t>
  </si>
  <si>
    <t>14:16:39.134</t>
  </si>
  <si>
    <t>14:16:46.001</t>
  </si>
  <si>
    <t>14:19:04.967</t>
  </si>
  <si>
    <t>14:19:06.086</t>
  </si>
  <si>
    <t>14:19:12.300</t>
  </si>
  <si>
    <t>14:19:14.534</t>
  </si>
  <si>
    <t>14:19:17.633</t>
  </si>
  <si>
    <t>14:19:26.833</t>
  </si>
  <si>
    <t>14:19:29.101</t>
  </si>
  <si>
    <t>14:19:35.332</t>
  </si>
  <si>
    <t>14:19:36.767</t>
  </si>
  <si>
    <t>14:19:38.767</t>
  </si>
  <si>
    <t>14:21:14.527</t>
  </si>
  <si>
    <t>14:21:16.212</t>
  </si>
  <si>
    <t>14:21:22.794</t>
  </si>
  <si>
    <t>14:21:24.028</t>
  </si>
  <si>
    <t>14:21:32.193</t>
  </si>
  <si>
    <t>14:21:34.833</t>
  </si>
  <si>
    <t>14:21:41.755</t>
  </si>
  <si>
    <t>14:21:41.021</t>
  </si>
  <si>
    <t>14:21:43.388</t>
  </si>
  <si>
    <t>14:21:48.488</t>
  </si>
  <si>
    <t>14:21:49.620</t>
  </si>
  <si>
    <t>14:21:52.454</t>
  </si>
  <si>
    <t>14:21:56.254</t>
  </si>
  <si>
    <t>14:21:58.687</t>
  </si>
  <si>
    <t>14:22:00.120</t>
  </si>
  <si>
    <t>14:24:22.940</t>
  </si>
  <si>
    <t>14:24:47.707</t>
  </si>
  <si>
    <t>14:24:46.806</t>
  </si>
  <si>
    <t>14:24:49.358</t>
  </si>
  <si>
    <t>14:25:04.949</t>
  </si>
  <si>
    <t>14:25:06.417</t>
  </si>
  <si>
    <t>14:25:14.582</t>
  </si>
  <si>
    <t>14:25:17.911</t>
  </si>
  <si>
    <t>14:25:33.526</t>
  </si>
  <si>
    <t>14:25:34.294</t>
  </si>
  <si>
    <t>14:25:42.459</t>
  </si>
  <si>
    <t>14:25:45.326</t>
  </si>
  <si>
    <t>14:25:50.425</t>
  </si>
  <si>
    <t>14:26:28.112</t>
  </si>
  <si>
    <t>14:29:05.032</t>
  </si>
  <si>
    <t>14:29:07.184</t>
  </si>
  <si>
    <t>14:29:08.699</t>
  </si>
  <si>
    <t>14:29:11.400</t>
  </si>
  <si>
    <t>14:29:12.932</t>
  </si>
  <si>
    <t>14:29:15.333</t>
  </si>
  <si>
    <t>14:29:21.931</t>
  </si>
  <si>
    <t>14:29:22.732</t>
  </si>
  <si>
    <t>14:29:28.232</t>
  </si>
  <si>
    <t>14:29:29.331</t>
  </si>
  <si>
    <t>14:29:31.665</t>
  </si>
  <si>
    <t>14:29:33.197</t>
  </si>
  <si>
    <t>14:29:36.265</t>
  </si>
  <si>
    <t>14:29:41.997</t>
  </si>
  <si>
    <t>14:29:50.297</t>
  </si>
  <si>
    <t>14:29:51.297</t>
  </si>
  <si>
    <t>14:29:59.696</t>
  </si>
  <si>
    <t>14:30:00.730</t>
  </si>
  <si>
    <t>14:30:04.663</t>
  </si>
  <si>
    <t>14:30:09.134</t>
  </si>
  <si>
    <t>14:30:13.801</t>
  </si>
  <si>
    <t>14:31:21.886</t>
  </si>
  <si>
    <t>14:31:23.205</t>
  </si>
  <si>
    <t>14:31:31.353</t>
  </si>
  <si>
    <t>14:31:32.220</t>
  </si>
  <si>
    <t>14:31:35.420</t>
  </si>
  <si>
    <t>14:31:38.819</t>
  </si>
  <si>
    <t>14:31:40.853</t>
  </si>
  <si>
    <t>14:31:44.519</t>
  </si>
  <si>
    <t>14:31:45.519</t>
  </si>
  <si>
    <t>14:31:47.353</t>
  </si>
  <si>
    <t>14:31:49.953</t>
  </si>
  <si>
    <t>14:31:52.019</t>
  </si>
  <si>
    <t>14:31:53.753</t>
  </si>
  <si>
    <t>14:31:54.385</t>
  </si>
  <si>
    <t>14:22:29.002</t>
  </si>
  <si>
    <t>14:22:34.753</t>
  </si>
  <si>
    <t>14:24:28.102</t>
  </si>
  <si>
    <t>14:24:32.322</t>
  </si>
  <si>
    <t>14:27:25.498</t>
  </si>
  <si>
    <t>14:27:30.485</t>
  </si>
  <si>
    <t>14:36:32.155</t>
  </si>
  <si>
    <t>14:36:36.274</t>
  </si>
  <si>
    <t>14:36:48.688</t>
  </si>
  <si>
    <t>14:36:51.740</t>
  </si>
  <si>
    <t>14:36:59.521</t>
  </si>
  <si>
    <t>14:37:02.388</t>
  </si>
  <si>
    <t>14:37:12.120</t>
  </si>
  <si>
    <t>14:37:14.254</t>
  </si>
  <si>
    <t>14:38:54.959</t>
  </si>
  <si>
    <t>14:38:58.512</t>
  </si>
  <si>
    <t>14:39:10.992</t>
  </si>
  <si>
    <t>14:39:12.926</t>
  </si>
  <si>
    <t>14:39:25.424</t>
  </si>
  <si>
    <t>14:39:27.759</t>
  </si>
  <si>
    <t>14:39:40.158</t>
  </si>
  <si>
    <t>14:39:43.390</t>
  </si>
  <si>
    <t>14:39:45.857</t>
  </si>
  <si>
    <t>14:42:01.255</t>
  </si>
  <si>
    <t>14:42:03.742</t>
  </si>
  <si>
    <t>14:42:16.221</t>
  </si>
  <si>
    <t>14:42:17.774</t>
  </si>
  <si>
    <t>14:42:30.221</t>
  </si>
  <si>
    <t>14:42:36.349</t>
  </si>
  <si>
    <t>14:42:48.842</t>
  </si>
  <si>
    <t>14:42:55.109</t>
  </si>
  <si>
    <t>14:42:57.142</t>
  </si>
  <si>
    <t>14:43:21.441</t>
  </si>
  <si>
    <t>14:45:46.623</t>
  </si>
  <si>
    <t>14:45:52.075</t>
  </si>
  <si>
    <t>14:45:58.289</t>
  </si>
  <si>
    <t>14:46:00.556</t>
  </si>
  <si>
    <t>14:46:06.788</t>
  </si>
  <si>
    <t>14:46:08.407</t>
  </si>
  <si>
    <t>14:46:34.321</t>
  </si>
  <si>
    <t>14:46:39.686</t>
  </si>
  <si>
    <t>14:46:42.287</t>
  </si>
  <si>
    <t>14:46:48.886</t>
  </si>
  <si>
    <t>14:46:51.253</t>
  </si>
  <si>
    <t>14:47:01.586</t>
  </si>
  <si>
    <t>14:49:26.284</t>
  </si>
  <si>
    <t>14:49:31.870</t>
  </si>
  <si>
    <t>14:49:38.083</t>
  </si>
  <si>
    <t>14:49:39.269</t>
  </si>
  <si>
    <t>14:49:45.483</t>
  </si>
  <si>
    <t>14:49:46.717</t>
  </si>
  <si>
    <t>14:49:52.949</t>
  </si>
  <si>
    <t>14:49:53.883</t>
  </si>
  <si>
    <t>14:50:18.116</t>
  </si>
  <si>
    <t>14:50:17.348</t>
  </si>
  <si>
    <t>14:50:18.849</t>
  </si>
  <si>
    <t>14:50:25.448</t>
  </si>
  <si>
    <t>14:50:27.082</t>
  </si>
  <si>
    <t>14:50:43.713</t>
  </si>
  <si>
    <t>14:38:37.473</t>
  </si>
  <si>
    <t>14:38:39.192</t>
  </si>
  <si>
    <t>14:38:45.406</t>
  </si>
  <si>
    <t>14:38:46.459</t>
  </si>
  <si>
    <t>14:38:52.639</t>
  </si>
  <si>
    <t>14:38:53.406</t>
  </si>
  <si>
    <t>14:38:59.639</t>
  </si>
  <si>
    <t>14:39:00.706</t>
  </si>
  <si>
    <t>14:39:11.638</t>
  </si>
  <si>
    <t>14:39:12.605</t>
  </si>
  <si>
    <t>14:39:17.638</t>
  </si>
  <si>
    <t>14:39:30.170</t>
  </si>
  <si>
    <t>14:39:30.971</t>
  </si>
  <si>
    <t>14:49:26.708</t>
  </si>
  <si>
    <t>14:49:29.560</t>
  </si>
  <si>
    <t>14:49:35.774</t>
  </si>
  <si>
    <t>14:49:37.708</t>
  </si>
  <si>
    <t>14:49:43.940</t>
  </si>
  <si>
    <t>14:49:50.774</t>
  </si>
  <si>
    <t>14:49:57.023</t>
  </si>
  <si>
    <t>14:50:00.509</t>
  </si>
  <si>
    <t>14:50:01.989</t>
  </si>
  <si>
    <t>14:50:03.356</t>
  </si>
  <si>
    <t>14:50:17.788</t>
  </si>
  <si>
    <t>14:50:19.123</t>
  </si>
  <si>
    <t>14:50:33.522</t>
  </si>
  <si>
    <t>14:52:45.715</t>
  </si>
  <si>
    <t>14:52:47.267</t>
  </si>
  <si>
    <t>14:52:53.481</t>
  </si>
  <si>
    <t>14:52:54.434</t>
  </si>
  <si>
    <t>14:53:00.647</t>
  </si>
  <si>
    <t>14:53:02.981</t>
  </si>
  <si>
    <t>14:53:09.213</t>
  </si>
  <si>
    <t>14:53:10.148</t>
  </si>
  <si>
    <t>14:53:16.747</t>
  </si>
  <si>
    <t>14:53:22.846</t>
  </si>
  <si>
    <t>14:53:38.479</t>
  </si>
  <si>
    <t>14:53:39.780</t>
  </si>
  <si>
    <t>14:53:52.912</t>
  </si>
  <si>
    <t>14:57:03.763</t>
  </si>
  <si>
    <t>14:57:05.416</t>
  </si>
  <si>
    <t>14:57:17.896</t>
  </si>
  <si>
    <t>14:57:19.015</t>
  </si>
  <si>
    <t>14:57:26.796</t>
  </si>
  <si>
    <t>14:57:27.529</t>
  </si>
  <si>
    <t>14:57:32.561</t>
  </si>
  <si>
    <t>14:57:32.562</t>
  </si>
  <si>
    <t>14:57:37.261</t>
  </si>
  <si>
    <t>14:57:38.529</t>
  </si>
  <si>
    <t>14:57:50.994</t>
  </si>
  <si>
    <t>14:57:52.329</t>
  </si>
  <si>
    <t>15:02:41.341</t>
  </si>
  <si>
    <t>15:02:42.294</t>
  </si>
  <si>
    <t>15:02:48.508</t>
  </si>
  <si>
    <t>15:02:49.927</t>
  </si>
  <si>
    <t>15:02:56.140</t>
  </si>
  <si>
    <t>15:02:58.508</t>
  </si>
  <si>
    <t>15:03:00.040</t>
  </si>
  <si>
    <t>15:03:01.341</t>
  </si>
  <si>
    <t>15:03:13.307</t>
  </si>
  <si>
    <t>15:03:11.073</t>
  </si>
  <si>
    <t>15:03:13.840</t>
  </si>
  <si>
    <t>15:03:18.506</t>
  </si>
  <si>
    <t>15:03:21.607</t>
  </si>
  <si>
    <t>15:03:52.238</t>
  </si>
  <si>
    <t>15:06:45.768</t>
  </si>
  <si>
    <t>15:06:46.854</t>
  </si>
  <si>
    <t>15:07:05.600</t>
  </si>
  <si>
    <t>15:07:06.454</t>
  </si>
  <si>
    <t>15:07:20.500</t>
  </si>
  <si>
    <t>15:07:21.201</t>
  </si>
  <si>
    <t>15:07:30.932</t>
  </si>
  <si>
    <t>15:07:31.700</t>
  </si>
  <si>
    <t>15:07:44.198</t>
  </si>
  <si>
    <t>15:07:44.966</t>
  </si>
  <si>
    <t>15:07:56.264</t>
  </si>
  <si>
    <t>15:07:57.565</t>
  </si>
  <si>
    <t>15:07:58.265</t>
  </si>
  <si>
    <t>15:08:35.696</t>
  </si>
  <si>
    <t>15:11:23.110</t>
  </si>
  <si>
    <t>15:11:24.496</t>
  </si>
  <si>
    <t>15:11:43.187</t>
  </si>
  <si>
    <t>15:11:44.306</t>
  </si>
  <si>
    <t>15:12:03.053</t>
  </si>
  <si>
    <t>15:12:03.953</t>
  </si>
  <si>
    <t>15:12:07.052</t>
  </si>
  <si>
    <t>15:12:07.653</t>
  </si>
  <si>
    <t>15:12:12.586</t>
  </si>
  <si>
    <t>15:12:28.318</t>
  </si>
  <si>
    <t>15:12:29.318</t>
  </si>
  <si>
    <t>15:12:30.851</t>
  </si>
  <si>
    <t>15:12:31.185</t>
  </si>
  <si>
    <t>15:13:12.716</t>
  </si>
  <si>
    <t>15:19:30.564</t>
  </si>
  <si>
    <t>15:19:31.483</t>
  </si>
  <si>
    <t>15:19:36.130</t>
  </si>
  <si>
    <t>15:19:37.116</t>
  </si>
  <si>
    <t>15:19:41.763</t>
  </si>
  <si>
    <t>15:19:42.698</t>
  </si>
  <si>
    <t>15:19:45.796</t>
  </si>
  <si>
    <t>15:19:46.630</t>
  </si>
  <si>
    <t>15:19:50.697</t>
  </si>
  <si>
    <t>15:19:53.230</t>
  </si>
  <si>
    <t>15:19:54.363</t>
  </si>
  <si>
    <t>15:20:05.295</t>
  </si>
  <si>
    <t>15:20:06.030</t>
  </si>
  <si>
    <t>15:20:21.395</t>
  </si>
  <si>
    <t>14:22:09.988</t>
  </si>
  <si>
    <t>14:22:12.739</t>
  </si>
  <si>
    <t>14:23:29.383</t>
  </si>
  <si>
    <t>14:23:33.236</t>
  </si>
  <si>
    <t>14:26:08.204</t>
  </si>
  <si>
    <t>14:26:10.623</t>
  </si>
  <si>
    <t>14:26:16.836</t>
  </si>
  <si>
    <t>14:26:18.656</t>
  </si>
  <si>
    <t>14:26:24.836</t>
  </si>
  <si>
    <t>14:26:41.141</t>
  </si>
  <si>
    <t>14:26:43.175</t>
  </si>
  <si>
    <t>14:26:50.974</t>
  </si>
  <si>
    <t>14:26:51.941</t>
  </si>
  <si>
    <t>14:26:56.973</t>
  </si>
  <si>
    <t>14:26:58.540</t>
  </si>
  <si>
    <t>14:26:59.442</t>
  </si>
  <si>
    <t>14:27:34.238</t>
  </si>
  <si>
    <t>14:31:42.584</t>
  </si>
  <si>
    <t>14:31:43.569</t>
  </si>
  <si>
    <t>14:31:49.784</t>
  </si>
  <si>
    <t>14:31:50.569</t>
  </si>
  <si>
    <t>14:31:52.050</t>
  </si>
  <si>
    <t>14:31:53.151</t>
  </si>
  <si>
    <t>14:31:59.750</t>
  </si>
  <si>
    <t>14:32:00.550</t>
  </si>
  <si>
    <t>14:32:05.583</t>
  </si>
  <si>
    <t>14:32:08.716</t>
  </si>
  <si>
    <t>14:32:09.583</t>
  </si>
  <si>
    <t>14:32:15.816</t>
  </si>
  <si>
    <t>14:32:16.784</t>
  </si>
  <si>
    <t>14:32:52.780</t>
  </si>
  <si>
    <t>14:41:13.636</t>
  </si>
  <si>
    <t>14:41:15.788</t>
  </si>
  <si>
    <t>14:41:21.968</t>
  </si>
  <si>
    <t>14:41:23.936</t>
  </si>
  <si>
    <t>14:41:27.034</t>
  </si>
  <si>
    <t>14:41:30.168</t>
  </si>
  <si>
    <t>14:41:31.786</t>
  </si>
  <si>
    <t>14:41:38.001</t>
  </si>
  <si>
    <t>14:41:39.935</t>
  </si>
  <si>
    <t>14:42:18.926</t>
  </si>
  <si>
    <t>14:46:37.892</t>
  </si>
  <si>
    <t>14:46:38.877</t>
  </si>
  <si>
    <t>14:46:45.458</t>
  </si>
  <si>
    <t>14:46:47.093</t>
  </si>
  <si>
    <t>14:46:59.957</t>
  </si>
  <si>
    <t>14:47:01.958</t>
  </si>
  <si>
    <t>14:47:20.723</t>
  </si>
  <si>
    <t>14:47:23.042</t>
  </si>
  <si>
    <t>14:47:41.755</t>
  </si>
  <si>
    <t>14:47:44.356</t>
  </si>
  <si>
    <t>14:47:50.588</t>
  </si>
  <si>
    <t>14:48:03.121</t>
  </si>
  <si>
    <t>14:48:05.088</t>
  </si>
  <si>
    <t>14:51:15.729</t>
  </si>
  <si>
    <t>14:51:17.280</t>
  </si>
  <si>
    <t>14:51:23.861</t>
  </si>
  <si>
    <t>14:51:24.996</t>
  </si>
  <si>
    <t>14:51:37.861</t>
  </si>
  <si>
    <t>14:52:01.727</t>
  </si>
  <si>
    <t>14:52:05.194</t>
  </si>
  <si>
    <t>14:52:23.293</t>
  </si>
  <si>
    <t>14:52:23.925</t>
  </si>
  <si>
    <t>14:52:26.859</t>
  </si>
  <si>
    <t>14:52:45.625</t>
  </si>
  <si>
    <t>15:42:51.744</t>
  </si>
  <si>
    <t>15:42:56.164</t>
  </si>
  <si>
    <t>15:43:02.377</t>
  </si>
  <si>
    <t>15:43:05.996</t>
  </si>
  <si>
    <t>15:43:07.510</t>
  </si>
  <si>
    <t>15:43:09.677</t>
  </si>
  <si>
    <t>14:22:22.978</t>
  </si>
  <si>
    <t>14:22:31.393</t>
  </si>
  <si>
    <t>14:24:31.906</t>
  </si>
  <si>
    <t>14:24:33.992</t>
  </si>
  <si>
    <t>14:25:52.080</t>
  </si>
  <si>
    <t>14:25:56.648</t>
  </si>
  <si>
    <t>14:29:02.686</t>
  </si>
  <si>
    <t>14:29:05.755</t>
  </si>
  <si>
    <t>14:34:29.384</t>
  </si>
  <si>
    <t>14:34:33.648</t>
  </si>
  <si>
    <t>14:34:39.827</t>
  </si>
  <si>
    <t>14:34:43.331</t>
  </si>
  <si>
    <t>14:34:47.992</t>
  </si>
  <si>
    <t>14:34:52.293</t>
  </si>
  <si>
    <t>14:34:58.859</t>
  </si>
  <si>
    <t>14:35:01.961</t>
  </si>
  <si>
    <t>14:35:06.992</t>
  </si>
  <si>
    <t>14:35:08.559</t>
  </si>
  <si>
    <t>14:35:14.092</t>
  </si>
  <si>
    <t>14:35:20.325</t>
  </si>
  <si>
    <t>14:35:24.126</t>
  </si>
  <si>
    <t>14:37:22.276</t>
  </si>
  <si>
    <t>14:37:24.476</t>
  </si>
  <si>
    <t>14:37:36.942</t>
  </si>
  <si>
    <t>14:37:43.477</t>
  </si>
  <si>
    <t>14:37:55.972</t>
  </si>
  <si>
    <t>14:38:01.342</t>
  </si>
  <si>
    <t>14:38:11.440</t>
  </si>
  <si>
    <t>14:38:13.840</t>
  </si>
  <si>
    <t>14:38:19.207</t>
  </si>
  <si>
    <t>14:38:27.005</t>
  </si>
  <si>
    <t>14:38:30.938</t>
  </si>
  <si>
    <t>14:38:35.971</t>
  </si>
  <si>
    <t>14:38:36.137</t>
  </si>
  <si>
    <t>14:39:52.612</t>
  </si>
  <si>
    <t>14:39:55.084</t>
  </si>
  <si>
    <t>14:40:04.777</t>
  </si>
  <si>
    <t>14:40:09.046</t>
  </si>
  <si>
    <t>14:40:15.277</t>
  </si>
  <si>
    <t>14:40:20.181</t>
  </si>
  <si>
    <t>14:40:26.411</t>
  </si>
  <si>
    <t>14:40:32.681</t>
  </si>
  <si>
    <t>14:44:55.563</t>
  </si>
  <si>
    <t>14:45:02.297</t>
  </si>
  <si>
    <t>14:45:08.863</t>
  </si>
  <si>
    <t>14:45:13.331</t>
  </si>
  <si>
    <t>14:45:21.496</t>
  </si>
  <si>
    <t>14:45:25.430</t>
  </si>
  <si>
    <t>14:45:31.297</t>
  </si>
  <si>
    <t>14:45:31.627</t>
  </si>
  <si>
    <t>14:45:34.197</t>
  </si>
  <si>
    <t>14:45:40.427</t>
  </si>
  <si>
    <t>14:45:42.795</t>
  </si>
  <si>
    <t>14:45:49.027</t>
  </si>
  <si>
    <t>14:45:51.794</t>
  </si>
  <si>
    <t>14:46:00.226</t>
  </si>
  <si>
    <t>14:47:06.945</t>
  </si>
  <si>
    <t>14:47:11.631</t>
  </si>
  <si>
    <t>14:47:18.212</t>
  </si>
  <si>
    <t>14:47:26.113</t>
  </si>
  <si>
    <t>14:47:34.278</t>
  </si>
  <si>
    <t>14:47:36.314</t>
  </si>
  <si>
    <t>14:47:40.943</t>
  </si>
  <si>
    <t>14:48:40.253</t>
  </si>
  <si>
    <t>14:48:42.990</t>
  </si>
  <si>
    <t>14:48:49.552</t>
  </si>
  <si>
    <t>14:48:52.386</t>
  </si>
  <si>
    <t>14:49:00.553</t>
  </si>
  <si>
    <t>14:49:03.218</t>
  </si>
  <si>
    <t>14:49:10.286</t>
  </si>
  <si>
    <t>14:49:09.451</t>
  </si>
  <si>
    <t>14:49:13.852</t>
  </si>
  <si>
    <t>14:49:20.083</t>
  </si>
  <si>
    <t>14:49:22.853</t>
  </si>
  <si>
    <t>14:49:29.084</t>
  </si>
  <si>
    <t>14:49:30.652</t>
  </si>
  <si>
    <t>14:49:39.184</t>
  </si>
  <si>
    <t>14:52:10.476</t>
  </si>
  <si>
    <t>14:52:14.211</t>
  </si>
  <si>
    <t>14:52:32.940</t>
  </si>
  <si>
    <t>14:52:34.575</t>
  </si>
  <si>
    <t>14:52:41.173</t>
  </si>
  <si>
    <t>14:52:42.476</t>
  </si>
  <si>
    <t>14:59:43.356</t>
  </si>
  <si>
    <t>14:59:45.429</t>
  </si>
  <si>
    <t>14:59:55.105</t>
  </si>
  <si>
    <t>14:59:58.338</t>
  </si>
  <si>
    <t>15:00:04.538</t>
  </si>
  <si>
    <t>15:00:07.304</t>
  </si>
  <si>
    <t>15:00:08.837</t>
  </si>
  <si>
    <t>15:00:11.505</t>
  </si>
  <si>
    <t>15:00:21.236</t>
  </si>
  <si>
    <t>15:00:24.671</t>
  </si>
  <si>
    <t>15:00:27.705</t>
  </si>
  <si>
    <t>15:00:34.204</t>
  </si>
  <si>
    <t>15:00:36.372</t>
  </si>
  <si>
    <t>15:00:41.886</t>
  </si>
  <si>
    <t>15:02:11.554</t>
  </si>
  <si>
    <t>15:02:12.923</t>
  </si>
  <si>
    <t>15:02:22.620</t>
  </si>
  <si>
    <t>15:02:25.189</t>
  </si>
  <si>
    <t>15:02:31.419</t>
  </si>
  <si>
    <t>15:02:34.655</t>
  </si>
  <si>
    <t>15:02:39.317</t>
  </si>
  <si>
    <t>15:02:43.687</t>
  </si>
  <si>
    <t>15:02:48.918</t>
  </si>
  <si>
    <t>15:03:57.954</t>
  </si>
  <si>
    <t>15:04:02.093</t>
  </si>
  <si>
    <t>15:04:56.384</t>
  </si>
  <si>
    <t>15:05:00.387</t>
  </si>
  <si>
    <t>15:05:19.884</t>
  </si>
  <si>
    <t>15:05:19.118</t>
  </si>
  <si>
    <t>15:05:21.352</t>
  </si>
  <si>
    <t>15:05:27.950</t>
  </si>
  <si>
    <t>15:05:29.385</t>
  </si>
  <si>
    <t>15:05:35.977</t>
  </si>
  <si>
    <t>15:05:39.040</t>
  </si>
  <si>
    <t>15:05:57.804</t>
  </si>
  <si>
    <t>15:06:02.205</t>
  </si>
  <si>
    <t>15:06:20.968</t>
  </si>
  <si>
    <t>15:06:23.837</t>
  </si>
  <si>
    <t>15:06:27.770</t>
  </si>
  <si>
    <t>15:08:56.850</t>
  </si>
  <si>
    <t>15:08:58.454</t>
  </si>
  <si>
    <t>15:09:05.011</t>
  </si>
  <si>
    <t>15:09:08.047</t>
  </si>
  <si>
    <t>15:09:15.481</t>
  </si>
  <si>
    <t>15:09:14.644</t>
  </si>
  <si>
    <t>15:09:17.779</t>
  </si>
  <si>
    <t>15:09:22.444</t>
  </si>
  <si>
    <t>15:09:25.078</t>
  </si>
  <si>
    <t>15:09:27.244</t>
  </si>
  <si>
    <t>15:09:29.743</t>
  </si>
  <si>
    <t>15:09:32.778</t>
  </si>
  <si>
    <t>15:09:37.442</t>
  </si>
  <si>
    <t>15:09:39.112</t>
  </si>
  <si>
    <t>15:11:25.232</t>
  </si>
  <si>
    <t>15:11:26.859</t>
  </si>
  <si>
    <t>15:11:33.430</t>
  </si>
  <si>
    <t>15:11:35.700</t>
  </si>
  <si>
    <t>15:11:44.463</t>
  </si>
  <si>
    <t>15:11:43.865</t>
  </si>
  <si>
    <t>15:11:46.533</t>
  </si>
  <si>
    <t>15:11:52.764</t>
  </si>
  <si>
    <t>15:11:54.063</t>
  </si>
  <si>
    <t>15:11:59.264</t>
  </si>
  <si>
    <t>15:12:00.296</t>
  </si>
  <si>
    <t>15:12:02.197</t>
  </si>
  <si>
    <t>15:12:08.430</t>
  </si>
  <si>
    <t>15:12:13.630</t>
  </si>
  <si>
    <t>15:14:54.649</t>
  </si>
  <si>
    <t>15:14:55.936</t>
  </si>
  <si>
    <t>15:15:02.515</t>
  </si>
  <si>
    <t>15:15:04.349</t>
  </si>
  <si>
    <t>15:15:11.650</t>
  </si>
  <si>
    <t>15:15:10.948</t>
  </si>
  <si>
    <t>15:15:13.518</t>
  </si>
  <si>
    <t>15:15:18.182</t>
  </si>
  <si>
    <t>15:15:19.916</t>
  </si>
  <si>
    <t>15:15:22.947</t>
  </si>
  <si>
    <t>15:15:24.581</t>
  </si>
  <si>
    <t>15:15:27.181</t>
  </si>
  <si>
    <t>15:15:31.848</t>
  </si>
  <si>
    <t>15:15:33.549</t>
  </si>
  <si>
    <t>15:17:39.263</t>
  </si>
  <si>
    <t>15:17:40.731</t>
  </si>
  <si>
    <t>15:17:47.296</t>
  </si>
  <si>
    <t>15:17:49.830</t>
  </si>
  <si>
    <t>15:17:57.229</t>
  </si>
  <si>
    <t>15:17:56.428</t>
  </si>
  <si>
    <t>15:18:00.665</t>
  </si>
  <si>
    <t>15:18:05.329</t>
  </si>
  <si>
    <t>15:18:08.796</t>
  </si>
  <si>
    <t>15:18:13.461</t>
  </si>
  <si>
    <t>15:18:16.195</t>
  </si>
  <si>
    <t>15:18:20.862</t>
  </si>
  <si>
    <t>15:18:23.228</t>
  </si>
  <si>
    <t>15:18:33.196</t>
  </si>
  <si>
    <t>15:06:47.564</t>
  </si>
  <si>
    <t>15:06:54.123</t>
  </si>
  <si>
    <t>15:09:14.690</t>
  </si>
  <si>
    <t>15:09:17.775</t>
  </si>
  <si>
    <t>15:12:10.947</t>
  </si>
  <si>
    <t>15:12:14.766</t>
  </si>
  <si>
    <t>15:12:42.864</t>
  </si>
  <si>
    <t>15:12:46.731</t>
  </si>
  <si>
    <t>15:15:42.900</t>
  </si>
  <si>
    <t>15:15:47.186</t>
  </si>
  <si>
    <t>15:18:22.142</t>
  </si>
  <si>
    <t>15:18:25.928</t>
  </si>
  <si>
    <t>15:18:32.508</t>
  </si>
  <si>
    <t>15:18:44.141</t>
  </si>
  <si>
    <t>15:18:47.708</t>
  </si>
  <si>
    <t>15:18:52.374</t>
  </si>
  <si>
    <t>15:18:58.974</t>
  </si>
  <si>
    <t>15:19:03.640</t>
  </si>
  <si>
    <t>15:19:09.006</t>
  </si>
  <si>
    <t>15:19:13.673</t>
  </si>
  <si>
    <t>15:19:17.873</t>
  </si>
  <si>
    <t>15:19:37.705</t>
  </si>
  <si>
    <t>14:16:55.752</t>
  </si>
  <si>
    <t>14:16:59.438</t>
  </si>
  <si>
    <t>14:17:06.017</t>
  </si>
  <si>
    <t>14:17:09.785</t>
  </si>
  <si>
    <t>14:17:20.618</t>
  </si>
  <si>
    <t>14:17:17.950</t>
  </si>
  <si>
    <t>14:17:23.170</t>
  </si>
  <si>
    <t>14:20:13.848</t>
  </si>
  <si>
    <t>14:20:17.100</t>
  </si>
  <si>
    <t>14:20:23.681</t>
  </si>
  <si>
    <t>14:20:25.014</t>
  </si>
  <si>
    <t>14:20:31.613</t>
  </si>
  <si>
    <t>14:20:41.414</t>
  </si>
  <si>
    <t>14:20:47.646</t>
  </si>
  <si>
    <t>14:20:49.898</t>
  </si>
  <si>
    <t>14:21:20.767</t>
  </si>
  <si>
    <t>14:23:39.503</t>
  </si>
  <si>
    <t>14:23:42.056</t>
  </si>
  <si>
    <t>14:23:48.637</t>
  </si>
  <si>
    <t>14:23:51.504</t>
  </si>
  <si>
    <t>14:23:59.668</t>
  </si>
  <si>
    <t>14:24:01.587</t>
  </si>
  <si>
    <t>14:24:04.669</t>
  </si>
  <si>
    <t>14:24:07.803</t>
  </si>
  <si>
    <t>14:24:10.103</t>
  </si>
  <si>
    <t>14:26:21.024</t>
  </si>
  <si>
    <t>14:26:25.210</t>
  </si>
  <si>
    <t>14:26:31.424</t>
  </si>
  <si>
    <t>14:26:33.142</t>
  </si>
  <si>
    <t>14:26:34.657</t>
  </si>
  <si>
    <t>14:26:36.391</t>
  </si>
  <si>
    <t>14:26:42.989</t>
  </si>
  <si>
    <t>14:26:48.290</t>
  </si>
  <si>
    <t>14:27:11.721</t>
  </si>
  <si>
    <t>14:29:40.297</t>
  </si>
  <si>
    <t>14:29:42.449</t>
  </si>
  <si>
    <t>14:29:48.630</t>
  </si>
  <si>
    <t>14:29:51.149</t>
  </si>
  <si>
    <t>14:30:05.196</t>
  </si>
  <si>
    <t>14:30:06.230</t>
  </si>
  <si>
    <t>14:30:12.829</t>
  </si>
  <si>
    <t>14:30:18.430</t>
  </si>
  <si>
    <t>14:30:20.796</t>
  </si>
  <si>
    <t>14:32:49.938</t>
  </si>
  <si>
    <t>14:32:51.890</t>
  </si>
  <si>
    <t>14:32:58.070</t>
  </si>
  <si>
    <t>14:33:00.043</t>
  </si>
  <si>
    <t>14:33:01.571</t>
  </si>
  <si>
    <t>14:33:03.371</t>
  </si>
  <si>
    <t>14:33:20.936</t>
  </si>
  <si>
    <t>14:33:23.337</t>
  </si>
  <si>
    <t>14:33:25.903</t>
  </si>
  <si>
    <t>14:33:57.079</t>
  </si>
  <si>
    <t>14:37:28.085</t>
  </si>
  <si>
    <t>14:37:31.976</t>
  </si>
  <si>
    <t>14:37:41.685</t>
  </si>
  <si>
    <t>14:37:44.352</t>
  </si>
  <si>
    <t>14:37:50.584</t>
  </si>
  <si>
    <t>14:37:54.670</t>
  </si>
  <si>
    <t>14:38:04.851</t>
  </si>
  <si>
    <t>14:38:02.450</t>
  </si>
  <si>
    <t>14:38:05.518</t>
  </si>
  <si>
    <t>14:38:10.550</t>
  </si>
  <si>
    <t>14:38:10.551</t>
  </si>
  <si>
    <t>14:38:13.317</t>
  </si>
  <si>
    <t>14:38:28.216</t>
  </si>
  <si>
    <t>14:38:34.426</t>
  </si>
  <si>
    <t>14:38:34.560</t>
  </si>
  <si>
    <t>14:38:41.849</t>
  </si>
  <si>
    <t>14:41:05.025</t>
  </si>
  <si>
    <t>14:41:06.943</t>
  </si>
  <si>
    <t>14:41:20.990</t>
  </si>
  <si>
    <t>14:41:24.609</t>
  </si>
  <si>
    <t>14:41:38.656</t>
  </si>
  <si>
    <t>14:41:40.557</t>
  </si>
  <si>
    <t>14:41:54.622</t>
  </si>
  <si>
    <t>14:41:56.590</t>
  </si>
  <si>
    <t>14:22:37.418</t>
  </si>
  <si>
    <t>14:22:44.170</t>
  </si>
  <si>
    <t>14:25:20.154</t>
  </si>
  <si>
    <t>14:25:26.107</t>
  </si>
  <si>
    <t>14:28:31.490</t>
  </si>
  <si>
    <t>14:28:34.507</t>
  </si>
  <si>
    <t>14:31:02.972</t>
  </si>
  <si>
    <t>14:31:07.758</t>
  </si>
  <si>
    <t>14:31:35.870</t>
  </si>
  <si>
    <t>14:31:40.737</t>
  </si>
  <si>
    <t>14:35:22.220</t>
  </si>
  <si>
    <t>14:35:24.872</t>
  </si>
  <si>
    <t>14:35:53.019</t>
  </si>
  <si>
    <t>14:35:55.504</t>
  </si>
  <si>
    <t>14:40:41.487</t>
  </si>
  <si>
    <t>14:40:44.374</t>
  </si>
  <si>
    <t>14:43:05.264</t>
  </si>
  <si>
    <t>14:43:08.550</t>
  </si>
  <si>
    <t>14:46:34.792</t>
  </si>
  <si>
    <t>14:46:42.212</t>
  </si>
  <si>
    <t>14:46:54.691</t>
  </si>
  <si>
    <t>14:46:57.610</t>
  </si>
  <si>
    <t>14:47:10.091</t>
  </si>
  <si>
    <t>14:47:12.592</t>
  </si>
  <si>
    <t>14:47:25.090</t>
  </si>
  <si>
    <t>14:47:28.123</t>
  </si>
  <si>
    <t>14:47:45.322</t>
  </si>
  <si>
    <t>14:47:47.356</t>
  </si>
  <si>
    <t>14:47:52.389</t>
  </si>
  <si>
    <t>14:49:27.945</t>
  </si>
  <si>
    <t>14:49:33.564</t>
  </si>
  <si>
    <t>14:50:11.065</t>
  </si>
  <si>
    <t>14:50:12.785</t>
  </si>
  <si>
    <t>14:50:28.731</t>
  </si>
  <si>
    <t>14:50:31.231</t>
  </si>
  <si>
    <t>14:50:43.730</t>
  </si>
  <si>
    <t>14:50:45.331</t>
  </si>
  <si>
    <t>14:50:57.829</t>
  </si>
  <si>
    <t>14:51:01.630</t>
  </si>
  <si>
    <t>14:51:14.095</t>
  </si>
  <si>
    <t>14:51:16.196</t>
  </si>
  <si>
    <t>14:51:30.795</t>
  </si>
  <si>
    <t>14:53:15.828</t>
  </si>
  <si>
    <t>14:53:17.748</t>
  </si>
  <si>
    <t>14:53:33.694</t>
  </si>
  <si>
    <t>14:53:35.728</t>
  </si>
  <si>
    <t>14:53:48.193</t>
  </si>
  <si>
    <t>14:53:51.994</t>
  </si>
  <si>
    <t>14:14:46.631</t>
  </si>
  <si>
    <t>14:14:49.018</t>
  </si>
  <si>
    <t>14:15:04.997</t>
  </si>
  <si>
    <t>14:15:09.964</t>
  </si>
  <si>
    <t>14:15:22.463</t>
  </si>
  <si>
    <t>14:15:24.664</t>
  </si>
  <si>
    <t>14:15:37.162</t>
  </si>
  <si>
    <t>14:15:40.029</t>
  </si>
  <si>
    <t>14:15:52.527</t>
  </si>
  <si>
    <t>14:15:54.595</t>
  </si>
  <si>
    <t>14:16:09.161</t>
  </si>
  <si>
    <t>14:18:01.999</t>
  </si>
  <si>
    <t>14:18:04.186</t>
  </si>
  <si>
    <t>14:18:13.899</t>
  </si>
  <si>
    <t>14:18:16.266</t>
  </si>
  <si>
    <t>14:18:22.498</t>
  </si>
  <si>
    <t>14:18:24.366</t>
  </si>
  <si>
    <t>14:18:30.598</t>
  </si>
  <si>
    <t>14:18:32.332</t>
  </si>
  <si>
    <t>14:18:38.564</t>
  </si>
  <si>
    <t>14:18:40.532</t>
  </si>
  <si>
    <t>14:19:07.130</t>
  </si>
  <si>
    <t>14:19:09.463</t>
  </si>
  <si>
    <t>14:19:14.496</t>
  </si>
  <si>
    <t>14:20:19.209</t>
  </si>
  <si>
    <t>14:20:20.662</t>
  </si>
  <si>
    <t>14:20:36.643</t>
  </si>
  <si>
    <t>14:20:38.776</t>
  </si>
  <si>
    <t>14:20:51.275</t>
  </si>
  <si>
    <t>14:20:53.075</t>
  </si>
  <si>
    <t>14:21:05.541</t>
  </si>
  <si>
    <t>14:21:10.241</t>
  </si>
  <si>
    <t>14:21:22.740</t>
  </si>
  <si>
    <t>14:21:27.107</t>
  </si>
  <si>
    <t>14:21:42.306</t>
  </si>
  <si>
    <t>14:23:15.556</t>
  </si>
  <si>
    <t>14:23:16.676</t>
  </si>
  <si>
    <t>14:23:23.256</t>
  </si>
  <si>
    <t>14:23:25.390</t>
  </si>
  <si>
    <t>14:23:33.555</t>
  </si>
  <si>
    <t>14:23:35.990</t>
  </si>
  <si>
    <t>14:23:42.222</t>
  </si>
  <si>
    <t>14:23:44.722</t>
  </si>
  <si>
    <t>14:23:50.954</t>
  </si>
  <si>
    <t>14:23:54.022</t>
  </si>
  <si>
    <t>14:24:00.254</t>
  </si>
  <si>
    <t>14:24:04.555</t>
  </si>
  <si>
    <t>14:24:25.720</t>
  </si>
  <si>
    <t>14:30:12.631</t>
  </si>
  <si>
    <t>14:30:14.116</t>
  </si>
  <si>
    <t>14:30:20.664</t>
  </si>
  <si>
    <t>14:30:24.365</t>
  </si>
  <si>
    <t>14:30:32.530</t>
  </si>
  <si>
    <t>14:30:34.497</t>
  </si>
  <si>
    <t>14:30:40.730</t>
  </si>
  <si>
    <t>14:30:43.497</t>
  </si>
  <si>
    <t>14:30:49.729</t>
  </si>
  <si>
    <t>14:30:52.497</t>
  </si>
  <si>
    <t>14:30:54.029</t>
  </si>
  <si>
    <t>14:30:58.729</t>
  </si>
  <si>
    <t>14:31:05.964</t>
  </si>
  <si>
    <t>14:31:08.296</t>
  </si>
  <si>
    <t>14:32:18.747</t>
  </si>
  <si>
    <t>14:32:21.333</t>
  </si>
  <si>
    <t>14:32:33.813</t>
  </si>
  <si>
    <t>14:32:36.015</t>
  </si>
  <si>
    <t>14:32:48.479</t>
  </si>
  <si>
    <t>14:32:50.381</t>
  </si>
  <si>
    <t>14:33:02.878</t>
  </si>
  <si>
    <t>14:33:05.173</t>
  </si>
  <si>
    <t>14:33:09.257</t>
  </si>
  <si>
    <t>14:33:19.756</t>
  </si>
  <si>
    <t>14:33:25.455</t>
  </si>
  <si>
    <t>14:33:26.723</t>
  </si>
  <si>
    <t>14:38:22.473</t>
  </si>
  <si>
    <t>14:38:25.759</t>
  </si>
  <si>
    <t>14:38:35.473</t>
  </si>
  <si>
    <t>14:38:39.508</t>
  </si>
  <si>
    <t>14:38:45.739</t>
  </si>
  <si>
    <t>14:38:49.274</t>
  </si>
  <si>
    <t>14:38:55.439</t>
  </si>
  <si>
    <t>14:38:57.807</t>
  </si>
  <si>
    <t>14:39:04.039</t>
  </si>
  <si>
    <t>14:39:05.973</t>
  </si>
  <si>
    <t>14:39:20.037</t>
  </si>
  <si>
    <t>14:39:57.969</t>
  </si>
  <si>
    <t>14:40:01.121</t>
  </si>
  <si>
    <t>14:40:17.101</t>
  </si>
  <si>
    <t>14:40:18.836</t>
  </si>
  <si>
    <t>14:40:31.335</t>
  </si>
  <si>
    <t>14:40:34.035</t>
  </si>
  <si>
    <t>14:40:46.533</t>
  </si>
  <si>
    <t>14:40:48.968</t>
  </si>
  <si>
    <t>14:40:52.066</t>
  </si>
  <si>
    <t>14:42:50.693</t>
  </si>
  <si>
    <t>14:42:53.480</t>
  </si>
  <si>
    <t>14:43:00.060</t>
  </si>
  <si>
    <t>14:43:01.961</t>
  </si>
  <si>
    <t>14:43:14.459</t>
  </si>
  <si>
    <t>14:43:17.527</t>
  </si>
  <si>
    <t>14:43:26.793</t>
  </si>
  <si>
    <t>14:43:30.025</t>
  </si>
  <si>
    <t>14:43:52.619</t>
  </si>
  <si>
    <t>14:44:02.701</t>
  </si>
  <si>
    <t>14:44:50.444</t>
  </si>
  <si>
    <t>14:44:52.897</t>
  </si>
  <si>
    <t>15:20:25.450</t>
  </si>
  <si>
    <t>15:20:30.103</t>
  </si>
  <si>
    <t>15:23:11.025</t>
  </si>
  <si>
    <t>15:23:13.145</t>
  </si>
  <si>
    <t>15:23:19.725</t>
  </si>
  <si>
    <t>15:23:23.159</t>
  </si>
  <si>
    <t>15:23:35.624</t>
  </si>
  <si>
    <t>15:23:37.726</t>
  </si>
  <si>
    <t>15:24:00.057</t>
  </si>
  <si>
    <t>15:25:47.918</t>
  </si>
  <si>
    <t>15:25:50.304</t>
  </si>
  <si>
    <t>15:26:06.284</t>
  </si>
  <si>
    <t>15:26:09.018</t>
  </si>
  <si>
    <t>15:26:21.450</t>
  </si>
  <si>
    <t>15:26:23.517</t>
  </si>
  <si>
    <t>15:26:36.016</t>
  </si>
  <si>
    <t>15:26:40.083</t>
  </si>
  <si>
    <t>15:26:50.916</t>
  </si>
  <si>
    <t>15:26:52.581</t>
  </si>
  <si>
    <t>15:26:55.148</t>
  </si>
  <si>
    <t>15:29:38.551</t>
  </si>
  <si>
    <t>15:29:44.004</t>
  </si>
  <si>
    <t>15:29:56.483</t>
  </si>
  <si>
    <t>15:29:58.351</t>
  </si>
  <si>
    <t>15:30:10.849</t>
  </si>
  <si>
    <t>15:30:12.617</t>
  </si>
  <si>
    <t>15:30:25.109</t>
  </si>
  <si>
    <t>15:30:26.677</t>
  </si>
  <si>
    <t>15:30:46.981</t>
  </si>
  <si>
    <t>15:30:49.148</t>
  </si>
  <si>
    <t>15:30:54.180</t>
  </si>
  <si>
    <t>15:32:07.438</t>
  </si>
  <si>
    <t>15:32:09.758</t>
  </si>
  <si>
    <t>15:32:22.182</t>
  </si>
  <si>
    <t>15:32:24.750</t>
  </si>
  <si>
    <t>15:32:29.415</t>
  </si>
  <si>
    <t>15:32:32.382</t>
  </si>
  <si>
    <t>15:32:45.247</t>
  </si>
  <si>
    <t>15:32:46.982</t>
  </si>
  <si>
    <t>15:32:59.480</t>
  </si>
  <si>
    <t>15:33:06.981</t>
  </si>
  <si>
    <t>15:33:21.279</t>
  </si>
  <si>
    <t>15:37:11.896</t>
  </si>
  <si>
    <t>15:37:14.082</t>
  </si>
  <si>
    <t>15:37:20.295</t>
  </si>
  <si>
    <t>15:37:22.329</t>
  </si>
  <si>
    <t>15:37:39.527</t>
  </si>
  <si>
    <t>15:37:41.295</t>
  </si>
  <si>
    <t>15:37:47.893</t>
  </si>
  <si>
    <t>15:37:49.694</t>
  </si>
  <si>
    <t>15:38:00.735</t>
  </si>
  <si>
    <t>15:38:12.459</t>
  </si>
  <si>
    <t>15:40:48.157</t>
  </si>
  <si>
    <t>15:40:50.543</t>
  </si>
  <si>
    <t>15:40:55.190</t>
  </si>
  <si>
    <t>15:40:57.957</t>
  </si>
  <si>
    <t>15:41:04.556</t>
  </si>
  <si>
    <t>15:41:07.290</t>
  </si>
  <si>
    <t>15:41:13.523</t>
  </si>
  <si>
    <t>15:41:15.757</t>
  </si>
  <si>
    <t>15:41:21.989</t>
  </si>
  <si>
    <t>15:41:24.423</t>
  </si>
  <si>
    <t>15:41:26.656</t>
  </si>
  <si>
    <t>15:41:32.222</t>
  </si>
  <si>
    <t>15:41:33.556</t>
  </si>
  <si>
    <t>15:42:04.153</t>
  </si>
  <si>
    <t>15:46:27.607</t>
  </si>
  <si>
    <t>15:46:30.993</t>
  </si>
  <si>
    <t>15:46:49.684</t>
  </si>
  <si>
    <t>15:46:51.085</t>
  </si>
  <si>
    <t>15:47:09.849</t>
  </si>
  <si>
    <t>15:47:12.650</t>
  </si>
  <si>
    <t>15:47:31.415</t>
  </si>
  <si>
    <t>15:47:33.749</t>
  </si>
  <si>
    <t>15:47:40.449</t>
  </si>
  <si>
    <t>15:47:49.380</t>
  </si>
  <si>
    <t>15:47:51.181</t>
  </si>
  <si>
    <t>15:47:57.780</t>
  </si>
  <si>
    <t>15:47:59.447</t>
  </si>
  <si>
    <t>15:48:31.646</t>
  </si>
  <si>
    <t>15:50:13.552</t>
  </si>
  <si>
    <t>15:50:16.471</t>
  </si>
  <si>
    <t>15:51:16.087</t>
  </si>
  <si>
    <t>15:51:18.107</t>
  </si>
  <si>
    <t>15:51:22.754</t>
  </si>
  <si>
    <t>15:51:25.055</t>
  </si>
  <si>
    <t>15:51:29.720</t>
  </si>
  <si>
    <t>15:51:31.755</t>
  </si>
  <si>
    <t>15:51:36.420</t>
  </si>
  <si>
    <t>15:51:38.821</t>
  </si>
  <si>
    <t>15:51:48.186</t>
  </si>
  <si>
    <t>15:51:49.987</t>
  </si>
  <si>
    <t>15:51:55.013</t>
  </si>
  <si>
    <t>15:51:59.713</t>
  </si>
  <si>
    <t>15:52:03.113</t>
  </si>
  <si>
    <t>15:53:01.977</t>
  </si>
  <si>
    <t>15:53:03.796</t>
  </si>
  <si>
    <t>15:53:08.443</t>
  </si>
  <si>
    <t>15:53:09.977</t>
  </si>
  <si>
    <t>15:53:14.643</t>
  </si>
  <si>
    <t>15:53:18.043</t>
  </si>
  <si>
    <t>15:53:22.709</t>
  </si>
  <si>
    <t>15:53:24.710</t>
  </si>
  <si>
    <t>16:02:44.520</t>
  </si>
  <si>
    <t>16:02:46.639</t>
  </si>
  <si>
    <t>16:02:52.853</t>
  </si>
  <si>
    <t>16:02:56.187</t>
  </si>
  <si>
    <t>16:02:59.286</t>
  </si>
  <si>
    <t>16:03:01.553</t>
  </si>
  <si>
    <t>16:03:09.719</t>
  </si>
  <si>
    <t>16:03:13.053</t>
  </si>
  <si>
    <t>16:03:19.285</t>
  </si>
  <si>
    <t>16:03:20.820</t>
  </si>
  <si>
    <t>16:03:22.351</t>
  </si>
  <si>
    <t>16:04:43.053</t>
  </si>
  <si>
    <t>16:04:45.239</t>
  </si>
  <si>
    <t>16:04:51.453</t>
  </si>
  <si>
    <t>16:04:53.387</t>
  </si>
  <si>
    <t>16:04:59.619</t>
  </si>
  <si>
    <t>16:05:02.087</t>
  </si>
  <si>
    <t>16:05:08.318</t>
  </si>
  <si>
    <t>16:05:09.953</t>
  </si>
  <si>
    <t>16:05:24.018</t>
  </si>
  <si>
    <t>16:05:26.219</t>
  </si>
  <si>
    <t>16:05:31.251</t>
  </si>
  <si>
    <t>16:05:50.017</t>
  </si>
  <si>
    <t>16:05:51.784</t>
  </si>
  <si>
    <t>16:05:56.816</t>
  </si>
  <si>
    <t>16:07:00.386</t>
  </si>
  <si>
    <t>16:07:02.301</t>
  </si>
  <si>
    <t>16:07:08.518</t>
  </si>
  <si>
    <t>16:07:10.686</t>
  </si>
  <si>
    <t>16:07:16.918</t>
  </si>
  <si>
    <t>16:07:18.652</t>
  </si>
  <si>
    <t>16:07:24.885</t>
  </si>
  <si>
    <t>16:07:26.685</t>
  </si>
  <si>
    <t>16:07:40.750</t>
  </si>
  <si>
    <t>16:07:42.284</t>
  </si>
  <si>
    <t>16:07:47.315</t>
  </si>
  <si>
    <t>16:07:47.350</t>
  </si>
  <si>
    <t>16:07:53.583</t>
  </si>
  <si>
    <t>16:07:54.517</t>
  </si>
  <si>
    <t>16:11:14.044</t>
  </si>
  <si>
    <t>16:11:16.197</t>
  </si>
  <si>
    <t>16:11:22.411</t>
  </si>
  <si>
    <t>16:11:23.880</t>
  </si>
  <si>
    <t>16:11:30.111</t>
  </si>
  <si>
    <t>16:11:33.645</t>
  </si>
  <si>
    <t>16:11:39.877</t>
  </si>
  <si>
    <t>16:11:42.378</t>
  </si>
  <si>
    <t>16:12:02.976</t>
  </si>
  <si>
    <t>16:12:08.909</t>
  </si>
  <si>
    <t>16:12:10.210</t>
  </si>
  <si>
    <t>16:12:16.781</t>
  </si>
  <si>
    <t>16:12:18.903</t>
  </si>
  <si>
    <t>16:12:23.942</t>
  </si>
  <si>
    <t>16:14:02.703</t>
  </si>
  <si>
    <t>16:14:06.886</t>
  </si>
  <si>
    <t>16:14:25.602</t>
  </si>
  <si>
    <t>16:14:29.070</t>
  </si>
  <si>
    <t>16:14:47.835</t>
  </si>
  <si>
    <t>16:14:50.136</t>
  </si>
  <si>
    <t>16:15:08.884</t>
  </si>
  <si>
    <t>16:15:12.383</t>
  </si>
  <si>
    <t>16:15:19.051</t>
  </si>
  <si>
    <t>16:15:28.016</t>
  </si>
  <si>
    <t>16:15:29.650</t>
  </si>
  <si>
    <t>16:15:36.249</t>
  </si>
  <si>
    <t>16:15:39.949</t>
  </si>
  <si>
    <t>16:16:12.048</t>
  </si>
  <si>
    <t>16:18:37.068</t>
  </si>
  <si>
    <t>16:18:43.253</t>
  </si>
  <si>
    <t>16:18:47.901</t>
  </si>
  <si>
    <t>16:18:49.969</t>
  </si>
  <si>
    <t>16:18:54.634</t>
  </si>
  <si>
    <t>16:18:56.767</t>
  </si>
  <si>
    <t>16:18:58.300</t>
  </si>
  <si>
    <t>16:18:59.767</t>
  </si>
  <si>
    <t>16:19:06.000</t>
  </si>
  <si>
    <t>16:19:07.933</t>
  </si>
  <si>
    <t>16:19:09.468</t>
  </si>
  <si>
    <t>16:19:14.133</t>
  </si>
  <si>
    <t>16:19:15.567</t>
  </si>
  <si>
    <t>16:19:26.233</t>
  </si>
  <si>
    <t>16:23:10.616</t>
  </si>
  <si>
    <t>16:23:12.601</t>
  </si>
  <si>
    <t>16:23:17.249</t>
  </si>
  <si>
    <t>16:23:18.983</t>
  </si>
  <si>
    <t>16:23:23.648</t>
  </si>
  <si>
    <t>16:23:26.116</t>
  </si>
  <si>
    <t>16:23:30.715</t>
  </si>
  <si>
    <t>16:23:32.649</t>
  </si>
  <si>
    <t>16:23:42.014</t>
  </si>
  <si>
    <t>16:23:42.849</t>
  </si>
  <si>
    <t>16:23:47.881</t>
  </si>
  <si>
    <t>16:23:54.279</t>
  </si>
  <si>
    <t>16:23:52.580</t>
  </si>
  <si>
    <t>16:23:55.314</t>
  </si>
  <si>
    <t>16:27:08.449</t>
  </si>
  <si>
    <t>16:27:12.667</t>
  </si>
  <si>
    <t>16:27:17.314</t>
  </si>
  <si>
    <t>16:27:20.183</t>
  </si>
  <si>
    <t>16:27:24.847</t>
  </si>
  <si>
    <t>16:27:30.248</t>
  </si>
  <si>
    <t>16:27:34.914</t>
  </si>
  <si>
    <t>16:27:36.381</t>
  </si>
  <si>
    <t>16:27:51.081</t>
  </si>
  <si>
    <t>16:27:50.446</t>
  </si>
  <si>
    <t>16:27:51.614</t>
  </si>
  <si>
    <t>16:27:56.313</t>
  </si>
  <si>
    <t>16:27:58.213</t>
  </si>
  <si>
    <t>16:27:59.114</t>
  </si>
  <si>
    <t>16:28:04.140</t>
  </si>
  <si>
    <t>16:29:41.186</t>
  </si>
  <si>
    <t>16:29:44.604</t>
  </si>
  <si>
    <t>16:29:49.252</t>
  </si>
  <si>
    <t>16:29:52.348</t>
  </si>
  <si>
    <t>16:29:57.007</t>
  </si>
  <si>
    <t>16:29:58.908</t>
  </si>
  <si>
    <t>16:30:03.540</t>
  </si>
  <si>
    <t>16:30:05.840</t>
  </si>
  <si>
    <t>16:30:15.206</t>
  </si>
  <si>
    <t>16:30:17.074</t>
  </si>
  <si>
    <t>16:30:22.104</t>
  </si>
  <si>
    <t>16:30:23.671</t>
  </si>
  <si>
    <t>16:30:28.506</t>
  </si>
  <si>
    <t>16:30:36.739</t>
  </si>
  <si>
    <t>Count</t>
  </si>
  <si>
    <t>Correctas</t>
  </si>
  <si>
    <t>Eroneas</t>
  </si>
  <si>
    <t>Tiempo medio respuesta</t>
  </si>
  <si>
    <t>Stdev tiempo respuesta</t>
  </si>
  <si>
    <t>Total</t>
  </si>
  <si>
    <t>Media tiempo reaccion</t>
  </si>
  <si>
    <t>Stdev tiempo reaccion</t>
  </si>
  <si>
    <t>Media dormir tiempo reaccion</t>
  </si>
  <si>
    <t>Sdev dormir tiempo reaccion</t>
  </si>
  <si>
    <t>Media parada tiempo reaccion</t>
  </si>
  <si>
    <t>Stdev parada tiempo reaccion</t>
  </si>
  <si>
    <t>15:11:56.541</t>
  </si>
  <si>
    <t>14:18:35.700</t>
  </si>
  <si>
    <t>14:21:51.864</t>
  </si>
  <si>
    <t>15:16:35.553</t>
  </si>
  <si>
    <t>Count dormir</t>
  </si>
  <si>
    <t>Count parada</t>
  </si>
  <si>
    <t>Count ubi</t>
  </si>
  <si>
    <t>Dormir correctas</t>
  </si>
  <si>
    <t>Ubi correctas</t>
  </si>
  <si>
    <t>Erroneas</t>
  </si>
  <si>
    <t>Dormir erroneas</t>
  </si>
  <si>
    <t>Ubi erroneas</t>
  </si>
  <si>
    <t>15:20:42.006</t>
  </si>
  <si>
    <t>15:20:46.000</t>
  </si>
  <si>
    <t>14:33:26.925</t>
  </si>
  <si>
    <t>14:33:28.259</t>
  </si>
  <si>
    <t>15:20:03.563</t>
  </si>
  <si>
    <t>15:20:07.463</t>
  </si>
  <si>
    <t>15:25:51.270</t>
  </si>
  <si>
    <t>15:20:07.890</t>
  </si>
  <si>
    <t>15:20:10.657</t>
  </si>
  <si>
    <t>14:55:02.282</t>
  </si>
  <si>
    <t>14:55:04.984</t>
  </si>
  <si>
    <t>15:11:36.120</t>
  </si>
  <si>
    <t>15:11:40.452</t>
  </si>
  <si>
    <t>15:53:13.823</t>
  </si>
  <si>
    <t>15:53:16.524</t>
  </si>
  <si>
    <t>14:53:49.980</t>
  </si>
  <si>
    <t>14:53:52.881</t>
  </si>
  <si>
    <t>15:03:10.965</t>
  </si>
  <si>
    <t>15:03:16.318</t>
  </si>
  <si>
    <t>16:44:10.005</t>
  </si>
  <si>
    <t>16:44:13.973</t>
  </si>
  <si>
    <t>16:11:20.095</t>
  </si>
  <si>
    <t>16:11:22.196</t>
  </si>
  <si>
    <t>14:31:58.418</t>
  </si>
  <si>
    <t>14:32:00.853</t>
  </si>
  <si>
    <t>15:43:19.404</t>
  </si>
  <si>
    <t>15:43:22.538</t>
  </si>
  <si>
    <t>14:52:49.074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</si>
</sst>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EA0E8A-6168-4B93-9D7B-68F56C2C595B}" name="dataReaccion" displayName="dataReaccion" ref="A1:I3114" totalsRowShown="0" headerRowDxfId="2" headerRowBorderDxfId="1" tableBorderDxfId="0">
  <autoFilter ref="A1:I3114" xr:uid="{3DEA0E8A-6168-4B93-9D7B-68F56C2C595B}"/>
  <tableColumns count="9">
    <tableColumn id="1" xr3:uid="{51BE4E9C-362E-4B07-B562-F560FB8B6945}" name="ID"/>
    <tableColumn id="2" xr3:uid="{D404DEB6-0418-4053-A8D1-F45EF22E99A1}" name="Sesion"/>
    <tableColumn id="3" xr3:uid="{AED58A00-C8BD-4119-96DA-FB996605E5CE}" name="Nivel"/>
    <tableColumn id="4" xr3:uid="{16598684-224E-42F6-855A-4C166CE4E3A5}" name="Intento"/>
    <tableColumn id="5" xr3:uid="{6BB3ADE4-3B44-4E8F-8A3C-5C20AD342F6D}" name="Tipo"/>
    <tableColumn id="6" xr3:uid="{43D867CC-06FB-46CD-BAD0-F8549D38E59A}" name="Tiempo inicio"/>
    <tableColumn id="7" xr3:uid="{5B0BAFA4-3E2B-498C-A0CC-431412A48A77}" name="Tiempo respuesta"/>
    <tableColumn id="8" xr3:uid="{C413276C-78D4-4CD3-971C-22539BA6CFAB}" name="Tiempo reaccion(s)"/>
    <tableColumn id="9" xr3:uid="{EF47F643-C2CA-420F-B69D-1D52719CDBAE}" name="Respuest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14"/>
  <sheetViews>
    <sheetView workbookViewId="0">
      <selection activeCell="L12" sqref="L12"/>
    </sheetView>
  </sheetViews>
  <sheetFormatPr baseColWidth="10" defaultColWidth="8.88671875" defaultRowHeight="14.4" x14ac:dyDescent="0.3"/>
  <cols>
    <col min="4" max="4" width="9.109375" customWidth="1"/>
    <col min="6" max="6" width="14.109375" customWidth="1"/>
    <col min="7" max="7" width="17.77734375" customWidth="1"/>
    <col min="8" max="8" width="18.88671875" customWidth="1"/>
    <col min="9" max="9" width="11.441406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</row>
    <row r="2" spans="1:9" x14ac:dyDescent="0.3">
      <c r="A2">
        <v>10</v>
      </c>
      <c r="B2">
        <v>1</v>
      </c>
      <c r="C2">
        <v>1</v>
      </c>
      <c r="D2">
        <v>1</v>
      </c>
      <c r="E2" t="s">
        <v>9</v>
      </c>
      <c r="F2" t="s">
        <v>10</v>
      </c>
      <c r="G2" t="s">
        <v>11</v>
      </c>
      <c r="H2">
        <v>5.1150000000000002</v>
      </c>
      <c r="I2" t="s">
        <v>12</v>
      </c>
    </row>
    <row r="3" spans="1:9" x14ac:dyDescent="0.3">
      <c r="A3">
        <v>10</v>
      </c>
      <c r="B3">
        <v>1</v>
      </c>
      <c r="C3">
        <v>1</v>
      </c>
      <c r="D3">
        <v>2</v>
      </c>
      <c r="E3" t="s">
        <v>9</v>
      </c>
      <c r="F3" t="s">
        <v>13</v>
      </c>
      <c r="G3" t="s">
        <v>14</v>
      </c>
      <c r="H3">
        <v>1.5529999999999999</v>
      </c>
      <c r="I3" t="s">
        <v>12</v>
      </c>
    </row>
    <row r="4" spans="1:9" x14ac:dyDescent="0.3">
      <c r="A4">
        <v>10</v>
      </c>
      <c r="B4">
        <v>1</v>
      </c>
      <c r="C4">
        <v>1</v>
      </c>
      <c r="D4">
        <v>3</v>
      </c>
      <c r="E4" t="s">
        <v>9</v>
      </c>
      <c r="F4" t="s">
        <v>15</v>
      </c>
      <c r="G4" t="s">
        <v>16</v>
      </c>
      <c r="H4">
        <v>3.12</v>
      </c>
      <c r="I4" t="s">
        <v>12</v>
      </c>
    </row>
    <row r="5" spans="1:9" x14ac:dyDescent="0.3">
      <c r="A5">
        <v>10</v>
      </c>
      <c r="B5">
        <v>1</v>
      </c>
      <c r="C5">
        <v>1</v>
      </c>
      <c r="D5">
        <v>3</v>
      </c>
      <c r="E5" t="s">
        <v>9</v>
      </c>
      <c r="F5" t="s">
        <v>17</v>
      </c>
      <c r="G5" t="s">
        <v>18</v>
      </c>
      <c r="H5">
        <v>2.5</v>
      </c>
      <c r="I5" t="s">
        <v>12</v>
      </c>
    </row>
    <row r="6" spans="1:9" x14ac:dyDescent="0.3">
      <c r="A6">
        <v>10</v>
      </c>
      <c r="B6">
        <v>1</v>
      </c>
      <c r="C6">
        <v>1</v>
      </c>
      <c r="D6">
        <v>3</v>
      </c>
      <c r="E6" t="s">
        <v>19</v>
      </c>
      <c r="F6" t="s">
        <v>20</v>
      </c>
      <c r="I6" t="s">
        <v>21</v>
      </c>
    </row>
    <row r="7" spans="1:9" x14ac:dyDescent="0.3">
      <c r="A7">
        <v>10</v>
      </c>
      <c r="B7">
        <v>1</v>
      </c>
      <c r="C7">
        <v>1</v>
      </c>
      <c r="D7">
        <v>3</v>
      </c>
      <c r="E7" t="s">
        <v>22</v>
      </c>
      <c r="F7" t="s">
        <v>23</v>
      </c>
      <c r="G7" t="s">
        <v>24</v>
      </c>
      <c r="H7">
        <v>1.1679999999999999</v>
      </c>
      <c r="I7" t="s">
        <v>21</v>
      </c>
    </row>
    <row r="8" spans="1:9" x14ac:dyDescent="0.3">
      <c r="A8">
        <v>10</v>
      </c>
      <c r="B8">
        <v>1</v>
      </c>
      <c r="C8">
        <v>1</v>
      </c>
      <c r="D8">
        <v>4</v>
      </c>
      <c r="E8" t="s">
        <v>9</v>
      </c>
      <c r="F8" t="s">
        <v>25</v>
      </c>
      <c r="G8" t="s">
        <v>26</v>
      </c>
      <c r="H8">
        <v>2.9260000000000002</v>
      </c>
      <c r="I8" t="s">
        <v>12</v>
      </c>
    </row>
    <row r="9" spans="1:9" x14ac:dyDescent="0.3">
      <c r="A9">
        <v>10</v>
      </c>
      <c r="B9">
        <v>1</v>
      </c>
      <c r="C9">
        <v>1</v>
      </c>
      <c r="D9">
        <v>4</v>
      </c>
      <c r="E9" t="s">
        <v>22</v>
      </c>
      <c r="F9" t="s">
        <v>27</v>
      </c>
      <c r="G9" t="s">
        <v>28</v>
      </c>
      <c r="H9">
        <v>2.1349999999999998</v>
      </c>
      <c r="I9" t="s">
        <v>21</v>
      </c>
    </row>
    <row r="10" spans="1:9" x14ac:dyDescent="0.3">
      <c r="A10">
        <v>10</v>
      </c>
      <c r="B10">
        <v>1</v>
      </c>
      <c r="C10">
        <v>1</v>
      </c>
      <c r="D10">
        <v>4</v>
      </c>
      <c r="E10" t="s">
        <v>22</v>
      </c>
      <c r="F10" t="s">
        <v>29</v>
      </c>
      <c r="G10" t="s">
        <v>30</v>
      </c>
      <c r="H10">
        <v>1.6339999999999999</v>
      </c>
      <c r="I10" t="s">
        <v>21</v>
      </c>
    </row>
    <row r="11" spans="1:9" x14ac:dyDescent="0.3">
      <c r="A11">
        <v>10</v>
      </c>
      <c r="B11">
        <v>1</v>
      </c>
      <c r="C11">
        <v>1</v>
      </c>
      <c r="D11">
        <v>4</v>
      </c>
      <c r="E11" t="s">
        <v>22</v>
      </c>
      <c r="F11" t="s">
        <v>31</v>
      </c>
      <c r="G11" t="s">
        <v>32</v>
      </c>
      <c r="H11">
        <v>2.0339999999999998</v>
      </c>
      <c r="I11" t="s">
        <v>21</v>
      </c>
    </row>
    <row r="12" spans="1:9" x14ac:dyDescent="0.3">
      <c r="A12">
        <v>10</v>
      </c>
      <c r="B12">
        <v>1</v>
      </c>
      <c r="C12">
        <v>1</v>
      </c>
      <c r="D12">
        <v>4</v>
      </c>
      <c r="E12" t="s">
        <v>19</v>
      </c>
      <c r="F12" t="s">
        <v>33</v>
      </c>
      <c r="I12" t="s">
        <v>34</v>
      </c>
    </row>
    <row r="13" spans="1:9" x14ac:dyDescent="0.3">
      <c r="A13">
        <v>10</v>
      </c>
      <c r="B13">
        <v>1</v>
      </c>
      <c r="C13">
        <v>1</v>
      </c>
      <c r="D13">
        <v>4</v>
      </c>
      <c r="E13" t="s">
        <v>22</v>
      </c>
      <c r="F13" t="s">
        <v>35</v>
      </c>
      <c r="G13" t="s">
        <v>36</v>
      </c>
      <c r="H13">
        <v>1.901</v>
      </c>
      <c r="I13" t="s">
        <v>21</v>
      </c>
    </row>
    <row r="14" spans="1:9" x14ac:dyDescent="0.3">
      <c r="A14">
        <v>10</v>
      </c>
      <c r="B14">
        <v>1</v>
      </c>
      <c r="C14">
        <v>1</v>
      </c>
      <c r="D14">
        <v>5</v>
      </c>
      <c r="E14" t="s">
        <v>22</v>
      </c>
      <c r="F14" t="s">
        <v>37</v>
      </c>
      <c r="G14" t="s">
        <v>38</v>
      </c>
      <c r="H14">
        <v>7.4850000000000003</v>
      </c>
      <c r="I14" t="s">
        <v>21</v>
      </c>
    </row>
    <row r="15" spans="1:9" x14ac:dyDescent="0.3">
      <c r="A15">
        <v>10</v>
      </c>
      <c r="B15">
        <v>1</v>
      </c>
      <c r="C15">
        <v>1</v>
      </c>
      <c r="D15">
        <v>5</v>
      </c>
      <c r="E15" t="s">
        <v>9</v>
      </c>
      <c r="F15" t="s">
        <v>39</v>
      </c>
      <c r="G15" t="s">
        <v>40</v>
      </c>
      <c r="H15">
        <v>3.6619999999999999</v>
      </c>
      <c r="I15" t="s">
        <v>12</v>
      </c>
    </row>
    <row r="16" spans="1:9" x14ac:dyDescent="0.3">
      <c r="A16">
        <v>10</v>
      </c>
      <c r="B16">
        <v>1</v>
      </c>
      <c r="C16">
        <v>1</v>
      </c>
      <c r="D16">
        <v>5</v>
      </c>
      <c r="E16" t="s">
        <v>9</v>
      </c>
      <c r="F16" t="s">
        <v>41</v>
      </c>
      <c r="G16" t="s">
        <v>42</v>
      </c>
      <c r="H16">
        <v>3.6</v>
      </c>
      <c r="I16" t="s">
        <v>12</v>
      </c>
    </row>
    <row r="17" spans="1:9" x14ac:dyDescent="0.3">
      <c r="A17">
        <v>10</v>
      </c>
      <c r="B17">
        <v>1</v>
      </c>
      <c r="C17">
        <v>1</v>
      </c>
      <c r="D17">
        <v>5</v>
      </c>
      <c r="E17" t="s">
        <v>19</v>
      </c>
      <c r="F17" t="s">
        <v>43</v>
      </c>
      <c r="I17" t="s">
        <v>21</v>
      </c>
    </row>
    <row r="18" spans="1:9" x14ac:dyDescent="0.3">
      <c r="A18">
        <v>10</v>
      </c>
      <c r="B18">
        <v>1</v>
      </c>
      <c r="C18">
        <v>1</v>
      </c>
      <c r="D18">
        <v>6</v>
      </c>
      <c r="E18" t="s">
        <v>9</v>
      </c>
      <c r="F18" t="s">
        <v>44</v>
      </c>
      <c r="G18" t="s">
        <v>45</v>
      </c>
      <c r="H18">
        <v>3.82</v>
      </c>
      <c r="I18" t="s">
        <v>12</v>
      </c>
    </row>
    <row r="19" spans="1:9" x14ac:dyDescent="0.3">
      <c r="A19">
        <v>10</v>
      </c>
      <c r="B19">
        <v>1</v>
      </c>
      <c r="C19">
        <v>1</v>
      </c>
      <c r="D19">
        <v>6</v>
      </c>
      <c r="E19" t="s">
        <v>22</v>
      </c>
      <c r="F19" t="s">
        <v>46</v>
      </c>
      <c r="G19" t="s">
        <v>47</v>
      </c>
      <c r="H19">
        <v>6.4630000000000001</v>
      </c>
      <c r="I19" t="s">
        <v>21</v>
      </c>
    </row>
    <row r="20" spans="1:9" x14ac:dyDescent="0.3">
      <c r="A20">
        <v>10</v>
      </c>
      <c r="B20">
        <v>1</v>
      </c>
      <c r="C20">
        <v>1</v>
      </c>
      <c r="D20">
        <v>7</v>
      </c>
      <c r="E20" t="s">
        <v>22</v>
      </c>
      <c r="F20" t="s">
        <v>48</v>
      </c>
      <c r="G20" t="s">
        <v>49</v>
      </c>
      <c r="H20">
        <v>4.7859999999999996</v>
      </c>
      <c r="I20" t="s">
        <v>21</v>
      </c>
    </row>
    <row r="21" spans="1:9" x14ac:dyDescent="0.3">
      <c r="A21">
        <v>10</v>
      </c>
      <c r="B21">
        <v>1</v>
      </c>
      <c r="C21">
        <v>1</v>
      </c>
      <c r="D21">
        <v>7</v>
      </c>
      <c r="E21" t="s">
        <v>22</v>
      </c>
      <c r="F21" t="s">
        <v>50</v>
      </c>
      <c r="G21" t="s">
        <v>51</v>
      </c>
      <c r="H21">
        <v>1.468</v>
      </c>
      <c r="I21" t="s">
        <v>21</v>
      </c>
    </row>
    <row r="22" spans="1:9" x14ac:dyDescent="0.3">
      <c r="A22">
        <v>10</v>
      </c>
      <c r="B22">
        <v>1</v>
      </c>
      <c r="C22">
        <v>1</v>
      </c>
      <c r="D22">
        <v>7</v>
      </c>
      <c r="E22" t="s">
        <v>9</v>
      </c>
      <c r="F22" t="s">
        <v>52</v>
      </c>
      <c r="G22" t="s">
        <v>53</v>
      </c>
      <c r="H22">
        <v>2.2679999999999998</v>
      </c>
      <c r="I22" t="s">
        <v>12</v>
      </c>
    </row>
    <row r="23" spans="1:9" x14ac:dyDescent="0.3">
      <c r="A23">
        <v>10</v>
      </c>
      <c r="B23">
        <v>1</v>
      </c>
      <c r="C23">
        <v>1</v>
      </c>
      <c r="D23">
        <v>7</v>
      </c>
      <c r="E23" t="s">
        <v>19</v>
      </c>
      <c r="F23" t="s">
        <v>54</v>
      </c>
      <c r="I23" t="s">
        <v>34</v>
      </c>
    </row>
    <row r="24" spans="1:9" x14ac:dyDescent="0.3">
      <c r="A24">
        <v>10</v>
      </c>
      <c r="B24">
        <v>1</v>
      </c>
      <c r="C24">
        <v>1</v>
      </c>
      <c r="D24">
        <v>7</v>
      </c>
      <c r="E24" t="s">
        <v>9</v>
      </c>
      <c r="F24" t="s">
        <v>55</v>
      </c>
      <c r="G24" t="s">
        <v>56</v>
      </c>
      <c r="H24">
        <v>4</v>
      </c>
      <c r="I24" t="s">
        <v>12</v>
      </c>
    </row>
    <row r="25" spans="1:9" x14ac:dyDescent="0.3">
      <c r="A25">
        <v>10</v>
      </c>
      <c r="B25">
        <v>1</v>
      </c>
      <c r="C25">
        <v>1</v>
      </c>
      <c r="D25">
        <v>7</v>
      </c>
      <c r="E25" t="s">
        <v>9</v>
      </c>
      <c r="F25" t="s">
        <v>57</v>
      </c>
      <c r="G25" t="s">
        <v>58</v>
      </c>
      <c r="H25">
        <v>4.6669999999999998</v>
      </c>
      <c r="I25" t="s">
        <v>12</v>
      </c>
    </row>
    <row r="26" spans="1:9" x14ac:dyDescent="0.3">
      <c r="A26">
        <v>10</v>
      </c>
      <c r="B26">
        <v>1</v>
      </c>
      <c r="C26">
        <v>1</v>
      </c>
      <c r="D26">
        <v>7</v>
      </c>
      <c r="E26" t="s">
        <v>9</v>
      </c>
      <c r="F26" t="s">
        <v>5355</v>
      </c>
      <c r="G26" t="s">
        <v>5356</v>
      </c>
      <c r="H26">
        <v>3.9940000000000002</v>
      </c>
      <c r="I26" t="s">
        <v>12</v>
      </c>
    </row>
    <row r="27" spans="1:9" x14ac:dyDescent="0.3">
      <c r="A27">
        <v>10</v>
      </c>
      <c r="B27">
        <v>3</v>
      </c>
      <c r="C27">
        <v>1</v>
      </c>
      <c r="D27">
        <v>1</v>
      </c>
      <c r="E27" t="s">
        <v>22</v>
      </c>
      <c r="F27" t="s">
        <v>59</v>
      </c>
      <c r="G27" t="s">
        <v>60</v>
      </c>
      <c r="H27">
        <v>2.3540000000000001</v>
      </c>
      <c r="I27" t="s">
        <v>21</v>
      </c>
    </row>
    <row r="28" spans="1:9" x14ac:dyDescent="0.3">
      <c r="A28">
        <v>10</v>
      </c>
      <c r="B28">
        <v>3</v>
      </c>
      <c r="C28">
        <v>1</v>
      </c>
      <c r="D28">
        <v>1</v>
      </c>
      <c r="E28" t="s">
        <v>9</v>
      </c>
      <c r="F28" t="s">
        <v>61</v>
      </c>
      <c r="G28" t="s">
        <v>62</v>
      </c>
      <c r="H28">
        <v>2</v>
      </c>
      <c r="I28" t="s">
        <v>12</v>
      </c>
    </row>
    <row r="29" spans="1:9" x14ac:dyDescent="0.3">
      <c r="A29">
        <v>10</v>
      </c>
      <c r="B29">
        <v>3</v>
      </c>
      <c r="C29">
        <v>1</v>
      </c>
      <c r="D29">
        <v>1</v>
      </c>
      <c r="E29" t="s">
        <v>9</v>
      </c>
      <c r="F29" t="s">
        <v>63</v>
      </c>
      <c r="G29" t="s">
        <v>64</v>
      </c>
      <c r="H29">
        <v>2.0680000000000001</v>
      </c>
      <c r="I29" t="s">
        <v>12</v>
      </c>
    </row>
    <row r="30" spans="1:9" x14ac:dyDescent="0.3">
      <c r="A30">
        <v>10</v>
      </c>
      <c r="B30">
        <v>3</v>
      </c>
      <c r="C30">
        <v>1</v>
      </c>
      <c r="D30">
        <v>1</v>
      </c>
      <c r="E30" t="s">
        <v>9</v>
      </c>
      <c r="F30" t="s">
        <v>65</v>
      </c>
      <c r="G30" t="s">
        <v>66</v>
      </c>
      <c r="H30">
        <v>2.5009999999999999</v>
      </c>
      <c r="I30" t="s">
        <v>12</v>
      </c>
    </row>
    <row r="31" spans="1:9" x14ac:dyDescent="0.3">
      <c r="A31">
        <v>10</v>
      </c>
      <c r="B31">
        <v>3</v>
      </c>
      <c r="C31">
        <v>1</v>
      </c>
      <c r="D31">
        <v>1</v>
      </c>
      <c r="E31" t="s">
        <v>19</v>
      </c>
      <c r="F31" t="s">
        <v>67</v>
      </c>
      <c r="I31" t="s">
        <v>21</v>
      </c>
    </row>
    <row r="32" spans="1:9" x14ac:dyDescent="0.3">
      <c r="A32">
        <v>10</v>
      </c>
      <c r="B32">
        <v>3</v>
      </c>
      <c r="C32">
        <v>1</v>
      </c>
      <c r="D32">
        <v>1</v>
      </c>
      <c r="E32" t="s">
        <v>9</v>
      </c>
      <c r="F32" t="s">
        <v>68</v>
      </c>
      <c r="G32" t="s">
        <v>69</v>
      </c>
      <c r="H32">
        <v>1.5669999999999999</v>
      </c>
      <c r="I32" t="s">
        <v>12</v>
      </c>
    </row>
    <row r="33" spans="1:9" x14ac:dyDescent="0.3">
      <c r="A33">
        <v>10</v>
      </c>
      <c r="B33">
        <v>3</v>
      </c>
      <c r="C33">
        <v>1</v>
      </c>
      <c r="D33">
        <v>1</v>
      </c>
      <c r="E33" t="s">
        <v>19</v>
      </c>
      <c r="F33" t="s">
        <v>70</v>
      </c>
      <c r="I33" t="s">
        <v>21</v>
      </c>
    </row>
    <row r="34" spans="1:9" x14ac:dyDescent="0.3">
      <c r="A34">
        <v>10</v>
      </c>
      <c r="B34">
        <v>3</v>
      </c>
      <c r="C34">
        <v>1</v>
      </c>
      <c r="D34">
        <v>1</v>
      </c>
      <c r="E34" t="s">
        <v>22</v>
      </c>
      <c r="F34" t="s">
        <v>71</v>
      </c>
      <c r="G34" t="s">
        <v>72</v>
      </c>
      <c r="H34">
        <v>1.7</v>
      </c>
      <c r="I34" t="s">
        <v>21</v>
      </c>
    </row>
    <row r="35" spans="1:9" x14ac:dyDescent="0.3">
      <c r="A35">
        <v>10</v>
      </c>
      <c r="B35">
        <v>3</v>
      </c>
      <c r="C35">
        <v>2</v>
      </c>
      <c r="D35">
        <v>1</v>
      </c>
      <c r="E35" t="s">
        <v>9</v>
      </c>
      <c r="F35" t="s">
        <v>73</v>
      </c>
      <c r="G35" t="s">
        <v>74</v>
      </c>
      <c r="H35">
        <v>1.819</v>
      </c>
      <c r="I35" t="s">
        <v>12</v>
      </c>
    </row>
    <row r="36" spans="1:9" x14ac:dyDescent="0.3">
      <c r="A36">
        <v>10</v>
      </c>
      <c r="B36">
        <v>3</v>
      </c>
      <c r="C36">
        <v>2</v>
      </c>
      <c r="D36">
        <v>1</v>
      </c>
      <c r="E36" t="s">
        <v>19</v>
      </c>
      <c r="F36" t="s">
        <v>75</v>
      </c>
      <c r="I36" t="s">
        <v>21</v>
      </c>
    </row>
    <row r="37" spans="1:9" x14ac:dyDescent="0.3">
      <c r="A37">
        <v>10</v>
      </c>
      <c r="B37">
        <v>3</v>
      </c>
      <c r="C37">
        <v>2</v>
      </c>
      <c r="D37">
        <v>1</v>
      </c>
      <c r="E37" t="s">
        <v>9</v>
      </c>
      <c r="F37" t="s">
        <v>76</v>
      </c>
      <c r="G37" t="s">
        <v>77</v>
      </c>
      <c r="H37">
        <v>2.1669999999999998</v>
      </c>
      <c r="I37" t="s">
        <v>12</v>
      </c>
    </row>
    <row r="38" spans="1:9" x14ac:dyDescent="0.3">
      <c r="A38">
        <v>10</v>
      </c>
      <c r="B38">
        <v>3</v>
      </c>
      <c r="C38">
        <v>2</v>
      </c>
      <c r="D38">
        <v>1</v>
      </c>
      <c r="E38" t="s">
        <v>22</v>
      </c>
      <c r="F38" t="s">
        <v>78</v>
      </c>
      <c r="G38" t="s">
        <v>79</v>
      </c>
      <c r="H38">
        <v>2.5670000000000002</v>
      </c>
      <c r="I38" t="s">
        <v>21</v>
      </c>
    </row>
    <row r="39" spans="1:9" x14ac:dyDescent="0.3">
      <c r="A39">
        <v>10</v>
      </c>
      <c r="B39">
        <v>3</v>
      </c>
      <c r="C39">
        <v>2</v>
      </c>
      <c r="D39">
        <v>1</v>
      </c>
      <c r="E39" t="s">
        <v>9</v>
      </c>
      <c r="F39" t="s">
        <v>80</v>
      </c>
      <c r="H39" t="s">
        <v>81</v>
      </c>
      <c r="I39" t="s">
        <v>34</v>
      </c>
    </row>
    <row r="40" spans="1:9" x14ac:dyDescent="0.3">
      <c r="A40">
        <v>10</v>
      </c>
      <c r="B40">
        <v>3</v>
      </c>
      <c r="C40">
        <v>2</v>
      </c>
      <c r="D40">
        <v>1</v>
      </c>
      <c r="E40" t="s">
        <v>9</v>
      </c>
      <c r="F40" t="s">
        <v>82</v>
      </c>
      <c r="G40" t="s">
        <v>83</v>
      </c>
      <c r="H40">
        <v>2.4670000000000001</v>
      </c>
      <c r="I40" t="s">
        <v>12</v>
      </c>
    </row>
    <row r="41" spans="1:9" x14ac:dyDescent="0.3">
      <c r="A41">
        <v>10</v>
      </c>
      <c r="B41">
        <v>3</v>
      </c>
      <c r="C41">
        <v>2</v>
      </c>
      <c r="D41">
        <v>1</v>
      </c>
      <c r="E41" t="s">
        <v>19</v>
      </c>
      <c r="F41" t="s">
        <v>84</v>
      </c>
      <c r="I41" t="s">
        <v>21</v>
      </c>
    </row>
    <row r="42" spans="1:9" x14ac:dyDescent="0.3">
      <c r="A42">
        <v>10</v>
      </c>
      <c r="B42">
        <v>3</v>
      </c>
      <c r="C42">
        <v>2</v>
      </c>
      <c r="D42">
        <v>1</v>
      </c>
      <c r="E42" t="s">
        <v>22</v>
      </c>
      <c r="F42" t="s">
        <v>85</v>
      </c>
      <c r="G42" t="s">
        <v>86</v>
      </c>
      <c r="H42">
        <v>2.7679999999999998</v>
      </c>
      <c r="I42" t="s">
        <v>21</v>
      </c>
    </row>
    <row r="43" spans="1:9" x14ac:dyDescent="0.3">
      <c r="A43">
        <v>10</v>
      </c>
      <c r="B43">
        <v>3</v>
      </c>
      <c r="C43">
        <v>3</v>
      </c>
      <c r="D43">
        <v>1</v>
      </c>
      <c r="E43" t="s">
        <v>9</v>
      </c>
      <c r="F43" t="s">
        <v>87</v>
      </c>
      <c r="G43" t="s">
        <v>88</v>
      </c>
      <c r="H43">
        <v>2.1850000000000001</v>
      </c>
      <c r="I43" t="s">
        <v>12</v>
      </c>
    </row>
    <row r="44" spans="1:9" x14ac:dyDescent="0.3">
      <c r="A44">
        <v>10</v>
      </c>
      <c r="B44">
        <v>3</v>
      </c>
      <c r="C44">
        <v>3</v>
      </c>
      <c r="D44">
        <v>1</v>
      </c>
      <c r="E44" t="s">
        <v>9</v>
      </c>
      <c r="F44" t="s">
        <v>89</v>
      </c>
      <c r="G44" t="s">
        <v>90</v>
      </c>
      <c r="H44">
        <v>2.1669999999999998</v>
      </c>
      <c r="I44" t="s">
        <v>12</v>
      </c>
    </row>
    <row r="45" spans="1:9" x14ac:dyDescent="0.3">
      <c r="A45">
        <v>10</v>
      </c>
      <c r="B45">
        <v>3</v>
      </c>
      <c r="C45">
        <v>3</v>
      </c>
      <c r="D45">
        <v>1</v>
      </c>
      <c r="E45" t="s">
        <v>22</v>
      </c>
      <c r="F45" t="s">
        <v>91</v>
      </c>
      <c r="H45" t="s">
        <v>81</v>
      </c>
      <c r="I45" t="s">
        <v>34</v>
      </c>
    </row>
    <row r="46" spans="1:9" x14ac:dyDescent="0.3">
      <c r="A46">
        <v>10</v>
      </c>
      <c r="B46">
        <v>3</v>
      </c>
      <c r="C46">
        <v>3</v>
      </c>
      <c r="D46">
        <v>1</v>
      </c>
      <c r="E46" t="s">
        <v>9</v>
      </c>
      <c r="F46" t="s">
        <v>92</v>
      </c>
      <c r="G46" t="s">
        <v>93</v>
      </c>
      <c r="H46">
        <v>2.9009999999999998</v>
      </c>
      <c r="I46" t="s">
        <v>12</v>
      </c>
    </row>
    <row r="47" spans="1:9" x14ac:dyDescent="0.3">
      <c r="A47">
        <v>10</v>
      </c>
      <c r="B47">
        <v>3</v>
      </c>
      <c r="C47">
        <v>3</v>
      </c>
      <c r="D47">
        <v>2</v>
      </c>
      <c r="E47" t="s">
        <v>9</v>
      </c>
      <c r="F47" t="s">
        <v>94</v>
      </c>
      <c r="G47" t="s">
        <v>95</v>
      </c>
      <c r="H47">
        <v>3.0510000000000002</v>
      </c>
      <c r="I47" t="s">
        <v>12</v>
      </c>
    </row>
    <row r="48" spans="1:9" x14ac:dyDescent="0.3">
      <c r="A48">
        <v>10</v>
      </c>
      <c r="B48">
        <v>3</v>
      </c>
      <c r="C48">
        <v>3</v>
      </c>
      <c r="D48">
        <v>2</v>
      </c>
      <c r="E48" t="s">
        <v>9</v>
      </c>
      <c r="F48" t="s">
        <v>96</v>
      </c>
      <c r="G48" t="s">
        <v>97</v>
      </c>
      <c r="H48">
        <v>2.6680000000000001</v>
      </c>
      <c r="I48" t="s">
        <v>12</v>
      </c>
    </row>
    <row r="49" spans="1:9" x14ac:dyDescent="0.3">
      <c r="A49">
        <v>10</v>
      </c>
      <c r="B49">
        <v>3</v>
      </c>
      <c r="C49">
        <v>3</v>
      </c>
      <c r="D49">
        <v>3</v>
      </c>
      <c r="E49" t="s">
        <v>9</v>
      </c>
      <c r="F49" t="s">
        <v>98</v>
      </c>
      <c r="G49" t="s">
        <v>99</v>
      </c>
      <c r="H49">
        <v>1.7509999999999999</v>
      </c>
      <c r="I49" t="s">
        <v>12</v>
      </c>
    </row>
    <row r="50" spans="1:9" x14ac:dyDescent="0.3">
      <c r="A50">
        <v>10</v>
      </c>
      <c r="B50">
        <v>3</v>
      </c>
      <c r="C50">
        <v>3</v>
      </c>
      <c r="D50">
        <v>3</v>
      </c>
      <c r="E50" t="s">
        <v>9</v>
      </c>
      <c r="F50" t="s">
        <v>100</v>
      </c>
      <c r="G50" t="s">
        <v>101</v>
      </c>
      <c r="H50">
        <v>1.5349999999999999</v>
      </c>
      <c r="I50" t="s">
        <v>12</v>
      </c>
    </row>
    <row r="51" spans="1:9" x14ac:dyDescent="0.3">
      <c r="A51">
        <v>10</v>
      </c>
      <c r="B51">
        <v>3</v>
      </c>
      <c r="C51">
        <v>3</v>
      </c>
      <c r="D51">
        <v>3</v>
      </c>
      <c r="E51" t="s">
        <v>22</v>
      </c>
      <c r="F51" t="s">
        <v>102</v>
      </c>
      <c r="G51" t="s">
        <v>103</v>
      </c>
      <c r="H51">
        <v>1.734</v>
      </c>
      <c r="I51" t="s">
        <v>21</v>
      </c>
    </row>
    <row r="52" spans="1:9" x14ac:dyDescent="0.3">
      <c r="A52">
        <v>10</v>
      </c>
      <c r="B52">
        <v>3</v>
      </c>
      <c r="C52">
        <v>3</v>
      </c>
      <c r="D52">
        <v>3</v>
      </c>
      <c r="E52" t="s">
        <v>9</v>
      </c>
      <c r="F52" t="s">
        <v>104</v>
      </c>
      <c r="G52" t="s">
        <v>105</v>
      </c>
      <c r="H52">
        <v>1.601</v>
      </c>
      <c r="I52" t="s">
        <v>12</v>
      </c>
    </row>
    <row r="53" spans="1:9" x14ac:dyDescent="0.3">
      <c r="A53">
        <v>10</v>
      </c>
      <c r="B53">
        <v>3</v>
      </c>
      <c r="C53">
        <v>3</v>
      </c>
      <c r="D53">
        <v>3</v>
      </c>
      <c r="E53" t="s">
        <v>19</v>
      </c>
      <c r="F53" t="s">
        <v>106</v>
      </c>
      <c r="I53" t="s">
        <v>21</v>
      </c>
    </row>
    <row r="54" spans="1:9" x14ac:dyDescent="0.3">
      <c r="A54">
        <v>10</v>
      </c>
      <c r="B54">
        <v>3</v>
      </c>
      <c r="C54">
        <v>3</v>
      </c>
      <c r="D54">
        <v>3</v>
      </c>
      <c r="E54" t="s">
        <v>9</v>
      </c>
      <c r="F54" t="s">
        <v>107</v>
      </c>
      <c r="G54" t="s">
        <v>108</v>
      </c>
      <c r="H54">
        <v>2.4340000000000002</v>
      </c>
      <c r="I54" t="s">
        <v>12</v>
      </c>
    </row>
    <row r="55" spans="1:9" x14ac:dyDescent="0.3">
      <c r="A55">
        <v>10</v>
      </c>
      <c r="B55">
        <v>3</v>
      </c>
      <c r="C55">
        <v>3</v>
      </c>
      <c r="D55">
        <v>3</v>
      </c>
      <c r="E55" t="s">
        <v>22</v>
      </c>
      <c r="F55" t="s">
        <v>109</v>
      </c>
      <c r="G55" t="s">
        <v>110</v>
      </c>
      <c r="H55">
        <v>1.601</v>
      </c>
      <c r="I55" t="s">
        <v>21</v>
      </c>
    </row>
    <row r="56" spans="1:9" x14ac:dyDescent="0.3">
      <c r="A56">
        <v>10</v>
      </c>
      <c r="B56">
        <v>3</v>
      </c>
      <c r="C56">
        <v>3</v>
      </c>
      <c r="D56">
        <v>3</v>
      </c>
      <c r="E56" t="s">
        <v>19</v>
      </c>
      <c r="F56" t="s">
        <v>111</v>
      </c>
      <c r="I56" t="s">
        <v>34</v>
      </c>
    </row>
    <row r="57" spans="1:9" x14ac:dyDescent="0.3">
      <c r="A57">
        <v>10</v>
      </c>
      <c r="B57">
        <v>3</v>
      </c>
      <c r="C57">
        <v>3</v>
      </c>
      <c r="D57">
        <v>4</v>
      </c>
      <c r="E57" t="s">
        <v>22</v>
      </c>
      <c r="F57" t="s">
        <v>112</v>
      </c>
      <c r="G57" t="s">
        <v>113</v>
      </c>
      <c r="H57">
        <v>3.085</v>
      </c>
      <c r="I57" t="s">
        <v>21</v>
      </c>
    </row>
    <row r="58" spans="1:9" x14ac:dyDescent="0.3">
      <c r="A58">
        <v>10</v>
      </c>
      <c r="B58">
        <v>3</v>
      </c>
      <c r="C58">
        <v>3</v>
      </c>
      <c r="D58">
        <v>4</v>
      </c>
      <c r="E58" t="s">
        <v>22</v>
      </c>
      <c r="F58" t="s">
        <v>114</v>
      </c>
      <c r="G58" t="s">
        <v>115</v>
      </c>
      <c r="H58">
        <v>1.3009999999999999</v>
      </c>
      <c r="I58" t="s">
        <v>21</v>
      </c>
    </row>
    <row r="59" spans="1:9" x14ac:dyDescent="0.3">
      <c r="A59">
        <v>10</v>
      </c>
      <c r="B59">
        <v>3</v>
      </c>
      <c r="C59">
        <v>3</v>
      </c>
      <c r="D59">
        <v>4</v>
      </c>
      <c r="E59" t="s">
        <v>19</v>
      </c>
      <c r="F59" t="s">
        <v>116</v>
      </c>
      <c r="I59" t="s">
        <v>21</v>
      </c>
    </row>
    <row r="60" spans="1:9" x14ac:dyDescent="0.3">
      <c r="A60">
        <v>10</v>
      </c>
      <c r="B60">
        <v>3</v>
      </c>
      <c r="C60">
        <v>3</v>
      </c>
      <c r="D60">
        <v>4</v>
      </c>
      <c r="E60" t="s">
        <v>9</v>
      </c>
      <c r="F60" t="s">
        <v>117</v>
      </c>
      <c r="G60" t="s">
        <v>118</v>
      </c>
      <c r="H60">
        <v>2.1</v>
      </c>
      <c r="I60" t="s">
        <v>12</v>
      </c>
    </row>
    <row r="61" spans="1:9" x14ac:dyDescent="0.3">
      <c r="A61">
        <v>10</v>
      </c>
      <c r="B61">
        <v>3</v>
      </c>
      <c r="C61">
        <v>3</v>
      </c>
      <c r="D61">
        <v>4</v>
      </c>
      <c r="E61" t="s">
        <v>9</v>
      </c>
      <c r="F61" t="s">
        <v>119</v>
      </c>
      <c r="G61" t="s">
        <v>120</v>
      </c>
      <c r="H61">
        <v>1.5009999999999999</v>
      </c>
      <c r="I61" t="s">
        <v>12</v>
      </c>
    </row>
    <row r="62" spans="1:9" x14ac:dyDescent="0.3">
      <c r="A62">
        <v>10</v>
      </c>
      <c r="B62">
        <v>3</v>
      </c>
      <c r="C62">
        <v>3</v>
      </c>
      <c r="D62">
        <v>4</v>
      </c>
      <c r="E62" t="s">
        <v>9</v>
      </c>
      <c r="F62" t="s">
        <v>121</v>
      </c>
      <c r="G62" t="s">
        <v>122</v>
      </c>
      <c r="H62">
        <v>1.034</v>
      </c>
      <c r="I62" t="s">
        <v>12</v>
      </c>
    </row>
    <row r="63" spans="1:9" x14ac:dyDescent="0.3">
      <c r="A63">
        <v>10</v>
      </c>
      <c r="B63">
        <v>3</v>
      </c>
      <c r="C63">
        <v>3</v>
      </c>
      <c r="D63">
        <v>4</v>
      </c>
      <c r="E63" t="s">
        <v>9</v>
      </c>
      <c r="F63" t="s">
        <v>123</v>
      </c>
      <c r="G63" t="s">
        <v>124</v>
      </c>
      <c r="H63">
        <v>2.1339999999999999</v>
      </c>
      <c r="I63" t="s">
        <v>12</v>
      </c>
    </row>
    <row r="64" spans="1:9" x14ac:dyDescent="0.3">
      <c r="A64">
        <v>10</v>
      </c>
      <c r="B64">
        <v>3</v>
      </c>
      <c r="C64">
        <v>3</v>
      </c>
      <c r="D64">
        <v>4</v>
      </c>
      <c r="E64" t="s">
        <v>19</v>
      </c>
      <c r="F64" t="s">
        <v>125</v>
      </c>
      <c r="I64" t="s">
        <v>21</v>
      </c>
    </row>
    <row r="65" spans="1:9" x14ac:dyDescent="0.3">
      <c r="A65">
        <v>11</v>
      </c>
      <c r="B65">
        <v>1</v>
      </c>
      <c r="C65">
        <v>1</v>
      </c>
      <c r="D65">
        <v>1</v>
      </c>
      <c r="E65" t="s">
        <v>9</v>
      </c>
      <c r="F65" t="s">
        <v>126</v>
      </c>
      <c r="G65" t="s">
        <v>127</v>
      </c>
      <c r="H65">
        <v>3.613</v>
      </c>
      <c r="I65" t="s">
        <v>12</v>
      </c>
    </row>
    <row r="66" spans="1:9" x14ac:dyDescent="0.3">
      <c r="A66">
        <v>11</v>
      </c>
      <c r="B66">
        <v>1</v>
      </c>
      <c r="C66">
        <v>1</v>
      </c>
      <c r="D66">
        <v>2</v>
      </c>
      <c r="E66" t="s">
        <v>9</v>
      </c>
      <c r="F66" t="s">
        <v>128</v>
      </c>
      <c r="G66" t="s">
        <v>129</v>
      </c>
      <c r="H66">
        <v>2.552</v>
      </c>
      <c r="I66" t="s">
        <v>12</v>
      </c>
    </row>
    <row r="67" spans="1:9" x14ac:dyDescent="0.3">
      <c r="A67">
        <v>11</v>
      </c>
      <c r="B67">
        <v>1</v>
      </c>
      <c r="C67">
        <v>1</v>
      </c>
      <c r="D67">
        <v>4</v>
      </c>
      <c r="E67" t="s">
        <v>22</v>
      </c>
      <c r="F67" t="s">
        <v>130</v>
      </c>
      <c r="G67" t="s">
        <v>131</v>
      </c>
      <c r="H67">
        <v>5.2859999999999996</v>
      </c>
      <c r="I67" t="s">
        <v>21</v>
      </c>
    </row>
    <row r="68" spans="1:9" x14ac:dyDescent="0.3">
      <c r="A68">
        <v>11</v>
      </c>
      <c r="B68">
        <v>1</v>
      </c>
      <c r="C68">
        <v>1</v>
      </c>
      <c r="D68">
        <v>4</v>
      </c>
      <c r="E68" t="s">
        <v>22</v>
      </c>
      <c r="F68" t="s">
        <v>132</v>
      </c>
      <c r="G68" t="s">
        <v>133</v>
      </c>
      <c r="H68">
        <v>2.754</v>
      </c>
      <c r="I68" t="s">
        <v>34</v>
      </c>
    </row>
    <row r="69" spans="1:9" x14ac:dyDescent="0.3">
      <c r="A69">
        <v>11</v>
      </c>
      <c r="B69">
        <v>1</v>
      </c>
      <c r="C69">
        <v>1</v>
      </c>
      <c r="D69">
        <v>5</v>
      </c>
      <c r="E69" t="s">
        <v>22</v>
      </c>
      <c r="F69" t="s">
        <v>134</v>
      </c>
      <c r="G69" t="s">
        <v>135</v>
      </c>
      <c r="H69">
        <v>1.72</v>
      </c>
      <c r="I69" t="s">
        <v>21</v>
      </c>
    </row>
    <row r="70" spans="1:9" x14ac:dyDescent="0.3">
      <c r="A70">
        <v>11</v>
      </c>
      <c r="B70">
        <v>1</v>
      </c>
      <c r="C70">
        <v>1</v>
      </c>
      <c r="D70">
        <v>5</v>
      </c>
      <c r="E70" t="s">
        <v>22</v>
      </c>
      <c r="F70" t="s">
        <v>136</v>
      </c>
      <c r="G70" t="s">
        <v>137</v>
      </c>
      <c r="H70">
        <v>1.3009999999999999</v>
      </c>
      <c r="I70" t="s">
        <v>21</v>
      </c>
    </row>
    <row r="71" spans="1:9" x14ac:dyDescent="0.3">
      <c r="A71">
        <v>11</v>
      </c>
      <c r="B71">
        <v>1</v>
      </c>
      <c r="C71">
        <v>1</v>
      </c>
      <c r="D71">
        <v>5</v>
      </c>
      <c r="E71" t="s">
        <v>9</v>
      </c>
      <c r="F71" t="s">
        <v>138</v>
      </c>
      <c r="G71" t="s">
        <v>139</v>
      </c>
      <c r="H71">
        <v>2.968</v>
      </c>
      <c r="I71" t="s">
        <v>12</v>
      </c>
    </row>
    <row r="72" spans="1:9" x14ac:dyDescent="0.3">
      <c r="A72">
        <v>11</v>
      </c>
      <c r="B72">
        <v>1</v>
      </c>
      <c r="C72">
        <v>1</v>
      </c>
      <c r="D72">
        <v>5</v>
      </c>
      <c r="E72" t="s">
        <v>9</v>
      </c>
      <c r="F72" t="s">
        <v>140</v>
      </c>
      <c r="G72" t="s">
        <v>141</v>
      </c>
      <c r="H72">
        <v>2.6669999999999998</v>
      </c>
      <c r="I72" t="s">
        <v>12</v>
      </c>
    </row>
    <row r="73" spans="1:9" x14ac:dyDescent="0.3">
      <c r="A73">
        <v>11</v>
      </c>
      <c r="B73">
        <v>1</v>
      </c>
      <c r="C73">
        <v>1</v>
      </c>
      <c r="D73">
        <v>5</v>
      </c>
      <c r="E73" t="s">
        <v>19</v>
      </c>
      <c r="F73" t="s">
        <v>142</v>
      </c>
      <c r="I73" t="s">
        <v>34</v>
      </c>
    </row>
    <row r="74" spans="1:9" x14ac:dyDescent="0.3">
      <c r="A74">
        <v>11</v>
      </c>
      <c r="B74">
        <v>1</v>
      </c>
      <c r="C74">
        <v>1</v>
      </c>
      <c r="D74">
        <v>5</v>
      </c>
      <c r="E74" t="s">
        <v>9</v>
      </c>
      <c r="F74" t="s">
        <v>143</v>
      </c>
      <c r="G74" t="s">
        <v>144</v>
      </c>
      <c r="H74">
        <v>1.8009999999999999</v>
      </c>
      <c r="I74" t="s">
        <v>12</v>
      </c>
    </row>
    <row r="75" spans="1:9" x14ac:dyDescent="0.3">
      <c r="A75">
        <v>11</v>
      </c>
      <c r="B75">
        <v>1</v>
      </c>
      <c r="C75">
        <v>1</v>
      </c>
      <c r="D75">
        <v>5</v>
      </c>
      <c r="E75" t="s">
        <v>9</v>
      </c>
      <c r="F75" t="s">
        <v>145</v>
      </c>
      <c r="G75" t="s">
        <v>146</v>
      </c>
      <c r="H75">
        <v>1.468</v>
      </c>
      <c r="I75" t="s">
        <v>12</v>
      </c>
    </row>
    <row r="76" spans="1:9" x14ac:dyDescent="0.3">
      <c r="A76">
        <v>11</v>
      </c>
      <c r="B76">
        <v>1</v>
      </c>
      <c r="C76">
        <v>1</v>
      </c>
      <c r="D76">
        <v>5</v>
      </c>
      <c r="E76" t="s">
        <v>19</v>
      </c>
      <c r="F76" t="s">
        <v>147</v>
      </c>
      <c r="I76" t="s">
        <v>21</v>
      </c>
    </row>
    <row r="77" spans="1:9" x14ac:dyDescent="0.3">
      <c r="A77">
        <v>11</v>
      </c>
      <c r="B77">
        <v>1</v>
      </c>
      <c r="C77">
        <v>1</v>
      </c>
      <c r="D77">
        <v>6</v>
      </c>
      <c r="E77" t="s">
        <v>22</v>
      </c>
      <c r="F77" t="s">
        <v>148</v>
      </c>
      <c r="G77" t="s">
        <v>149</v>
      </c>
      <c r="H77">
        <v>2.3519999999999999</v>
      </c>
      <c r="I77" t="s">
        <v>21</v>
      </c>
    </row>
    <row r="78" spans="1:9" x14ac:dyDescent="0.3">
      <c r="A78">
        <v>11</v>
      </c>
      <c r="B78">
        <v>1</v>
      </c>
      <c r="C78">
        <v>1</v>
      </c>
      <c r="D78">
        <v>6</v>
      </c>
      <c r="E78" t="s">
        <v>22</v>
      </c>
      <c r="F78" t="s">
        <v>150</v>
      </c>
      <c r="G78" t="s">
        <v>151</v>
      </c>
      <c r="H78">
        <v>1.3340000000000001</v>
      </c>
      <c r="I78" t="s">
        <v>21</v>
      </c>
    </row>
    <row r="79" spans="1:9" x14ac:dyDescent="0.3">
      <c r="A79">
        <v>11</v>
      </c>
      <c r="B79">
        <v>1</v>
      </c>
      <c r="C79">
        <v>1</v>
      </c>
      <c r="D79">
        <v>6</v>
      </c>
      <c r="E79" t="s">
        <v>9</v>
      </c>
      <c r="F79" t="s">
        <v>152</v>
      </c>
      <c r="G79" t="s">
        <v>153</v>
      </c>
      <c r="H79">
        <v>1.635</v>
      </c>
      <c r="I79" t="s">
        <v>12</v>
      </c>
    </row>
    <row r="80" spans="1:9" x14ac:dyDescent="0.3">
      <c r="A80">
        <v>11</v>
      </c>
      <c r="B80">
        <v>1</v>
      </c>
      <c r="C80">
        <v>1</v>
      </c>
      <c r="D80">
        <v>6</v>
      </c>
      <c r="E80" t="s">
        <v>19</v>
      </c>
      <c r="F80" t="s">
        <v>154</v>
      </c>
      <c r="I80" t="s">
        <v>21</v>
      </c>
    </row>
    <row r="81" spans="1:9" x14ac:dyDescent="0.3">
      <c r="A81">
        <v>11</v>
      </c>
      <c r="B81">
        <v>1</v>
      </c>
      <c r="C81">
        <v>1</v>
      </c>
      <c r="D81">
        <v>6</v>
      </c>
      <c r="E81" t="s">
        <v>9</v>
      </c>
      <c r="F81" t="s">
        <v>155</v>
      </c>
      <c r="G81" t="s">
        <v>156</v>
      </c>
      <c r="H81">
        <v>1.7010000000000001</v>
      </c>
      <c r="I81" t="s">
        <v>12</v>
      </c>
    </row>
    <row r="82" spans="1:9" x14ac:dyDescent="0.3">
      <c r="A82">
        <v>11</v>
      </c>
      <c r="B82">
        <v>1</v>
      </c>
      <c r="C82">
        <v>1</v>
      </c>
      <c r="D82">
        <v>6</v>
      </c>
      <c r="E82" t="s">
        <v>9</v>
      </c>
      <c r="F82" t="s">
        <v>157</v>
      </c>
      <c r="G82" t="s">
        <v>158</v>
      </c>
      <c r="H82">
        <v>1.4670000000000001</v>
      </c>
      <c r="I82" t="s">
        <v>12</v>
      </c>
    </row>
    <row r="83" spans="1:9" x14ac:dyDescent="0.3">
      <c r="A83">
        <v>11</v>
      </c>
      <c r="B83">
        <v>1</v>
      </c>
      <c r="C83">
        <v>1</v>
      </c>
      <c r="D83">
        <v>6</v>
      </c>
      <c r="E83" t="s">
        <v>9</v>
      </c>
      <c r="F83" t="s">
        <v>159</v>
      </c>
      <c r="G83" t="s">
        <v>160</v>
      </c>
      <c r="H83">
        <v>1.4670000000000001</v>
      </c>
      <c r="I83" t="s">
        <v>12</v>
      </c>
    </row>
    <row r="84" spans="1:9" x14ac:dyDescent="0.3">
      <c r="A84">
        <v>11</v>
      </c>
      <c r="B84">
        <v>1</v>
      </c>
      <c r="C84">
        <v>1</v>
      </c>
      <c r="D84">
        <v>6</v>
      </c>
      <c r="E84" t="s">
        <v>19</v>
      </c>
      <c r="F84" t="s">
        <v>161</v>
      </c>
      <c r="I84" t="s">
        <v>21</v>
      </c>
    </row>
    <row r="85" spans="1:9" x14ac:dyDescent="0.3">
      <c r="A85">
        <v>11</v>
      </c>
      <c r="B85">
        <v>1</v>
      </c>
      <c r="C85">
        <v>2</v>
      </c>
      <c r="D85">
        <v>1</v>
      </c>
      <c r="E85" t="s">
        <v>9</v>
      </c>
      <c r="F85" t="s">
        <v>162</v>
      </c>
      <c r="G85" t="s">
        <v>163</v>
      </c>
      <c r="H85">
        <v>1.8520000000000001</v>
      </c>
      <c r="I85" t="s">
        <v>12</v>
      </c>
    </row>
    <row r="86" spans="1:9" x14ac:dyDescent="0.3">
      <c r="A86">
        <v>11</v>
      </c>
      <c r="B86">
        <v>1</v>
      </c>
      <c r="C86">
        <v>2</v>
      </c>
      <c r="D86">
        <v>1</v>
      </c>
      <c r="E86" t="s">
        <v>9</v>
      </c>
      <c r="F86" t="s">
        <v>164</v>
      </c>
      <c r="G86" t="s">
        <v>165</v>
      </c>
      <c r="H86">
        <v>2.0680000000000001</v>
      </c>
      <c r="I86" t="s">
        <v>12</v>
      </c>
    </row>
    <row r="87" spans="1:9" x14ac:dyDescent="0.3">
      <c r="A87">
        <v>11</v>
      </c>
      <c r="B87">
        <v>1</v>
      </c>
      <c r="C87">
        <v>2</v>
      </c>
      <c r="D87">
        <v>1</v>
      </c>
      <c r="E87" t="s">
        <v>22</v>
      </c>
      <c r="F87" t="s">
        <v>166</v>
      </c>
      <c r="G87" t="s">
        <v>167</v>
      </c>
      <c r="H87">
        <v>1.4330000000000001</v>
      </c>
      <c r="I87" t="s">
        <v>21</v>
      </c>
    </row>
    <row r="88" spans="1:9" x14ac:dyDescent="0.3">
      <c r="A88">
        <v>11</v>
      </c>
      <c r="B88">
        <v>1</v>
      </c>
      <c r="C88">
        <v>2</v>
      </c>
      <c r="D88">
        <v>1</v>
      </c>
      <c r="E88" t="s">
        <v>22</v>
      </c>
      <c r="F88" t="s">
        <v>168</v>
      </c>
      <c r="G88" t="s">
        <v>169</v>
      </c>
      <c r="H88">
        <v>2.5339999999999998</v>
      </c>
      <c r="I88" t="s">
        <v>21</v>
      </c>
    </row>
    <row r="89" spans="1:9" x14ac:dyDescent="0.3">
      <c r="A89">
        <v>11</v>
      </c>
      <c r="B89">
        <v>1</v>
      </c>
      <c r="C89">
        <v>2</v>
      </c>
      <c r="D89">
        <v>1</v>
      </c>
      <c r="E89" t="s">
        <v>19</v>
      </c>
      <c r="F89" t="s">
        <v>170</v>
      </c>
      <c r="I89" t="s">
        <v>34</v>
      </c>
    </row>
    <row r="90" spans="1:9" x14ac:dyDescent="0.3">
      <c r="A90">
        <v>11</v>
      </c>
      <c r="B90">
        <v>1</v>
      </c>
      <c r="C90">
        <v>2</v>
      </c>
      <c r="D90">
        <v>1</v>
      </c>
      <c r="E90" t="s">
        <v>9</v>
      </c>
      <c r="F90" t="s">
        <v>171</v>
      </c>
      <c r="G90" t="s">
        <v>172</v>
      </c>
      <c r="H90">
        <v>2.2530000000000001</v>
      </c>
      <c r="I90" t="s">
        <v>12</v>
      </c>
    </row>
    <row r="91" spans="1:9" x14ac:dyDescent="0.3">
      <c r="A91">
        <v>11</v>
      </c>
      <c r="B91">
        <v>1</v>
      </c>
      <c r="C91">
        <v>2</v>
      </c>
      <c r="D91">
        <v>2</v>
      </c>
      <c r="E91" t="s">
        <v>9</v>
      </c>
      <c r="F91" t="s">
        <v>173</v>
      </c>
      <c r="G91" t="s">
        <v>174</v>
      </c>
      <c r="H91">
        <v>2.0529999999999999</v>
      </c>
      <c r="I91" t="s">
        <v>12</v>
      </c>
    </row>
    <row r="92" spans="1:9" x14ac:dyDescent="0.3">
      <c r="A92">
        <v>11</v>
      </c>
      <c r="B92">
        <v>1</v>
      </c>
      <c r="C92">
        <v>2</v>
      </c>
      <c r="D92">
        <v>2</v>
      </c>
      <c r="E92" t="s">
        <v>19</v>
      </c>
      <c r="F92" t="s">
        <v>175</v>
      </c>
      <c r="I92" t="s">
        <v>21</v>
      </c>
    </row>
    <row r="93" spans="1:9" x14ac:dyDescent="0.3">
      <c r="A93">
        <v>11</v>
      </c>
      <c r="B93">
        <v>1</v>
      </c>
      <c r="C93">
        <v>2</v>
      </c>
      <c r="D93">
        <v>2</v>
      </c>
      <c r="E93" t="s">
        <v>9</v>
      </c>
      <c r="F93" t="s">
        <v>176</v>
      </c>
      <c r="G93" t="s">
        <v>177</v>
      </c>
      <c r="H93">
        <v>2.0019999999999998</v>
      </c>
      <c r="I93" t="s">
        <v>12</v>
      </c>
    </row>
    <row r="94" spans="1:9" x14ac:dyDescent="0.3">
      <c r="A94">
        <v>11</v>
      </c>
      <c r="B94">
        <v>1</v>
      </c>
      <c r="C94">
        <v>2</v>
      </c>
      <c r="D94">
        <v>2</v>
      </c>
      <c r="E94" t="s">
        <v>22</v>
      </c>
      <c r="F94" t="s">
        <v>178</v>
      </c>
      <c r="G94" t="s">
        <v>179</v>
      </c>
      <c r="H94">
        <v>1.0349999999999999</v>
      </c>
      <c r="I94" t="s">
        <v>21</v>
      </c>
    </row>
    <row r="95" spans="1:9" x14ac:dyDescent="0.3">
      <c r="A95">
        <v>11</v>
      </c>
      <c r="B95">
        <v>1</v>
      </c>
      <c r="C95">
        <v>2</v>
      </c>
      <c r="D95">
        <v>2</v>
      </c>
      <c r="E95" t="s">
        <v>22</v>
      </c>
      <c r="F95" t="s">
        <v>180</v>
      </c>
      <c r="G95" t="s">
        <v>181</v>
      </c>
      <c r="H95">
        <v>1.0669999999999999</v>
      </c>
      <c r="I95" t="s">
        <v>21</v>
      </c>
    </row>
    <row r="96" spans="1:9" x14ac:dyDescent="0.3">
      <c r="A96">
        <v>11</v>
      </c>
      <c r="B96">
        <v>1</v>
      </c>
      <c r="C96">
        <v>2</v>
      </c>
      <c r="D96">
        <v>2</v>
      </c>
      <c r="E96" t="s">
        <v>9</v>
      </c>
      <c r="F96" t="s">
        <v>182</v>
      </c>
      <c r="G96" t="s">
        <v>183</v>
      </c>
      <c r="H96">
        <v>2.5190000000000001</v>
      </c>
      <c r="I96" t="s">
        <v>12</v>
      </c>
    </row>
    <row r="97" spans="1:9" x14ac:dyDescent="0.3">
      <c r="A97">
        <v>11</v>
      </c>
      <c r="B97">
        <v>1</v>
      </c>
      <c r="C97">
        <v>2</v>
      </c>
      <c r="D97">
        <v>3</v>
      </c>
      <c r="E97" t="s">
        <v>9</v>
      </c>
      <c r="F97" t="s">
        <v>184</v>
      </c>
      <c r="G97" t="s">
        <v>185</v>
      </c>
      <c r="H97">
        <v>1.72</v>
      </c>
      <c r="I97" t="s">
        <v>12</v>
      </c>
    </row>
    <row r="98" spans="1:9" x14ac:dyDescent="0.3">
      <c r="A98">
        <v>11</v>
      </c>
      <c r="B98">
        <v>1</v>
      </c>
      <c r="C98">
        <v>2</v>
      </c>
      <c r="D98">
        <v>3</v>
      </c>
      <c r="E98" t="s">
        <v>19</v>
      </c>
      <c r="F98" t="s">
        <v>186</v>
      </c>
      <c r="I98" t="s">
        <v>21</v>
      </c>
    </row>
    <row r="99" spans="1:9" x14ac:dyDescent="0.3">
      <c r="A99">
        <v>11</v>
      </c>
      <c r="B99">
        <v>1</v>
      </c>
      <c r="C99">
        <v>2</v>
      </c>
      <c r="D99">
        <v>3</v>
      </c>
      <c r="E99" t="s">
        <v>22</v>
      </c>
      <c r="F99" t="s">
        <v>187</v>
      </c>
      <c r="G99" t="s">
        <v>188</v>
      </c>
      <c r="H99">
        <v>1.1339999999999999</v>
      </c>
      <c r="I99" t="s">
        <v>21</v>
      </c>
    </row>
    <row r="100" spans="1:9" x14ac:dyDescent="0.3">
      <c r="A100">
        <v>11</v>
      </c>
      <c r="B100">
        <v>1</v>
      </c>
      <c r="C100">
        <v>2</v>
      </c>
      <c r="D100">
        <v>3</v>
      </c>
      <c r="E100" t="s">
        <v>9</v>
      </c>
      <c r="F100" t="s">
        <v>189</v>
      </c>
      <c r="G100" t="s">
        <v>190</v>
      </c>
      <c r="H100">
        <v>2.101</v>
      </c>
      <c r="I100" t="s">
        <v>12</v>
      </c>
    </row>
    <row r="101" spans="1:9" x14ac:dyDescent="0.3">
      <c r="A101">
        <v>11</v>
      </c>
      <c r="B101">
        <v>1</v>
      </c>
      <c r="C101">
        <v>2</v>
      </c>
      <c r="D101">
        <v>3</v>
      </c>
      <c r="E101" t="s">
        <v>22</v>
      </c>
      <c r="F101" t="s">
        <v>191</v>
      </c>
      <c r="G101" t="s">
        <v>192</v>
      </c>
      <c r="H101">
        <v>0.96699999999999997</v>
      </c>
      <c r="I101" t="s">
        <v>21</v>
      </c>
    </row>
    <row r="102" spans="1:9" x14ac:dyDescent="0.3">
      <c r="A102">
        <v>11</v>
      </c>
      <c r="B102">
        <v>1</v>
      </c>
      <c r="C102">
        <v>2</v>
      </c>
      <c r="D102">
        <v>3</v>
      </c>
      <c r="E102" t="s">
        <v>9</v>
      </c>
      <c r="F102" t="s">
        <v>193</v>
      </c>
      <c r="H102" t="s">
        <v>81</v>
      </c>
      <c r="I102" t="s">
        <v>34</v>
      </c>
    </row>
    <row r="103" spans="1:9" x14ac:dyDescent="0.3">
      <c r="A103">
        <v>11</v>
      </c>
      <c r="B103">
        <v>1</v>
      </c>
      <c r="C103">
        <v>2</v>
      </c>
      <c r="D103">
        <v>3</v>
      </c>
      <c r="E103" t="s">
        <v>19</v>
      </c>
      <c r="F103" t="s">
        <v>194</v>
      </c>
      <c r="I103" t="s">
        <v>21</v>
      </c>
    </row>
    <row r="104" spans="1:9" x14ac:dyDescent="0.3">
      <c r="A104">
        <v>11</v>
      </c>
      <c r="B104">
        <v>1</v>
      </c>
      <c r="C104">
        <v>2</v>
      </c>
      <c r="D104">
        <v>3</v>
      </c>
      <c r="E104" t="s">
        <v>9</v>
      </c>
      <c r="F104" t="s">
        <v>195</v>
      </c>
      <c r="G104" t="s">
        <v>196</v>
      </c>
      <c r="H104">
        <v>4.1669999999999998</v>
      </c>
      <c r="I104" t="s">
        <v>12</v>
      </c>
    </row>
    <row r="105" spans="1:9" x14ac:dyDescent="0.3">
      <c r="A105">
        <v>11</v>
      </c>
      <c r="B105">
        <v>1</v>
      </c>
      <c r="C105">
        <v>3</v>
      </c>
      <c r="D105">
        <v>1</v>
      </c>
      <c r="E105" t="s">
        <v>9</v>
      </c>
      <c r="F105" t="s">
        <v>197</v>
      </c>
      <c r="G105" t="s">
        <v>198</v>
      </c>
      <c r="H105">
        <v>2.0859999999999999</v>
      </c>
      <c r="I105" t="s">
        <v>12</v>
      </c>
    </row>
    <row r="106" spans="1:9" x14ac:dyDescent="0.3">
      <c r="A106">
        <v>11</v>
      </c>
      <c r="B106">
        <v>1</v>
      </c>
      <c r="C106">
        <v>3</v>
      </c>
      <c r="D106">
        <v>1</v>
      </c>
      <c r="E106" t="s">
        <v>9</v>
      </c>
      <c r="F106" t="s">
        <v>199</v>
      </c>
      <c r="G106" t="s">
        <v>200</v>
      </c>
      <c r="H106">
        <v>1.7350000000000001</v>
      </c>
      <c r="I106" t="s">
        <v>12</v>
      </c>
    </row>
    <row r="107" spans="1:9" x14ac:dyDescent="0.3">
      <c r="A107">
        <v>11</v>
      </c>
      <c r="B107">
        <v>1</v>
      </c>
      <c r="C107">
        <v>3</v>
      </c>
      <c r="D107">
        <v>1</v>
      </c>
      <c r="E107" t="s">
        <v>9</v>
      </c>
      <c r="F107" t="s">
        <v>201</v>
      </c>
      <c r="G107" t="s">
        <v>202</v>
      </c>
      <c r="H107">
        <v>1.5009999999999999</v>
      </c>
      <c r="I107" t="s">
        <v>12</v>
      </c>
    </row>
    <row r="108" spans="1:9" x14ac:dyDescent="0.3">
      <c r="A108">
        <v>11</v>
      </c>
      <c r="B108">
        <v>1</v>
      </c>
      <c r="C108">
        <v>3</v>
      </c>
      <c r="D108">
        <v>1</v>
      </c>
      <c r="E108" t="s">
        <v>9</v>
      </c>
      <c r="F108" t="s">
        <v>203</v>
      </c>
      <c r="G108" t="s">
        <v>204</v>
      </c>
      <c r="H108">
        <v>1.635</v>
      </c>
      <c r="I108" t="s">
        <v>12</v>
      </c>
    </row>
    <row r="109" spans="1:9" x14ac:dyDescent="0.3">
      <c r="A109">
        <v>11</v>
      </c>
      <c r="B109">
        <v>1</v>
      </c>
      <c r="C109">
        <v>3</v>
      </c>
      <c r="D109">
        <v>1</v>
      </c>
      <c r="E109" t="s">
        <v>22</v>
      </c>
      <c r="F109" t="s">
        <v>205</v>
      </c>
      <c r="G109" t="s">
        <v>206</v>
      </c>
      <c r="H109">
        <v>1.234</v>
      </c>
      <c r="I109" t="s">
        <v>21</v>
      </c>
    </row>
    <row r="110" spans="1:9" x14ac:dyDescent="0.3">
      <c r="A110">
        <v>11</v>
      </c>
      <c r="B110">
        <v>1</v>
      </c>
      <c r="C110">
        <v>3</v>
      </c>
      <c r="D110">
        <v>1</v>
      </c>
      <c r="E110" t="s">
        <v>19</v>
      </c>
      <c r="F110" t="s">
        <v>207</v>
      </c>
      <c r="I110" t="s">
        <v>34</v>
      </c>
    </row>
    <row r="111" spans="1:9" x14ac:dyDescent="0.3">
      <c r="A111">
        <v>11</v>
      </c>
      <c r="B111">
        <v>1</v>
      </c>
      <c r="C111">
        <v>3</v>
      </c>
      <c r="D111">
        <v>2</v>
      </c>
      <c r="E111" t="s">
        <v>9</v>
      </c>
      <c r="F111" t="s">
        <v>208</v>
      </c>
      <c r="G111" t="s">
        <v>209</v>
      </c>
      <c r="H111">
        <v>2.347</v>
      </c>
      <c r="I111" t="s">
        <v>12</v>
      </c>
    </row>
    <row r="112" spans="1:9" x14ac:dyDescent="0.3">
      <c r="A112">
        <v>11</v>
      </c>
      <c r="B112">
        <v>1</v>
      </c>
      <c r="C112">
        <v>3</v>
      </c>
      <c r="D112">
        <v>2</v>
      </c>
      <c r="E112" t="s">
        <v>22</v>
      </c>
      <c r="F112" t="s">
        <v>210</v>
      </c>
      <c r="G112" t="s">
        <v>211</v>
      </c>
      <c r="H112">
        <v>2.2010000000000001</v>
      </c>
      <c r="I112" t="s">
        <v>21</v>
      </c>
    </row>
    <row r="113" spans="1:9" x14ac:dyDescent="0.3">
      <c r="A113">
        <v>11</v>
      </c>
      <c r="B113">
        <v>1</v>
      </c>
      <c r="C113">
        <v>3</v>
      </c>
      <c r="D113">
        <v>2</v>
      </c>
      <c r="E113" t="s">
        <v>22</v>
      </c>
      <c r="F113" t="s">
        <v>212</v>
      </c>
      <c r="G113" t="s">
        <v>213</v>
      </c>
      <c r="H113">
        <v>4.6340000000000003</v>
      </c>
      <c r="I113" t="s">
        <v>21</v>
      </c>
    </row>
    <row r="114" spans="1:9" x14ac:dyDescent="0.3">
      <c r="A114">
        <v>11</v>
      </c>
      <c r="B114">
        <v>1</v>
      </c>
      <c r="C114">
        <v>3</v>
      </c>
      <c r="D114">
        <v>2</v>
      </c>
      <c r="E114" t="s">
        <v>19</v>
      </c>
      <c r="F114" t="s">
        <v>214</v>
      </c>
      <c r="I114" t="s">
        <v>21</v>
      </c>
    </row>
    <row r="115" spans="1:9" x14ac:dyDescent="0.3">
      <c r="A115">
        <v>11</v>
      </c>
      <c r="B115">
        <v>1</v>
      </c>
      <c r="C115">
        <v>3</v>
      </c>
      <c r="D115">
        <v>2</v>
      </c>
      <c r="E115" t="s">
        <v>9</v>
      </c>
      <c r="F115" t="s">
        <v>215</v>
      </c>
      <c r="G115" t="s">
        <v>216</v>
      </c>
      <c r="H115">
        <v>2.7349999999999999</v>
      </c>
      <c r="I115" t="s">
        <v>12</v>
      </c>
    </row>
    <row r="116" spans="1:9" x14ac:dyDescent="0.3">
      <c r="A116">
        <v>11</v>
      </c>
      <c r="B116">
        <v>1</v>
      </c>
      <c r="C116">
        <v>3</v>
      </c>
      <c r="D116">
        <v>2</v>
      </c>
      <c r="E116" t="s">
        <v>9</v>
      </c>
      <c r="F116" t="s">
        <v>217</v>
      </c>
      <c r="G116" t="s">
        <v>218</v>
      </c>
      <c r="H116">
        <v>1.3680000000000001</v>
      </c>
      <c r="I116" t="s">
        <v>12</v>
      </c>
    </row>
    <row r="117" spans="1:9" x14ac:dyDescent="0.3">
      <c r="A117">
        <v>11</v>
      </c>
      <c r="B117">
        <v>1</v>
      </c>
      <c r="C117">
        <v>3</v>
      </c>
      <c r="D117">
        <v>2</v>
      </c>
      <c r="E117" t="s">
        <v>9</v>
      </c>
      <c r="F117" t="s">
        <v>219</v>
      </c>
      <c r="G117" t="s">
        <v>220</v>
      </c>
      <c r="H117">
        <v>1.034</v>
      </c>
      <c r="I117" t="s">
        <v>12</v>
      </c>
    </row>
    <row r="118" spans="1:9" x14ac:dyDescent="0.3">
      <c r="A118">
        <v>11</v>
      </c>
      <c r="B118">
        <v>1</v>
      </c>
      <c r="C118">
        <v>3</v>
      </c>
      <c r="D118">
        <v>2</v>
      </c>
      <c r="E118" t="s">
        <v>19</v>
      </c>
      <c r="F118" t="s">
        <v>221</v>
      </c>
      <c r="I118" t="s">
        <v>21</v>
      </c>
    </row>
    <row r="119" spans="1:9" x14ac:dyDescent="0.3">
      <c r="A119">
        <v>11</v>
      </c>
      <c r="B119">
        <v>3</v>
      </c>
      <c r="C119">
        <v>1</v>
      </c>
      <c r="D119">
        <v>1</v>
      </c>
      <c r="E119" t="s">
        <v>22</v>
      </c>
      <c r="F119" t="s">
        <v>222</v>
      </c>
      <c r="G119" t="s">
        <v>223</v>
      </c>
      <c r="H119">
        <v>2.0859999999999999</v>
      </c>
      <c r="I119" t="s">
        <v>21</v>
      </c>
    </row>
    <row r="120" spans="1:9" x14ac:dyDescent="0.3">
      <c r="A120">
        <v>11</v>
      </c>
      <c r="B120">
        <v>3</v>
      </c>
      <c r="C120">
        <v>1</v>
      </c>
      <c r="D120">
        <v>1</v>
      </c>
      <c r="E120" t="s">
        <v>9</v>
      </c>
      <c r="F120" t="s">
        <v>224</v>
      </c>
      <c r="G120" t="s">
        <v>225</v>
      </c>
      <c r="H120">
        <v>1.867</v>
      </c>
      <c r="I120" t="s">
        <v>12</v>
      </c>
    </row>
    <row r="121" spans="1:9" x14ac:dyDescent="0.3">
      <c r="A121">
        <v>11</v>
      </c>
      <c r="B121">
        <v>3</v>
      </c>
      <c r="C121">
        <v>1</v>
      </c>
      <c r="D121">
        <v>1</v>
      </c>
      <c r="E121" t="s">
        <v>9</v>
      </c>
      <c r="F121" t="s">
        <v>226</v>
      </c>
      <c r="G121" t="s">
        <v>227</v>
      </c>
      <c r="H121">
        <v>4.335</v>
      </c>
      <c r="I121" t="s">
        <v>12</v>
      </c>
    </row>
    <row r="122" spans="1:9" x14ac:dyDescent="0.3">
      <c r="A122">
        <v>11</v>
      </c>
      <c r="B122">
        <v>3</v>
      </c>
      <c r="C122">
        <v>1</v>
      </c>
      <c r="D122">
        <v>1</v>
      </c>
      <c r="E122" t="s">
        <v>9</v>
      </c>
      <c r="F122" t="s">
        <v>228</v>
      </c>
      <c r="G122" t="s">
        <v>229</v>
      </c>
      <c r="H122">
        <v>1.6339999999999999</v>
      </c>
      <c r="I122" t="s">
        <v>12</v>
      </c>
    </row>
    <row r="123" spans="1:9" x14ac:dyDescent="0.3">
      <c r="A123">
        <v>11</v>
      </c>
      <c r="B123">
        <v>3</v>
      </c>
      <c r="C123">
        <v>1</v>
      </c>
      <c r="D123">
        <v>1</v>
      </c>
      <c r="E123" t="s">
        <v>22</v>
      </c>
      <c r="F123" t="s">
        <v>230</v>
      </c>
      <c r="G123" t="s">
        <v>231</v>
      </c>
      <c r="H123">
        <v>1.1679999999999999</v>
      </c>
      <c r="I123" t="s">
        <v>21</v>
      </c>
    </row>
    <row r="124" spans="1:9" x14ac:dyDescent="0.3">
      <c r="A124">
        <v>11</v>
      </c>
      <c r="B124">
        <v>3</v>
      </c>
      <c r="C124">
        <v>1</v>
      </c>
      <c r="D124">
        <v>1</v>
      </c>
      <c r="E124" t="s">
        <v>19</v>
      </c>
      <c r="F124" t="s">
        <v>232</v>
      </c>
      <c r="I124" t="s">
        <v>34</v>
      </c>
    </row>
    <row r="125" spans="1:9" x14ac:dyDescent="0.3">
      <c r="A125">
        <v>11</v>
      </c>
      <c r="B125">
        <v>3</v>
      </c>
      <c r="C125">
        <v>1</v>
      </c>
      <c r="D125">
        <v>2</v>
      </c>
      <c r="E125" t="s">
        <v>9</v>
      </c>
      <c r="F125" t="s">
        <v>233</v>
      </c>
      <c r="G125" t="s">
        <v>234</v>
      </c>
      <c r="H125">
        <v>1.619</v>
      </c>
      <c r="I125" t="s">
        <v>12</v>
      </c>
    </row>
    <row r="126" spans="1:9" x14ac:dyDescent="0.3">
      <c r="A126">
        <v>11</v>
      </c>
      <c r="B126">
        <v>3</v>
      </c>
      <c r="C126">
        <v>1</v>
      </c>
      <c r="D126">
        <v>2</v>
      </c>
      <c r="E126" t="s">
        <v>9</v>
      </c>
      <c r="F126" t="s">
        <v>235</v>
      </c>
      <c r="G126" t="s">
        <v>236</v>
      </c>
      <c r="H126">
        <v>1.9670000000000001</v>
      </c>
      <c r="I126" t="s">
        <v>12</v>
      </c>
    </row>
    <row r="127" spans="1:9" x14ac:dyDescent="0.3">
      <c r="A127">
        <v>11</v>
      </c>
      <c r="B127">
        <v>3</v>
      </c>
      <c r="C127">
        <v>1</v>
      </c>
      <c r="D127">
        <v>2</v>
      </c>
      <c r="E127" t="s">
        <v>22</v>
      </c>
      <c r="F127" t="s">
        <v>237</v>
      </c>
      <c r="G127" t="s">
        <v>238</v>
      </c>
      <c r="H127">
        <v>1.1339999999999999</v>
      </c>
      <c r="I127" t="s">
        <v>21</v>
      </c>
    </row>
    <row r="128" spans="1:9" x14ac:dyDescent="0.3">
      <c r="A128">
        <v>11</v>
      </c>
      <c r="B128">
        <v>3</v>
      </c>
      <c r="C128">
        <v>1</v>
      </c>
      <c r="D128">
        <v>3</v>
      </c>
      <c r="E128" t="s">
        <v>9</v>
      </c>
      <c r="F128" t="s">
        <v>5344</v>
      </c>
      <c r="G128" t="s">
        <v>239</v>
      </c>
      <c r="H128">
        <v>0.95299999999999996</v>
      </c>
      <c r="I128" t="s">
        <v>12</v>
      </c>
    </row>
    <row r="129" spans="1:9" x14ac:dyDescent="0.3">
      <c r="A129">
        <v>11</v>
      </c>
      <c r="B129">
        <v>3</v>
      </c>
      <c r="C129">
        <v>1</v>
      </c>
      <c r="D129">
        <v>3</v>
      </c>
      <c r="E129" t="s">
        <v>9</v>
      </c>
      <c r="F129" t="s">
        <v>240</v>
      </c>
      <c r="G129" t="s">
        <v>241</v>
      </c>
      <c r="H129">
        <v>1.1140000000000001</v>
      </c>
      <c r="I129" t="s">
        <v>12</v>
      </c>
    </row>
    <row r="130" spans="1:9" x14ac:dyDescent="0.3">
      <c r="A130">
        <v>11</v>
      </c>
      <c r="B130">
        <v>3</v>
      </c>
      <c r="C130">
        <v>1</v>
      </c>
      <c r="D130">
        <v>3</v>
      </c>
      <c r="E130" t="s">
        <v>22</v>
      </c>
      <c r="F130" t="s">
        <v>242</v>
      </c>
      <c r="G130" t="s">
        <v>243</v>
      </c>
      <c r="H130">
        <v>1.234</v>
      </c>
      <c r="I130" t="s">
        <v>21</v>
      </c>
    </row>
    <row r="131" spans="1:9" x14ac:dyDescent="0.3">
      <c r="A131">
        <v>11</v>
      </c>
      <c r="B131">
        <v>3</v>
      </c>
      <c r="C131">
        <v>1</v>
      </c>
      <c r="D131">
        <v>3</v>
      </c>
      <c r="E131" t="s">
        <v>9</v>
      </c>
      <c r="F131" t="s">
        <v>244</v>
      </c>
      <c r="G131" t="s">
        <v>245</v>
      </c>
      <c r="H131">
        <v>1.034</v>
      </c>
      <c r="I131" t="s">
        <v>12</v>
      </c>
    </row>
    <row r="132" spans="1:9" x14ac:dyDescent="0.3">
      <c r="A132">
        <v>11</v>
      </c>
      <c r="B132">
        <v>3</v>
      </c>
      <c r="C132">
        <v>1</v>
      </c>
      <c r="D132">
        <v>3</v>
      </c>
      <c r="E132" t="s">
        <v>19</v>
      </c>
      <c r="F132" t="s">
        <v>246</v>
      </c>
      <c r="I132" t="s">
        <v>21</v>
      </c>
    </row>
    <row r="133" spans="1:9" x14ac:dyDescent="0.3">
      <c r="A133">
        <v>11</v>
      </c>
      <c r="B133">
        <v>3</v>
      </c>
      <c r="C133">
        <v>1</v>
      </c>
      <c r="D133">
        <v>3</v>
      </c>
      <c r="E133" t="s">
        <v>9</v>
      </c>
      <c r="F133" t="s">
        <v>247</v>
      </c>
      <c r="G133" t="s">
        <v>248</v>
      </c>
      <c r="H133">
        <v>1.7669999999999999</v>
      </c>
      <c r="I133" t="s">
        <v>12</v>
      </c>
    </row>
    <row r="134" spans="1:9" x14ac:dyDescent="0.3">
      <c r="A134">
        <v>11</v>
      </c>
      <c r="B134">
        <v>3</v>
      </c>
      <c r="C134">
        <v>1</v>
      </c>
      <c r="D134">
        <v>3</v>
      </c>
      <c r="E134" t="s">
        <v>22</v>
      </c>
      <c r="F134" t="s">
        <v>249</v>
      </c>
      <c r="G134" t="s">
        <v>250</v>
      </c>
      <c r="H134">
        <v>7.4340000000000002</v>
      </c>
      <c r="I134" t="s">
        <v>21</v>
      </c>
    </row>
    <row r="135" spans="1:9" x14ac:dyDescent="0.3">
      <c r="A135">
        <v>11</v>
      </c>
      <c r="B135">
        <v>3</v>
      </c>
      <c r="C135">
        <v>1</v>
      </c>
      <c r="D135">
        <v>3</v>
      </c>
      <c r="E135" t="s">
        <v>19</v>
      </c>
      <c r="F135" t="s">
        <v>251</v>
      </c>
      <c r="I135" t="s">
        <v>21</v>
      </c>
    </row>
    <row r="136" spans="1:9" x14ac:dyDescent="0.3">
      <c r="A136">
        <v>11</v>
      </c>
      <c r="B136">
        <v>3</v>
      </c>
      <c r="C136">
        <v>2</v>
      </c>
      <c r="D136">
        <v>1</v>
      </c>
      <c r="E136" t="s">
        <v>9</v>
      </c>
      <c r="F136" t="s">
        <v>252</v>
      </c>
      <c r="G136" t="s">
        <v>253</v>
      </c>
      <c r="H136">
        <v>2.4529999999999998</v>
      </c>
      <c r="I136" t="s">
        <v>12</v>
      </c>
    </row>
    <row r="137" spans="1:9" x14ac:dyDescent="0.3">
      <c r="A137">
        <v>11</v>
      </c>
      <c r="B137">
        <v>3</v>
      </c>
      <c r="C137">
        <v>2</v>
      </c>
      <c r="D137">
        <v>1</v>
      </c>
      <c r="E137" t="s">
        <v>19</v>
      </c>
      <c r="F137" t="s">
        <v>254</v>
      </c>
      <c r="I137" t="s">
        <v>21</v>
      </c>
    </row>
    <row r="138" spans="1:9" x14ac:dyDescent="0.3">
      <c r="A138">
        <v>11</v>
      </c>
      <c r="B138">
        <v>3</v>
      </c>
      <c r="C138">
        <v>2</v>
      </c>
      <c r="D138">
        <v>1</v>
      </c>
      <c r="E138" t="s">
        <v>9</v>
      </c>
      <c r="F138" t="s">
        <v>255</v>
      </c>
      <c r="G138" t="s">
        <v>256</v>
      </c>
      <c r="H138">
        <v>2.3010000000000002</v>
      </c>
      <c r="I138" t="s">
        <v>12</v>
      </c>
    </row>
    <row r="139" spans="1:9" x14ac:dyDescent="0.3">
      <c r="A139">
        <v>11</v>
      </c>
      <c r="B139">
        <v>3</v>
      </c>
      <c r="C139">
        <v>2</v>
      </c>
      <c r="D139">
        <v>1</v>
      </c>
      <c r="E139" t="s">
        <v>22</v>
      </c>
      <c r="F139" t="s">
        <v>257</v>
      </c>
      <c r="G139" t="s">
        <v>258</v>
      </c>
      <c r="H139">
        <v>0.93400000000000005</v>
      </c>
      <c r="I139" t="s">
        <v>21</v>
      </c>
    </row>
    <row r="140" spans="1:9" x14ac:dyDescent="0.3">
      <c r="A140">
        <v>11</v>
      </c>
      <c r="B140">
        <v>3</v>
      </c>
      <c r="C140">
        <v>2</v>
      </c>
      <c r="D140">
        <v>1</v>
      </c>
      <c r="E140" t="s">
        <v>9</v>
      </c>
      <c r="F140" t="s">
        <v>259</v>
      </c>
      <c r="G140" t="s">
        <v>260</v>
      </c>
      <c r="H140">
        <v>1.5669999999999999</v>
      </c>
      <c r="I140" t="s">
        <v>12</v>
      </c>
    </row>
    <row r="141" spans="1:9" x14ac:dyDescent="0.3">
      <c r="A141">
        <v>11</v>
      </c>
      <c r="B141">
        <v>3</v>
      </c>
      <c r="C141">
        <v>2</v>
      </c>
      <c r="D141">
        <v>1</v>
      </c>
      <c r="E141" t="s">
        <v>22</v>
      </c>
      <c r="F141" t="s">
        <v>261</v>
      </c>
      <c r="G141" t="s">
        <v>262</v>
      </c>
      <c r="H141">
        <v>1</v>
      </c>
      <c r="I141" t="s">
        <v>21</v>
      </c>
    </row>
    <row r="142" spans="1:9" x14ac:dyDescent="0.3">
      <c r="A142">
        <v>11</v>
      </c>
      <c r="B142">
        <v>3</v>
      </c>
      <c r="C142">
        <v>2</v>
      </c>
      <c r="D142">
        <v>1</v>
      </c>
      <c r="E142" t="s">
        <v>9</v>
      </c>
      <c r="F142" t="s">
        <v>263</v>
      </c>
      <c r="G142" t="s">
        <v>264</v>
      </c>
      <c r="H142">
        <v>3.0009999999999999</v>
      </c>
      <c r="I142" t="s">
        <v>12</v>
      </c>
    </row>
    <row r="143" spans="1:9" x14ac:dyDescent="0.3">
      <c r="A143">
        <v>11</v>
      </c>
      <c r="B143">
        <v>3</v>
      </c>
      <c r="C143">
        <v>2</v>
      </c>
      <c r="D143">
        <v>1</v>
      </c>
      <c r="E143" t="s">
        <v>19</v>
      </c>
      <c r="F143" t="s">
        <v>265</v>
      </c>
      <c r="I143" t="s">
        <v>21</v>
      </c>
    </row>
    <row r="144" spans="1:9" x14ac:dyDescent="0.3">
      <c r="A144">
        <v>11</v>
      </c>
      <c r="B144">
        <v>3</v>
      </c>
      <c r="C144">
        <v>3</v>
      </c>
      <c r="D144">
        <v>1</v>
      </c>
      <c r="E144" t="s">
        <v>22</v>
      </c>
      <c r="F144" t="s">
        <v>266</v>
      </c>
      <c r="G144" t="s">
        <v>267</v>
      </c>
      <c r="H144">
        <v>2.3860000000000001</v>
      </c>
      <c r="I144" t="s">
        <v>21</v>
      </c>
    </row>
    <row r="145" spans="1:9" x14ac:dyDescent="0.3">
      <c r="A145">
        <v>11</v>
      </c>
      <c r="B145">
        <v>3</v>
      </c>
      <c r="C145">
        <v>3</v>
      </c>
      <c r="D145">
        <v>1</v>
      </c>
      <c r="E145" t="s">
        <v>9</v>
      </c>
      <c r="F145" t="s">
        <v>268</v>
      </c>
      <c r="G145" t="s">
        <v>269</v>
      </c>
      <c r="H145">
        <v>2.3340000000000001</v>
      </c>
      <c r="I145" t="s">
        <v>12</v>
      </c>
    </row>
    <row r="146" spans="1:9" x14ac:dyDescent="0.3">
      <c r="A146">
        <v>11</v>
      </c>
      <c r="B146">
        <v>3</v>
      </c>
      <c r="C146">
        <v>3</v>
      </c>
      <c r="D146">
        <v>1</v>
      </c>
      <c r="E146" t="s">
        <v>9</v>
      </c>
      <c r="F146" t="s">
        <v>270</v>
      </c>
      <c r="G146" t="s">
        <v>271</v>
      </c>
      <c r="H146">
        <v>2.0009999999999999</v>
      </c>
      <c r="I146" t="s">
        <v>12</v>
      </c>
    </row>
    <row r="147" spans="1:9" x14ac:dyDescent="0.3">
      <c r="A147">
        <v>11</v>
      </c>
      <c r="B147">
        <v>3</v>
      </c>
      <c r="C147">
        <v>3</v>
      </c>
      <c r="D147">
        <v>1</v>
      </c>
      <c r="E147" t="s">
        <v>9</v>
      </c>
      <c r="F147" t="s">
        <v>272</v>
      </c>
      <c r="G147" t="s">
        <v>273</v>
      </c>
      <c r="H147">
        <v>1.6339999999999999</v>
      </c>
      <c r="I147" t="s">
        <v>12</v>
      </c>
    </row>
    <row r="148" spans="1:9" x14ac:dyDescent="0.3">
      <c r="A148">
        <v>11</v>
      </c>
      <c r="B148">
        <v>3</v>
      </c>
      <c r="C148">
        <v>3</v>
      </c>
      <c r="D148">
        <v>1</v>
      </c>
      <c r="E148" t="s">
        <v>19</v>
      </c>
      <c r="F148" t="s">
        <v>274</v>
      </c>
      <c r="I148" t="s">
        <v>34</v>
      </c>
    </row>
    <row r="149" spans="1:9" x14ac:dyDescent="0.3">
      <c r="A149">
        <v>11</v>
      </c>
      <c r="B149">
        <v>3</v>
      </c>
      <c r="C149">
        <v>3</v>
      </c>
      <c r="D149">
        <v>1</v>
      </c>
      <c r="E149" t="s">
        <v>9</v>
      </c>
      <c r="F149" t="s">
        <v>275</v>
      </c>
      <c r="G149" t="s">
        <v>276</v>
      </c>
      <c r="H149">
        <v>1.601</v>
      </c>
      <c r="I149" t="s">
        <v>12</v>
      </c>
    </row>
    <row r="150" spans="1:9" x14ac:dyDescent="0.3">
      <c r="A150">
        <v>11</v>
      </c>
      <c r="B150">
        <v>3</v>
      </c>
      <c r="C150">
        <v>3</v>
      </c>
      <c r="D150">
        <v>2</v>
      </c>
      <c r="E150" t="s">
        <v>22</v>
      </c>
      <c r="F150" t="s">
        <v>277</v>
      </c>
      <c r="G150" t="s">
        <v>278</v>
      </c>
      <c r="H150">
        <v>1.3520000000000001</v>
      </c>
      <c r="I150" t="s">
        <v>21</v>
      </c>
    </row>
    <row r="151" spans="1:9" x14ac:dyDescent="0.3">
      <c r="A151">
        <v>11</v>
      </c>
      <c r="B151">
        <v>3</v>
      </c>
      <c r="C151">
        <v>3</v>
      </c>
      <c r="D151">
        <v>2</v>
      </c>
      <c r="E151" t="s">
        <v>9</v>
      </c>
      <c r="F151" t="s">
        <v>279</v>
      </c>
      <c r="G151" t="s">
        <v>280</v>
      </c>
      <c r="H151">
        <v>2.1339999999999999</v>
      </c>
      <c r="I151" t="s">
        <v>12</v>
      </c>
    </row>
    <row r="152" spans="1:9" x14ac:dyDescent="0.3">
      <c r="A152">
        <v>11</v>
      </c>
      <c r="B152">
        <v>3</v>
      </c>
      <c r="C152">
        <v>3</v>
      </c>
      <c r="D152">
        <v>2</v>
      </c>
      <c r="E152" t="s">
        <v>9</v>
      </c>
      <c r="F152" t="s">
        <v>281</v>
      </c>
      <c r="G152" t="s">
        <v>282</v>
      </c>
      <c r="H152">
        <v>1.534</v>
      </c>
      <c r="I152" t="s">
        <v>12</v>
      </c>
    </row>
    <row r="153" spans="1:9" x14ac:dyDescent="0.3">
      <c r="A153">
        <v>11</v>
      </c>
      <c r="B153">
        <v>3</v>
      </c>
      <c r="C153">
        <v>3</v>
      </c>
      <c r="D153">
        <v>2</v>
      </c>
      <c r="E153" t="s">
        <v>9</v>
      </c>
      <c r="F153" t="s">
        <v>283</v>
      </c>
      <c r="G153" t="s">
        <v>284</v>
      </c>
      <c r="H153">
        <v>1.4339999999999999</v>
      </c>
      <c r="I153" t="s">
        <v>12</v>
      </c>
    </row>
    <row r="154" spans="1:9" x14ac:dyDescent="0.3">
      <c r="A154">
        <v>11</v>
      </c>
      <c r="B154">
        <v>3</v>
      </c>
      <c r="C154">
        <v>3</v>
      </c>
      <c r="D154">
        <v>2</v>
      </c>
      <c r="E154" t="s">
        <v>19</v>
      </c>
      <c r="F154" t="s">
        <v>285</v>
      </c>
      <c r="I154" t="s">
        <v>21</v>
      </c>
    </row>
    <row r="155" spans="1:9" x14ac:dyDescent="0.3">
      <c r="A155">
        <v>11</v>
      </c>
      <c r="B155">
        <v>3</v>
      </c>
      <c r="C155">
        <v>3</v>
      </c>
      <c r="D155">
        <v>2</v>
      </c>
      <c r="E155" t="s">
        <v>9</v>
      </c>
      <c r="F155" t="s">
        <v>286</v>
      </c>
      <c r="G155" t="s">
        <v>287</v>
      </c>
      <c r="H155">
        <v>1.3340000000000001</v>
      </c>
      <c r="I155" t="s">
        <v>12</v>
      </c>
    </row>
    <row r="156" spans="1:9" x14ac:dyDescent="0.3">
      <c r="A156">
        <v>11</v>
      </c>
      <c r="B156">
        <v>3</v>
      </c>
      <c r="C156">
        <v>3</v>
      </c>
      <c r="D156">
        <v>2</v>
      </c>
      <c r="E156" t="s">
        <v>22</v>
      </c>
      <c r="F156" t="s">
        <v>288</v>
      </c>
      <c r="G156" t="s">
        <v>289</v>
      </c>
      <c r="H156">
        <v>1.3680000000000001</v>
      </c>
      <c r="I156" t="s">
        <v>21</v>
      </c>
    </row>
    <row r="157" spans="1:9" x14ac:dyDescent="0.3">
      <c r="A157">
        <v>11</v>
      </c>
      <c r="B157">
        <v>3</v>
      </c>
      <c r="C157">
        <v>3</v>
      </c>
      <c r="D157">
        <v>2</v>
      </c>
      <c r="E157" t="s">
        <v>19</v>
      </c>
      <c r="F157" t="s">
        <v>290</v>
      </c>
      <c r="I157" t="s">
        <v>21</v>
      </c>
    </row>
    <row r="158" spans="1:9" x14ac:dyDescent="0.3">
      <c r="A158">
        <v>13</v>
      </c>
      <c r="B158">
        <v>1</v>
      </c>
      <c r="C158">
        <v>1</v>
      </c>
      <c r="D158">
        <v>1</v>
      </c>
      <c r="E158" t="s">
        <v>9</v>
      </c>
      <c r="F158" t="s">
        <v>291</v>
      </c>
      <c r="G158" t="s">
        <v>292</v>
      </c>
      <c r="H158">
        <v>1.619</v>
      </c>
      <c r="I158" t="s">
        <v>12</v>
      </c>
    </row>
    <row r="159" spans="1:9" x14ac:dyDescent="0.3">
      <c r="A159">
        <v>13</v>
      </c>
      <c r="B159">
        <v>1</v>
      </c>
      <c r="C159">
        <v>1</v>
      </c>
      <c r="D159">
        <v>2</v>
      </c>
      <c r="E159" t="s">
        <v>22</v>
      </c>
      <c r="F159" t="s">
        <v>293</v>
      </c>
      <c r="G159" t="s">
        <v>294</v>
      </c>
      <c r="H159">
        <v>1.7190000000000001</v>
      </c>
      <c r="I159" t="s">
        <v>21</v>
      </c>
    </row>
    <row r="160" spans="1:9" x14ac:dyDescent="0.3">
      <c r="A160">
        <v>13</v>
      </c>
      <c r="B160">
        <v>1</v>
      </c>
      <c r="C160">
        <v>1</v>
      </c>
      <c r="D160">
        <v>2</v>
      </c>
      <c r="E160" t="s">
        <v>9</v>
      </c>
      <c r="F160" t="s">
        <v>295</v>
      </c>
      <c r="G160" t="s">
        <v>296</v>
      </c>
      <c r="H160">
        <v>2.153</v>
      </c>
      <c r="I160" t="s">
        <v>12</v>
      </c>
    </row>
    <row r="161" spans="1:9" x14ac:dyDescent="0.3">
      <c r="A161">
        <v>13</v>
      </c>
      <c r="B161">
        <v>1</v>
      </c>
      <c r="C161">
        <v>1</v>
      </c>
      <c r="D161">
        <v>2</v>
      </c>
      <c r="E161" t="s">
        <v>9</v>
      </c>
      <c r="F161" t="s">
        <v>297</v>
      </c>
      <c r="G161" t="s">
        <v>298</v>
      </c>
      <c r="H161">
        <v>1.901</v>
      </c>
      <c r="I161" t="s">
        <v>12</v>
      </c>
    </row>
    <row r="162" spans="1:9" x14ac:dyDescent="0.3">
      <c r="A162">
        <v>13</v>
      </c>
      <c r="B162">
        <v>1</v>
      </c>
      <c r="C162">
        <v>1</v>
      </c>
      <c r="D162">
        <v>2</v>
      </c>
      <c r="E162" t="s">
        <v>19</v>
      </c>
      <c r="F162" t="s">
        <v>299</v>
      </c>
      <c r="I162" t="s">
        <v>21</v>
      </c>
    </row>
    <row r="163" spans="1:9" x14ac:dyDescent="0.3">
      <c r="A163">
        <v>13</v>
      </c>
      <c r="B163">
        <v>1</v>
      </c>
      <c r="C163">
        <v>1</v>
      </c>
      <c r="D163">
        <v>3</v>
      </c>
      <c r="E163" t="s">
        <v>22</v>
      </c>
      <c r="F163" t="s">
        <v>300</v>
      </c>
      <c r="G163" t="s">
        <v>301</v>
      </c>
      <c r="H163">
        <v>3.286</v>
      </c>
      <c r="I163" t="s">
        <v>21</v>
      </c>
    </row>
    <row r="164" spans="1:9" x14ac:dyDescent="0.3">
      <c r="A164">
        <v>13</v>
      </c>
      <c r="B164">
        <v>1</v>
      </c>
      <c r="C164">
        <v>2</v>
      </c>
      <c r="D164">
        <v>1</v>
      </c>
      <c r="E164" t="s">
        <v>9</v>
      </c>
      <c r="F164" t="s">
        <v>302</v>
      </c>
      <c r="G164" t="s">
        <v>303</v>
      </c>
      <c r="H164">
        <v>4.1189999999999998</v>
      </c>
      <c r="I164" t="s">
        <v>12</v>
      </c>
    </row>
    <row r="165" spans="1:9" x14ac:dyDescent="0.3">
      <c r="A165">
        <v>13</v>
      </c>
      <c r="B165">
        <v>1</v>
      </c>
      <c r="C165">
        <v>2</v>
      </c>
      <c r="D165">
        <v>1</v>
      </c>
      <c r="E165" t="s">
        <v>9</v>
      </c>
      <c r="F165" t="s">
        <v>304</v>
      </c>
      <c r="G165" t="s">
        <v>305</v>
      </c>
      <c r="H165">
        <v>1.802</v>
      </c>
      <c r="I165" t="s">
        <v>12</v>
      </c>
    </row>
    <row r="166" spans="1:9" x14ac:dyDescent="0.3">
      <c r="A166">
        <v>13</v>
      </c>
      <c r="B166">
        <v>1</v>
      </c>
      <c r="C166">
        <v>2</v>
      </c>
      <c r="D166">
        <v>1</v>
      </c>
      <c r="E166" t="s">
        <v>22</v>
      </c>
      <c r="F166" t="s">
        <v>306</v>
      </c>
      <c r="G166" t="s">
        <v>307</v>
      </c>
      <c r="H166">
        <v>1.2330000000000001</v>
      </c>
      <c r="I166" t="s">
        <v>21</v>
      </c>
    </row>
    <row r="167" spans="1:9" x14ac:dyDescent="0.3">
      <c r="A167">
        <v>13</v>
      </c>
      <c r="B167">
        <v>1</v>
      </c>
      <c r="C167">
        <v>2</v>
      </c>
      <c r="D167">
        <v>1</v>
      </c>
      <c r="E167" t="s">
        <v>9</v>
      </c>
      <c r="F167" t="s">
        <v>308</v>
      </c>
      <c r="G167" t="s">
        <v>309</v>
      </c>
      <c r="H167">
        <v>1.6859999999999999</v>
      </c>
      <c r="I167" t="s">
        <v>12</v>
      </c>
    </row>
    <row r="168" spans="1:9" x14ac:dyDescent="0.3">
      <c r="A168">
        <v>13</v>
      </c>
      <c r="B168">
        <v>1</v>
      </c>
      <c r="C168">
        <v>2</v>
      </c>
      <c r="D168">
        <v>1</v>
      </c>
      <c r="E168" t="s">
        <v>9</v>
      </c>
      <c r="F168" t="s">
        <v>310</v>
      </c>
      <c r="G168" t="s">
        <v>311</v>
      </c>
      <c r="H168">
        <v>2.8340000000000001</v>
      </c>
      <c r="I168" t="s">
        <v>12</v>
      </c>
    </row>
    <row r="169" spans="1:9" x14ac:dyDescent="0.3">
      <c r="A169">
        <v>13</v>
      </c>
      <c r="B169">
        <v>1</v>
      </c>
      <c r="C169">
        <v>2</v>
      </c>
      <c r="D169">
        <v>1</v>
      </c>
      <c r="E169" t="s">
        <v>19</v>
      </c>
      <c r="F169" t="s">
        <v>312</v>
      </c>
      <c r="I169" t="s">
        <v>21</v>
      </c>
    </row>
    <row r="170" spans="1:9" x14ac:dyDescent="0.3">
      <c r="A170">
        <v>13</v>
      </c>
      <c r="B170">
        <v>1</v>
      </c>
      <c r="C170">
        <v>3</v>
      </c>
      <c r="D170">
        <v>2</v>
      </c>
      <c r="E170" t="s">
        <v>22</v>
      </c>
      <c r="F170" t="s">
        <v>313</v>
      </c>
      <c r="G170" t="s">
        <v>314</v>
      </c>
      <c r="H170">
        <v>1.653</v>
      </c>
      <c r="I170" t="s">
        <v>21</v>
      </c>
    </row>
    <row r="171" spans="1:9" x14ac:dyDescent="0.3">
      <c r="A171">
        <v>13</v>
      </c>
      <c r="B171">
        <v>1</v>
      </c>
      <c r="C171">
        <v>3</v>
      </c>
      <c r="D171">
        <v>2</v>
      </c>
      <c r="E171" t="s">
        <v>9</v>
      </c>
      <c r="F171" t="s">
        <v>315</v>
      </c>
      <c r="G171" t="s">
        <v>316</v>
      </c>
      <c r="H171">
        <v>1.2669999999999999</v>
      </c>
      <c r="I171" t="s">
        <v>12</v>
      </c>
    </row>
    <row r="172" spans="1:9" x14ac:dyDescent="0.3">
      <c r="A172">
        <v>13</v>
      </c>
      <c r="B172">
        <v>1</v>
      </c>
      <c r="C172">
        <v>3</v>
      </c>
      <c r="D172">
        <v>2</v>
      </c>
      <c r="E172" t="s">
        <v>9</v>
      </c>
      <c r="F172" t="s">
        <v>317</v>
      </c>
      <c r="H172" t="s">
        <v>81</v>
      </c>
      <c r="I172" t="s">
        <v>34</v>
      </c>
    </row>
    <row r="173" spans="1:9" x14ac:dyDescent="0.3">
      <c r="A173">
        <v>13</v>
      </c>
      <c r="B173">
        <v>1</v>
      </c>
      <c r="C173">
        <v>3</v>
      </c>
      <c r="D173">
        <v>2</v>
      </c>
      <c r="E173" t="s">
        <v>19</v>
      </c>
      <c r="F173" t="s">
        <v>318</v>
      </c>
      <c r="I173" t="s">
        <v>34</v>
      </c>
    </row>
    <row r="174" spans="1:9" x14ac:dyDescent="0.3">
      <c r="A174">
        <v>13</v>
      </c>
      <c r="B174">
        <v>1</v>
      </c>
      <c r="C174">
        <v>3</v>
      </c>
      <c r="D174">
        <v>2</v>
      </c>
      <c r="E174" t="s">
        <v>9</v>
      </c>
      <c r="F174" t="s">
        <v>319</v>
      </c>
      <c r="G174" t="s">
        <v>320</v>
      </c>
      <c r="H174">
        <v>1.5309999999999999</v>
      </c>
      <c r="I174" t="s">
        <v>12</v>
      </c>
    </row>
    <row r="175" spans="1:9" x14ac:dyDescent="0.3">
      <c r="A175">
        <v>13</v>
      </c>
      <c r="B175">
        <v>1</v>
      </c>
      <c r="C175">
        <v>3</v>
      </c>
      <c r="D175">
        <v>3</v>
      </c>
      <c r="E175" t="s">
        <v>22</v>
      </c>
      <c r="F175" t="s">
        <v>321</v>
      </c>
      <c r="G175" t="s">
        <v>322</v>
      </c>
      <c r="H175">
        <v>1.0189999999999999</v>
      </c>
      <c r="I175" t="s">
        <v>21</v>
      </c>
    </row>
    <row r="176" spans="1:9" x14ac:dyDescent="0.3">
      <c r="A176">
        <v>13</v>
      </c>
      <c r="B176">
        <v>1</v>
      </c>
      <c r="C176">
        <v>3</v>
      </c>
      <c r="D176">
        <v>3</v>
      </c>
      <c r="E176" t="s">
        <v>9</v>
      </c>
      <c r="F176" t="s">
        <v>323</v>
      </c>
      <c r="G176" t="s">
        <v>324</v>
      </c>
      <c r="H176">
        <v>1.8340000000000001</v>
      </c>
      <c r="I176" t="s">
        <v>12</v>
      </c>
    </row>
    <row r="177" spans="1:9" x14ac:dyDescent="0.3">
      <c r="A177">
        <v>13</v>
      </c>
      <c r="B177">
        <v>1</v>
      </c>
      <c r="C177">
        <v>3</v>
      </c>
      <c r="D177">
        <v>3</v>
      </c>
      <c r="E177" t="s">
        <v>9</v>
      </c>
      <c r="F177" t="s">
        <v>325</v>
      </c>
      <c r="G177" t="s">
        <v>326</v>
      </c>
      <c r="H177">
        <v>1.7529999999999999</v>
      </c>
      <c r="I177" t="s">
        <v>12</v>
      </c>
    </row>
    <row r="178" spans="1:9" x14ac:dyDescent="0.3">
      <c r="A178">
        <v>13</v>
      </c>
      <c r="B178">
        <v>1</v>
      </c>
      <c r="C178">
        <v>3</v>
      </c>
      <c r="D178">
        <v>3</v>
      </c>
      <c r="E178" t="s">
        <v>19</v>
      </c>
      <c r="F178" t="s">
        <v>327</v>
      </c>
      <c r="I178" t="s">
        <v>21</v>
      </c>
    </row>
    <row r="179" spans="1:9" x14ac:dyDescent="0.3">
      <c r="A179">
        <v>13</v>
      </c>
      <c r="B179">
        <v>1</v>
      </c>
      <c r="C179">
        <v>3</v>
      </c>
      <c r="D179">
        <v>3</v>
      </c>
      <c r="E179" t="s">
        <v>9</v>
      </c>
      <c r="F179" t="s">
        <v>328</v>
      </c>
      <c r="G179" t="s">
        <v>329</v>
      </c>
      <c r="H179">
        <v>1.0660000000000001</v>
      </c>
      <c r="I179" t="s">
        <v>12</v>
      </c>
    </row>
    <row r="180" spans="1:9" x14ac:dyDescent="0.3">
      <c r="A180">
        <v>13</v>
      </c>
      <c r="B180">
        <v>1</v>
      </c>
      <c r="C180">
        <v>3</v>
      </c>
      <c r="D180">
        <v>3</v>
      </c>
      <c r="E180" t="s">
        <v>9</v>
      </c>
      <c r="F180" t="s">
        <v>5357</v>
      </c>
      <c r="G180" t="s">
        <v>5358</v>
      </c>
      <c r="H180">
        <v>1.3340000000000001</v>
      </c>
      <c r="I180" t="s">
        <v>12</v>
      </c>
    </row>
    <row r="181" spans="1:9" x14ac:dyDescent="0.3">
      <c r="A181">
        <v>13</v>
      </c>
      <c r="B181">
        <v>3</v>
      </c>
      <c r="C181">
        <v>1</v>
      </c>
      <c r="D181">
        <v>1</v>
      </c>
      <c r="E181" t="s">
        <v>22</v>
      </c>
      <c r="F181" t="s">
        <v>330</v>
      </c>
      <c r="G181" t="s">
        <v>331</v>
      </c>
      <c r="H181">
        <v>4.2859999999999996</v>
      </c>
      <c r="I181" t="s">
        <v>21</v>
      </c>
    </row>
    <row r="182" spans="1:9" x14ac:dyDescent="0.3">
      <c r="A182">
        <v>13</v>
      </c>
      <c r="B182">
        <v>3</v>
      </c>
      <c r="C182">
        <v>1</v>
      </c>
      <c r="D182">
        <v>1</v>
      </c>
      <c r="E182" t="s">
        <v>9</v>
      </c>
      <c r="F182" t="s">
        <v>332</v>
      </c>
      <c r="G182" t="s">
        <v>333</v>
      </c>
      <c r="H182">
        <v>4.8680000000000003</v>
      </c>
      <c r="I182" t="s">
        <v>12</v>
      </c>
    </row>
    <row r="183" spans="1:9" x14ac:dyDescent="0.3">
      <c r="A183">
        <v>13</v>
      </c>
      <c r="B183">
        <v>3</v>
      </c>
      <c r="C183">
        <v>1</v>
      </c>
      <c r="D183">
        <v>1</v>
      </c>
      <c r="E183" t="s">
        <v>9</v>
      </c>
      <c r="F183" t="s">
        <v>334</v>
      </c>
      <c r="G183" t="s">
        <v>335</v>
      </c>
      <c r="H183">
        <v>2.3340000000000001</v>
      </c>
      <c r="I183" t="s">
        <v>12</v>
      </c>
    </row>
    <row r="184" spans="1:9" x14ac:dyDescent="0.3">
      <c r="A184">
        <v>13</v>
      </c>
      <c r="B184">
        <v>3</v>
      </c>
      <c r="C184">
        <v>1</v>
      </c>
      <c r="D184">
        <v>1</v>
      </c>
      <c r="E184" t="s">
        <v>9</v>
      </c>
      <c r="F184" t="s">
        <v>336</v>
      </c>
      <c r="G184" t="s">
        <v>337</v>
      </c>
      <c r="H184">
        <v>1.4339999999999999</v>
      </c>
      <c r="I184" t="s">
        <v>12</v>
      </c>
    </row>
    <row r="185" spans="1:9" x14ac:dyDescent="0.3">
      <c r="A185">
        <v>13</v>
      </c>
      <c r="B185">
        <v>3</v>
      </c>
      <c r="C185">
        <v>1</v>
      </c>
      <c r="D185">
        <v>1</v>
      </c>
      <c r="E185" t="s">
        <v>19</v>
      </c>
      <c r="F185" t="s">
        <v>338</v>
      </c>
      <c r="I185" t="s">
        <v>21</v>
      </c>
    </row>
    <row r="186" spans="1:9" x14ac:dyDescent="0.3">
      <c r="A186">
        <v>13</v>
      </c>
      <c r="B186">
        <v>3</v>
      </c>
      <c r="C186">
        <v>1</v>
      </c>
      <c r="D186">
        <v>1</v>
      </c>
      <c r="E186" t="s">
        <v>9</v>
      </c>
      <c r="F186" t="s">
        <v>339</v>
      </c>
      <c r="G186" t="s">
        <v>340</v>
      </c>
      <c r="H186">
        <v>1.5009999999999999</v>
      </c>
      <c r="I186" t="s">
        <v>12</v>
      </c>
    </row>
    <row r="187" spans="1:9" x14ac:dyDescent="0.3">
      <c r="A187">
        <v>13</v>
      </c>
      <c r="B187">
        <v>3</v>
      </c>
      <c r="C187">
        <v>1</v>
      </c>
      <c r="D187">
        <v>2</v>
      </c>
      <c r="E187" t="s">
        <v>9</v>
      </c>
      <c r="F187" t="s">
        <v>341</v>
      </c>
      <c r="G187" t="s">
        <v>342</v>
      </c>
      <c r="H187">
        <v>2.4540000000000002</v>
      </c>
      <c r="I187" t="s">
        <v>12</v>
      </c>
    </row>
    <row r="188" spans="1:9" x14ac:dyDescent="0.3">
      <c r="A188">
        <v>13</v>
      </c>
      <c r="B188">
        <v>3</v>
      </c>
      <c r="C188">
        <v>1</v>
      </c>
      <c r="D188">
        <v>2</v>
      </c>
      <c r="E188" t="s">
        <v>9</v>
      </c>
      <c r="F188" t="s">
        <v>343</v>
      </c>
      <c r="G188" t="s">
        <v>344</v>
      </c>
      <c r="H188">
        <v>2.1</v>
      </c>
      <c r="I188" t="s">
        <v>12</v>
      </c>
    </row>
    <row r="189" spans="1:9" x14ac:dyDescent="0.3">
      <c r="A189">
        <v>13</v>
      </c>
      <c r="B189">
        <v>3</v>
      </c>
      <c r="C189">
        <v>1</v>
      </c>
      <c r="D189">
        <v>2</v>
      </c>
      <c r="E189" t="s">
        <v>22</v>
      </c>
      <c r="F189" t="s">
        <v>345</v>
      </c>
      <c r="G189" t="s">
        <v>346</v>
      </c>
      <c r="H189">
        <v>1.534</v>
      </c>
      <c r="I189" t="s">
        <v>21</v>
      </c>
    </row>
    <row r="190" spans="1:9" x14ac:dyDescent="0.3">
      <c r="A190">
        <v>13</v>
      </c>
      <c r="B190">
        <v>3</v>
      </c>
      <c r="C190">
        <v>1</v>
      </c>
      <c r="D190">
        <v>2</v>
      </c>
      <c r="E190" t="s">
        <v>9</v>
      </c>
      <c r="F190" t="s">
        <v>347</v>
      </c>
      <c r="G190" t="s">
        <v>348</v>
      </c>
      <c r="H190">
        <v>1.3</v>
      </c>
      <c r="I190" t="s">
        <v>12</v>
      </c>
    </row>
    <row r="191" spans="1:9" x14ac:dyDescent="0.3">
      <c r="A191">
        <v>13</v>
      </c>
      <c r="B191">
        <v>3</v>
      </c>
      <c r="C191">
        <v>1</v>
      </c>
      <c r="D191">
        <v>2</v>
      </c>
      <c r="E191" t="s">
        <v>22</v>
      </c>
      <c r="F191" t="s">
        <v>349</v>
      </c>
      <c r="G191" t="s">
        <v>350</v>
      </c>
      <c r="H191">
        <v>0.76800000000000002</v>
      </c>
      <c r="I191" t="s">
        <v>21</v>
      </c>
    </row>
    <row r="192" spans="1:9" x14ac:dyDescent="0.3">
      <c r="A192">
        <v>13</v>
      </c>
      <c r="B192">
        <v>3</v>
      </c>
      <c r="C192">
        <v>1</v>
      </c>
      <c r="D192">
        <v>2</v>
      </c>
      <c r="E192" t="s">
        <v>9</v>
      </c>
      <c r="F192" t="s">
        <v>351</v>
      </c>
      <c r="G192" t="s">
        <v>352</v>
      </c>
      <c r="H192">
        <v>1.5</v>
      </c>
      <c r="I192" t="s">
        <v>12</v>
      </c>
    </row>
    <row r="193" spans="1:9" x14ac:dyDescent="0.3">
      <c r="A193">
        <v>13</v>
      </c>
      <c r="B193">
        <v>3</v>
      </c>
      <c r="C193">
        <v>1</v>
      </c>
      <c r="D193">
        <v>2</v>
      </c>
      <c r="E193" t="s">
        <v>19</v>
      </c>
      <c r="F193" t="s">
        <v>353</v>
      </c>
      <c r="I193" t="s">
        <v>21</v>
      </c>
    </row>
    <row r="194" spans="1:9" x14ac:dyDescent="0.3">
      <c r="A194">
        <v>13</v>
      </c>
      <c r="B194">
        <v>3</v>
      </c>
      <c r="C194">
        <v>1</v>
      </c>
      <c r="D194">
        <v>3</v>
      </c>
      <c r="E194" t="s">
        <v>22</v>
      </c>
      <c r="F194" t="s">
        <v>354</v>
      </c>
      <c r="G194" t="s">
        <v>355</v>
      </c>
      <c r="H194">
        <v>2.92</v>
      </c>
      <c r="I194" t="s">
        <v>21</v>
      </c>
    </row>
    <row r="195" spans="1:9" x14ac:dyDescent="0.3">
      <c r="A195">
        <v>13</v>
      </c>
      <c r="B195">
        <v>3</v>
      </c>
      <c r="C195">
        <v>1</v>
      </c>
      <c r="D195">
        <v>3</v>
      </c>
      <c r="E195" t="s">
        <v>9</v>
      </c>
      <c r="F195" t="s">
        <v>356</v>
      </c>
      <c r="G195" t="s">
        <v>357</v>
      </c>
      <c r="H195">
        <v>2.0329999999999999</v>
      </c>
      <c r="I195" t="s">
        <v>12</v>
      </c>
    </row>
    <row r="196" spans="1:9" x14ac:dyDescent="0.3">
      <c r="A196">
        <v>13</v>
      </c>
      <c r="B196">
        <v>3</v>
      </c>
      <c r="C196">
        <v>1</v>
      </c>
      <c r="D196">
        <v>3</v>
      </c>
      <c r="E196" t="s">
        <v>22</v>
      </c>
      <c r="F196" t="s">
        <v>358</v>
      </c>
      <c r="G196" t="s">
        <v>359</v>
      </c>
      <c r="H196">
        <v>1.3340000000000001</v>
      </c>
      <c r="I196" t="s">
        <v>21</v>
      </c>
    </row>
    <row r="197" spans="1:9" x14ac:dyDescent="0.3">
      <c r="A197">
        <v>13</v>
      </c>
      <c r="B197">
        <v>3</v>
      </c>
      <c r="C197">
        <v>1</v>
      </c>
      <c r="D197">
        <v>3</v>
      </c>
      <c r="E197" t="s">
        <v>9</v>
      </c>
      <c r="F197" t="s">
        <v>360</v>
      </c>
      <c r="G197" t="s">
        <v>361</v>
      </c>
      <c r="H197">
        <v>4.867</v>
      </c>
      <c r="I197" t="s">
        <v>12</v>
      </c>
    </row>
    <row r="198" spans="1:9" x14ac:dyDescent="0.3">
      <c r="A198">
        <v>13</v>
      </c>
      <c r="B198">
        <v>3</v>
      </c>
      <c r="C198">
        <v>1</v>
      </c>
      <c r="D198">
        <v>3</v>
      </c>
      <c r="E198" t="s">
        <v>9</v>
      </c>
      <c r="F198" t="s">
        <v>362</v>
      </c>
      <c r="G198" t="s">
        <v>363</v>
      </c>
      <c r="H198">
        <v>2.1680000000000001</v>
      </c>
      <c r="I198" t="s">
        <v>12</v>
      </c>
    </row>
    <row r="199" spans="1:9" x14ac:dyDescent="0.3">
      <c r="A199">
        <v>13</v>
      </c>
      <c r="B199">
        <v>3</v>
      </c>
      <c r="C199">
        <v>1</v>
      </c>
      <c r="D199">
        <v>3</v>
      </c>
      <c r="E199" t="s">
        <v>9</v>
      </c>
      <c r="F199" t="s">
        <v>364</v>
      </c>
      <c r="G199" t="s">
        <v>365</v>
      </c>
      <c r="H199">
        <v>1.7010000000000001</v>
      </c>
      <c r="I199" t="s">
        <v>12</v>
      </c>
    </row>
    <row r="200" spans="1:9" x14ac:dyDescent="0.3">
      <c r="A200">
        <v>13</v>
      </c>
      <c r="B200">
        <v>3</v>
      </c>
      <c r="C200">
        <v>1</v>
      </c>
      <c r="D200">
        <v>3</v>
      </c>
      <c r="E200" t="s">
        <v>19</v>
      </c>
      <c r="F200" t="s">
        <v>366</v>
      </c>
      <c r="I200" t="s">
        <v>21</v>
      </c>
    </row>
    <row r="201" spans="1:9" x14ac:dyDescent="0.3">
      <c r="A201">
        <v>13</v>
      </c>
      <c r="B201">
        <v>3</v>
      </c>
      <c r="C201">
        <v>2</v>
      </c>
      <c r="D201">
        <v>1</v>
      </c>
      <c r="E201" t="s">
        <v>9</v>
      </c>
      <c r="F201" t="s">
        <v>367</v>
      </c>
      <c r="G201" t="s">
        <v>368</v>
      </c>
      <c r="H201">
        <v>1.5529999999999999</v>
      </c>
      <c r="I201" t="s">
        <v>12</v>
      </c>
    </row>
    <row r="202" spans="1:9" x14ac:dyDescent="0.3">
      <c r="A202">
        <v>13</v>
      </c>
      <c r="B202">
        <v>3</v>
      </c>
      <c r="C202">
        <v>2</v>
      </c>
      <c r="D202">
        <v>1</v>
      </c>
      <c r="E202" t="s">
        <v>22</v>
      </c>
      <c r="F202" t="s">
        <v>369</v>
      </c>
      <c r="G202" t="s">
        <v>370</v>
      </c>
      <c r="H202">
        <v>1.901</v>
      </c>
      <c r="I202" t="s">
        <v>21</v>
      </c>
    </row>
    <row r="203" spans="1:9" x14ac:dyDescent="0.3">
      <c r="A203">
        <v>13</v>
      </c>
      <c r="B203">
        <v>3</v>
      </c>
      <c r="C203">
        <v>2</v>
      </c>
      <c r="D203">
        <v>1</v>
      </c>
      <c r="E203" t="s">
        <v>22</v>
      </c>
      <c r="F203" t="s">
        <v>371</v>
      </c>
      <c r="G203" t="s">
        <v>372</v>
      </c>
      <c r="H203">
        <v>1.1000000000000001</v>
      </c>
      <c r="I203" t="s">
        <v>21</v>
      </c>
    </row>
    <row r="204" spans="1:9" x14ac:dyDescent="0.3">
      <c r="A204">
        <v>13</v>
      </c>
      <c r="B204">
        <v>3</v>
      </c>
      <c r="C204">
        <v>2</v>
      </c>
      <c r="D204">
        <v>1</v>
      </c>
      <c r="E204" t="s">
        <v>9</v>
      </c>
      <c r="F204" t="s">
        <v>373</v>
      </c>
      <c r="H204" t="s">
        <v>81</v>
      </c>
      <c r="I204" t="s">
        <v>34</v>
      </c>
    </row>
    <row r="205" spans="1:9" x14ac:dyDescent="0.3">
      <c r="A205">
        <v>13</v>
      </c>
      <c r="B205">
        <v>3</v>
      </c>
      <c r="C205">
        <v>2</v>
      </c>
      <c r="D205">
        <v>2</v>
      </c>
      <c r="E205" t="s">
        <v>9</v>
      </c>
      <c r="F205" t="s">
        <v>374</v>
      </c>
      <c r="G205" t="s">
        <v>375</v>
      </c>
      <c r="H205">
        <v>1.353</v>
      </c>
      <c r="I205" t="s">
        <v>12</v>
      </c>
    </row>
    <row r="206" spans="1:9" x14ac:dyDescent="0.3">
      <c r="A206">
        <v>13</v>
      </c>
      <c r="B206">
        <v>3</v>
      </c>
      <c r="C206">
        <v>2</v>
      </c>
      <c r="D206">
        <v>2</v>
      </c>
      <c r="E206" t="s">
        <v>22</v>
      </c>
      <c r="F206" t="s">
        <v>376</v>
      </c>
      <c r="G206" t="s">
        <v>377</v>
      </c>
      <c r="H206">
        <v>1.534</v>
      </c>
      <c r="I206" t="s">
        <v>21</v>
      </c>
    </row>
    <row r="207" spans="1:9" x14ac:dyDescent="0.3">
      <c r="A207">
        <v>13</v>
      </c>
      <c r="B207">
        <v>3</v>
      </c>
      <c r="C207">
        <v>2</v>
      </c>
      <c r="D207">
        <v>2</v>
      </c>
      <c r="E207" t="s">
        <v>22</v>
      </c>
      <c r="F207" t="s">
        <v>378</v>
      </c>
      <c r="G207" t="s">
        <v>379</v>
      </c>
      <c r="H207">
        <v>0.63400000000000001</v>
      </c>
      <c r="I207" t="s">
        <v>21</v>
      </c>
    </row>
    <row r="208" spans="1:9" x14ac:dyDescent="0.3">
      <c r="A208">
        <v>13</v>
      </c>
      <c r="B208">
        <v>3</v>
      </c>
      <c r="C208">
        <v>2</v>
      </c>
      <c r="D208">
        <v>2</v>
      </c>
      <c r="E208" t="s">
        <v>9</v>
      </c>
      <c r="F208" t="s">
        <v>380</v>
      </c>
      <c r="G208" t="s">
        <v>381</v>
      </c>
      <c r="H208">
        <v>2.3340000000000001</v>
      </c>
      <c r="I208" t="s">
        <v>12</v>
      </c>
    </row>
    <row r="209" spans="1:9" x14ac:dyDescent="0.3">
      <c r="A209">
        <v>13</v>
      </c>
      <c r="B209">
        <v>3</v>
      </c>
      <c r="C209">
        <v>2</v>
      </c>
      <c r="D209">
        <v>2</v>
      </c>
      <c r="E209" t="s">
        <v>19</v>
      </c>
      <c r="F209" t="s">
        <v>382</v>
      </c>
      <c r="I209" t="s">
        <v>21</v>
      </c>
    </row>
    <row r="210" spans="1:9" x14ac:dyDescent="0.3">
      <c r="A210">
        <v>13</v>
      </c>
      <c r="B210">
        <v>3</v>
      </c>
      <c r="C210">
        <v>2</v>
      </c>
      <c r="D210">
        <v>2</v>
      </c>
      <c r="E210" t="s">
        <v>9</v>
      </c>
      <c r="F210" t="s">
        <v>383</v>
      </c>
      <c r="G210" t="s">
        <v>384</v>
      </c>
      <c r="H210">
        <v>1.5529999999999999</v>
      </c>
      <c r="I210" t="s">
        <v>12</v>
      </c>
    </row>
    <row r="211" spans="1:9" x14ac:dyDescent="0.3">
      <c r="A211">
        <v>13</v>
      </c>
      <c r="B211">
        <v>3</v>
      </c>
      <c r="C211">
        <v>2</v>
      </c>
      <c r="D211">
        <v>2</v>
      </c>
      <c r="E211" t="s">
        <v>9</v>
      </c>
      <c r="F211" t="s">
        <v>385</v>
      </c>
      <c r="G211" t="s">
        <v>386</v>
      </c>
      <c r="H211">
        <v>1.7010000000000001</v>
      </c>
      <c r="I211" t="s">
        <v>12</v>
      </c>
    </row>
    <row r="212" spans="1:9" x14ac:dyDescent="0.3">
      <c r="A212">
        <v>13</v>
      </c>
      <c r="B212">
        <v>3</v>
      </c>
      <c r="C212">
        <v>3</v>
      </c>
      <c r="D212">
        <v>1</v>
      </c>
      <c r="E212" t="s">
        <v>9</v>
      </c>
      <c r="F212" t="s">
        <v>387</v>
      </c>
      <c r="G212" t="s">
        <v>388</v>
      </c>
      <c r="H212">
        <v>2.786</v>
      </c>
      <c r="I212" t="s">
        <v>12</v>
      </c>
    </row>
    <row r="213" spans="1:9" x14ac:dyDescent="0.3">
      <c r="A213">
        <v>13</v>
      </c>
      <c r="B213">
        <v>3</v>
      </c>
      <c r="C213">
        <v>3</v>
      </c>
      <c r="D213">
        <v>1</v>
      </c>
      <c r="E213" t="s">
        <v>22</v>
      </c>
      <c r="F213" t="s">
        <v>389</v>
      </c>
      <c r="G213" t="s">
        <v>390</v>
      </c>
      <c r="H213">
        <v>3.1680000000000001</v>
      </c>
      <c r="I213" t="s">
        <v>21</v>
      </c>
    </row>
    <row r="214" spans="1:9" x14ac:dyDescent="0.3">
      <c r="A214">
        <v>13</v>
      </c>
      <c r="B214">
        <v>3</v>
      </c>
      <c r="C214">
        <v>3</v>
      </c>
      <c r="D214">
        <v>1</v>
      </c>
      <c r="E214" t="s">
        <v>9</v>
      </c>
      <c r="F214" t="s">
        <v>391</v>
      </c>
      <c r="G214" t="s">
        <v>392</v>
      </c>
      <c r="H214">
        <v>3.0009999999999999</v>
      </c>
      <c r="I214" t="s">
        <v>12</v>
      </c>
    </row>
    <row r="215" spans="1:9" x14ac:dyDescent="0.3">
      <c r="A215">
        <v>13</v>
      </c>
      <c r="B215">
        <v>3</v>
      </c>
      <c r="C215">
        <v>3</v>
      </c>
      <c r="D215">
        <v>1</v>
      </c>
      <c r="E215" t="s">
        <v>22</v>
      </c>
      <c r="F215" t="s">
        <v>393</v>
      </c>
      <c r="G215" t="s">
        <v>394</v>
      </c>
      <c r="H215">
        <v>2.3010000000000002</v>
      </c>
      <c r="I215" t="s">
        <v>21</v>
      </c>
    </row>
    <row r="216" spans="1:9" x14ac:dyDescent="0.3">
      <c r="A216">
        <v>13</v>
      </c>
      <c r="B216">
        <v>3</v>
      </c>
      <c r="C216">
        <v>3</v>
      </c>
      <c r="D216">
        <v>1</v>
      </c>
      <c r="E216" t="s">
        <v>19</v>
      </c>
      <c r="F216" t="s">
        <v>395</v>
      </c>
      <c r="I216" t="s">
        <v>34</v>
      </c>
    </row>
    <row r="217" spans="1:9" x14ac:dyDescent="0.3">
      <c r="A217">
        <v>13</v>
      </c>
      <c r="B217">
        <v>3</v>
      </c>
      <c r="C217">
        <v>3</v>
      </c>
      <c r="D217">
        <v>2</v>
      </c>
      <c r="E217" t="s">
        <v>22</v>
      </c>
      <c r="F217" t="s">
        <v>396</v>
      </c>
      <c r="G217" t="s">
        <v>397</v>
      </c>
      <c r="H217">
        <v>1.0529999999999999</v>
      </c>
      <c r="I217" t="s">
        <v>21</v>
      </c>
    </row>
    <row r="218" spans="1:9" x14ac:dyDescent="0.3">
      <c r="A218">
        <v>13</v>
      </c>
      <c r="B218">
        <v>3</v>
      </c>
      <c r="C218">
        <v>3</v>
      </c>
      <c r="D218">
        <v>2</v>
      </c>
      <c r="E218" t="s">
        <v>22</v>
      </c>
      <c r="F218" t="s">
        <v>398</v>
      </c>
      <c r="G218" t="s">
        <v>399</v>
      </c>
      <c r="H218">
        <v>1.4670000000000001</v>
      </c>
      <c r="I218" t="s">
        <v>21</v>
      </c>
    </row>
    <row r="219" spans="1:9" x14ac:dyDescent="0.3">
      <c r="A219">
        <v>13</v>
      </c>
      <c r="B219">
        <v>3</v>
      </c>
      <c r="C219">
        <v>3</v>
      </c>
      <c r="D219">
        <v>2</v>
      </c>
      <c r="E219" t="s">
        <v>9</v>
      </c>
      <c r="F219" t="s">
        <v>400</v>
      </c>
      <c r="G219" t="s">
        <v>401</v>
      </c>
      <c r="H219">
        <v>1.3009999999999999</v>
      </c>
      <c r="I219" t="s">
        <v>12</v>
      </c>
    </row>
    <row r="220" spans="1:9" x14ac:dyDescent="0.3">
      <c r="A220">
        <v>13</v>
      </c>
      <c r="B220">
        <v>3</v>
      </c>
      <c r="C220">
        <v>3</v>
      </c>
      <c r="D220">
        <v>2</v>
      </c>
      <c r="E220" t="s">
        <v>19</v>
      </c>
      <c r="F220" t="s">
        <v>402</v>
      </c>
      <c r="I220" t="s">
        <v>21</v>
      </c>
    </row>
    <row r="221" spans="1:9" x14ac:dyDescent="0.3">
      <c r="A221">
        <v>13</v>
      </c>
      <c r="B221">
        <v>3</v>
      </c>
      <c r="C221">
        <v>3</v>
      </c>
      <c r="D221">
        <v>2</v>
      </c>
      <c r="E221" t="s">
        <v>9</v>
      </c>
      <c r="F221" t="s">
        <v>403</v>
      </c>
      <c r="G221" t="s">
        <v>404</v>
      </c>
      <c r="H221">
        <v>1.5669999999999999</v>
      </c>
      <c r="I221" t="s">
        <v>12</v>
      </c>
    </row>
    <row r="222" spans="1:9" x14ac:dyDescent="0.3">
      <c r="A222">
        <v>13</v>
      </c>
      <c r="B222">
        <v>3</v>
      </c>
      <c r="C222">
        <v>3</v>
      </c>
      <c r="D222">
        <v>2</v>
      </c>
      <c r="E222" t="s">
        <v>9</v>
      </c>
      <c r="F222" t="s">
        <v>405</v>
      </c>
      <c r="G222" t="s">
        <v>406</v>
      </c>
      <c r="H222">
        <v>2.0339999999999998</v>
      </c>
      <c r="I222" t="s">
        <v>12</v>
      </c>
    </row>
    <row r="223" spans="1:9" x14ac:dyDescent="0.3">
      <c r="A223">
        <v>13</v>
      </c>
      <c r="B223">
        <v>3</v>
      </c>
      <c r="C223">
        <v>3</v>
      </c>
      <c r="D223">
        <v>2</v>
      </c>
      <c r="E223" t="s">
        <v>9</v>
      </c>
      <c r="F223" t="s">
        <v>407</v>
      </c>
      <c r="G223" t="s">
        <v>408</v>
      </c>
      <c r="H223">
        <v>1.8</v>
      </c>
      <c r="I223" t="s">
        <v>12</v>
      </c>
    </row>
    <row r="224" spans="1:9" x14ac:dyDescent="0.3">
      <c r="A224">
        <v>13</v>
      </c>
      <c r="B224">
        <v>3</v>
      </c>
      <c r="C224">
        <v>3</v>
      </c>
      <c r="D224">
        <v>2</v>
      </c>
      <c r="E224" t="s">
        <v>19</v>
      </c>
      <c r="F224" t="s">
        <v>409</v>
      </c>
      <c r="I224" t="s">
        <v>21</v>
      </c>
    </row>
    <row r="225" spans="1:9" x14ac:dyDescent="0.3">
      <c r="A225">
        <v>15</v>
      </c>
      <c r="B225">
        <v>1</v>
      </c>
      <c r="C225">
        <v>1</v>
      </c>
      <c r="D225">
        <v>2</v>
      </c>
      <c r="E225" t="s">
        <v>9</v>
      </c>
      <c r="F225" t="s">
        <v>410</v>
      </c>
      <c r="G225" t="s">
        <v>411</v>
      </c>
      <c r="H225">
        <v>8.1929999999999996</v>
      </c>
      <c r="I225" t="s">
        <v>12</v>
      </c>
    </row>
    <row r="226" spans="1:9" x14ac:dyDescent="0.3">
      <c r="A226">
        <v>15</v>
      </c>
      <c r="B226">
        <v>1</v>
      </c>
      <c r="C226">
        <v>1</v>
      </c>
      <c r="D226">
        <v>3</v>
      </c>
      <c r="E226" t="s">
        <v>9</v>
      </c>
      <c r="F226" t="s">
        <v>412</v>
      </c>
      <c r="G226" t="s">
        <v>413</v>
      </c>
      <c r="H226">
        <v>1.92</v>
      </c>
      <c r="I226" t="s">
        <v>12</v>
      </c>
    </row>
    <row r="227" spans="1:9" x14ac:dyDescent="0.3">
      <c r="A227">
        <v>15</v>
      </c>
      <c r="B227">
        <v>1</v>
      </c>
      <c r="C227">
        <v>2</v>
      </c>
      <c r="D227">
        <v>1</v>
      </c>
      <c r="E227" t="s">
        <v>9</v>
      </c>
      <c r="F227" t="s">
        <v>414</v>
      </c>
      <c r="H227" t="s">
        <v>81</v>
      </c>
      <c r="I227" t="s">
        <v>34</v>
      </c>
    </row>
    <row r="228" spans="1:9" x14ac:dyDescent="0.3">
      <c r="A228">
        <v>15</v>
      </c>
      <c r="B228">
        <v>1</v>
      </c>
      <c r="C228">
        <v>2</v>
      </c>
      <c r="D228">
        <v>1</v>
      </c>
      <c r="E228" t="s">
        <v>9</v>
      </c>
      <c r="F228" t="s">
        <v>415</v>
      </c>
      <c r="H228" t="s">
        <v>81</v>
      </c>
      <c r="I228" t="s">
        <v>34</v>
      </c>
    </row>
    <row r="229" spans="1:9" x14ac:dyDescent="0.3">
      <c r="A229">
        <v>15</v>
      </c>
      <c r="B229">
        <v>1</v>
      </c>
      <c r="C229">
        <v>2</v>
      </c>
      <c r="D229">
        <v>2</v>
      </c>
      <c r="E229" t="s">
        <v>9</v>
      </c>
      <c r="F229" t="s">
        <v>416</v>
      </c>
      <c r="G229" t="s">
        <v>417</v>
      </c>
      <c r="H229">
        <v>2.7530000000000001</v>
      </c>
      <c r="I229" t="s">
        <v>12</v>
      </c>
    </row>
    <row r="230" spans="1:9" x14ac:dyDescent="0.3">
      <c r="A230">
        <v>15</v>
      </c>
      <c r="B230">
        <v>1</v>
      </c>
      <c r="C230">
        <v>2</v>
      </c>
      <c r="D230">
        <v>2</v>
      </c>
      <c r="E230" t="s">
        <v>9</v>
      </c>
      <c r="F230" t="s">
        <v>5359</v>
      </c>
      <c r="G230" t="s">
        <v>5360</v>
      </c>
      <c r="H230">
        <v>3.9</v>
      </c>
      <c r="I230" t="s">
        <v>12</v>
      </c>
    </row>
    <row r="231" spans="1:9" x14ac:dyDescent="0.3">
      <c r="A231">
        <v>16</v>
      </c>
      <c r="B231">
        <v>1</v>
      </c>
      <c r="C231">
        <v>1</v>
      </c>
      <c r="D231">
        <v>1</v>
      </c>
      <c r="E231" t="s">
        <v>9</v>
      </c>
      <c r="F231" t="s">
        <v>418</v>
      </c>
      <c r="G231" t="s">
        <v>419</v>
      </c>
      <c r="H231">
        <v>3.6539999999999999</v>
      </c>
      <c r="I231" t="s">
        <v>12</v>
      </c>
    </row>
    <row r="232" spans="1:9" x14ac:dyDescent="0.3">
      <c r="A232">
        <v>16</v>
      </c>
      <c r="B232">
        <v>1</v>
      </c>
      <c r="C232">
        <v>1</v>
      </c>
      <c r="D232">
        <v>3</v>
      </c>
      <c r="E232" t="s">
        <v>9</v>
      </c>
      <c r="F232" t="s">
        <v>420</v>
      </c>
      <c r="G232" t="s">
        <v>421</v>
      </c>
      <c r="H232">
        <v>4.4859999999999998</v>
      </c>
      <c r="I232" t="s">
        <v>12</v>
      </c>
    </row>
    <row r="233" spans="1:9" x14ac:dyDescent="0.3">
      <c r="A233">
        <v>16</v>
      </c>
      <c r="B233">
        <v>1</v>
      </c>
      <c r="C233">
        <v>1</v>
      </c>
      <c r="D233">
        <v>3</v>
      </c>
      <c r="E233" t="s">
        <v>9</v>
      </c>
      <c r="F233" t="s">
        <v>422</v>
      </c>
      <c r="G233" t="s">
        <v>423</v>
      </c>
      <c r="H233">
        <v>5.1520000000000001</v>
      </c>
      <c r="I233" t="s">
        <v>12</v>
      </c>
    </row>
    <row r="234" spans="1:9" x14ac:dyDescent="0.3">
      <c r="A234">
        <v>16</v>
      </c>
      <c r="B234">
        <v>1</v>
      </c>
      <c r="C234">
        <v>1</v>
      </c>
      <c r="D234">
        <v>3</v>
      </c>
      <c r="E234" t="s">
        <v>19</v>
      </c>
      <c r="F234" t="s">
        <v>424</v>
      </c>
      <c r="I234" t="s">
        <v>21</v>
      </c>
    </row>
    <row r="235" spans="1:9" x14ac:dyDescent="0.3">
      <c r="A235">
        <v>16</v>
      </c>
      <c r="B235">
        <v>1</v>
      </c>
      <c r="C235">
        <v>1</v>
      </c>
      <c r="D235">
        <v>4</v>
      </c>
      <c r="E235" t="s">
        <v>9</v>
      </c>
      <c r="F235" t="s">
        <v>425</v>
      </c>
      <c r="G235" t="s">
        <v>426</v>
      </c>
      <c r="H235">
        <v>7.1859999999999999</v>
      </c>
      <c r="I235" t="s">
        <v>12</v>
      </c>
    </row>
    <row r="236" spans="1:9" x14ac:dyDescent="0.3">
      <c r="A236">
        <v>16</v>
      </c>
      <c r="B236">
        <v>1</v>
      </c>
      <c r="C236">
        <v>1</v>
      </c>
      <c r="D236">
        <v>4</v>
      </c>
      <c r="E236" t="s">
        <v>19</v>
      </c>
      <c r="F236" t="s">
        <v>427</v>
      </c>
      <c r="I236" t="s">
        <v>34</v>
      </c>
    </row>
    <row r="237" spans="1:9" x14ac:dyDescent="0.3">
      <c r="A237">
        <v>16</v>
      </c>
      <c r="B237">
        <v>1</v>
      </c>
      <c r="C237">
        <v>1</v>
      </c>
      <c r="D237">
        <v>4</v>
      </c>
      <c r="E237" t="s">
        <v>9</v>
      </c>
      <c r="F237" t="s">
        <v>428</v>
      </c>
      <c r="G237" t="s">
        <v>429</v>
      </c>
      <c r="H237">
        <v>2.4350000000000001</v>
      </c>
      <c r="I237" t="s">
        <v>12</v>
      </c>
    </row>
    <row r="238" spans="1:9" x14ac:dyDescent="0.3">
      <c r="A238">
        <v>16</v>
      </c>
      <c r="B238">
        <v>1</v>
      </c>
      <c r="C238">
        <v>2</v>
      </c>
      <c r="D238">
        <v>1</v>
      </c>
      <c r="E238" t="s">
        <v>9</v>
      </c>
      <c r="F238" t="s">
        <v>430</v>
      </c>
      <c r="G238" t="s">
        <v>431</v>
      </c>
      <c r="H238">
        <v>4.1180000000000003</v>
      </c>
      <c r="I238" t="s">
        <v>12</v>
      </c>
    </row>
    <row r="239" spans="1:9" x14ac:dyDescent="0.3">
      <c r="A239">
        <v>16</v>
      </c>
      <c r="B239">
        <v>1</v>
      </c>
      <c r="C239">
        <v>2</v>
      </c>
      <c r="D239">
        <v>1</v>
      </c>
      <c r="E239" t="s">
        <v>9</v>
      </c>
      <c r="F239" t="s">
        <v>432</v>
      </c>
      <c r="H239" t="s">
        <v>81</v>
      </c>
      <c r="I239" t="s">
        <v>34</v>
      </c>
    </row>
    <row r="240" spans="1:9" x14ac:dyDescent="0.3">
      <c r="A240">
        <v>16</v>
      </c>
      <c r="B240">
        <v>1</v>
      </c>
      <c r="C240">
        <v>2</v>
      </c>
      <c r="D240">
        <v>1</v>
      </c>
      <c r="E240" t="s">
        <v>19</v>
      </c>
      <c r="F240" t="s">
        <v>433</v>
      </c>
      <c r="I240" t="s">
        <v>34</v>
      </c>
    </row>
    <row r="241" spans="1:9" x14ac:dyDescent="0.3">
      <c r="A241">
        <v>16</v>
      </c>
      <c r="B241">
        <v>1</v>
      </c>
      <c r="C241">
        <v>1</v>
      </c>
      <c r="D241">
        <v>1</v>
      </c>
      <c r="E241" t="s">
        <v>9</v>
      </c>
      <c r="F241" t="s">
        <v>434</v>
      </c>
      <c r="G241" t="s">
        <v>435</v>
      </c>
      <c r="H241">
        <v>3.5859999999999999</v>
      </c>
      <c r="I241" t="s">
        <v>12</v>
      </c>
    </row>
    <row r="242" spans="1:9" x14ac:dyDescent="0.3">
      <c r="A242">
        <v>16</v>
      </c>
      <c r="B242">
        <v>1</v>
      </c>
      <c r="C242">
        <v>1</v>
      </c>
      <c r="D242">
        <v>1</v>
      </c>
      <c r="E242" t="s">
        <v>19</v>
      </c>
      <c r="F242" t="s">
        <v>436</v>
      </c>
      <c r="I242" t="s">
        <v>21</v>
      </c>
    </row>
    <row r="243" spans="1:9" x14ac:dyDescent="0.3">
      <c r="A243">
        <v>16</v>
      </c>
      <c r="B243">
        <v>1</v>
      </c>
      <c r="C243">
        <v>1</v>
      </c>
      <c r="D243">
        <v>1</v>
      </c>
      <c r="E243" t="s">
        <v>9</v>
      </c>
      <c r="F243" t="s">
        <v>437</v>
      </c>
      <c r="G243" t="s">
        <v>438</v>
      </c>
      <c r="H243">
        <v>1.952</v>
      </c>
      <c r="I243" t="s">
        <v>12</v>
      </c>
    </row>
    <row r="244" spans="1:9" x14ac:dyDescent="0.3">
      <c r="A244">
        <v>16</v>
      </c>
      <c r="B244">
        <v>1</v>
      </c>
      <c r="C244">
        <v>2</v>
      </c>
      <c r="D244">
        <v>1</v>
      </c>
      <c r="E244" t="s">
        <v>9</v>
      </c>
      <c r="F244" t="s">
        <v>439</v>
      </c>
      <c r="G244" t="s">
        <v>440</v>
      </c>
      <c r="H244">
        <v>2.3860000000000001</v>
      </c>
      <c r="I244" t="s">
        <v>12</v>
      </c>
    </row>
    <row r="245" spans="1:9" x14ac:dyDescent="0.3">
      <c r="A245">
        <v>16</v>
      </c>
      <c r="B245">
        <v>1</v>
      </c>
      <c r="C245">
        <v>2</v>
      </c>
      <c r="D245">
        <v>1</v>
      </c>
      <c r="E245" t="s">
        <v>22</v>
      </c>
      <c r="F245" t="s">
        <v>441</v>
      </c>
      <c r="G245" t="s">
        <v>442</v>
      </c>
      <c r="H245">
        <v>2.153</v>
      </c>
      <c r="I245" t="s">
        <v>21</v>
      </c>
    </row>
    <row r="246" spans="1:9" x14ac:dyDescent="0.3">
      <c r="A246">
        <v>16</v>
      </c>
      <c r="B246">
        <v>1</v>
      </c>
      <c r="C246">
        <v>2</v>
      </c>
      <c r="D246">
        <v>1</v>
      </c>
      <c r="E246" t="s">
        <v>19</v>
      </c>
      <c r="F246" t="s">
        <v>443</v>
      </c>
      <c r="I246" t="s">
        <v>34</v>
      </c>
    </row>
    <row r="247" spans="1:9" x14ac:dyDescent="0.3">
      <c r="A247">
        <v>16</v>
      </c>
      <c r="B247">
        <v>1</v>
      </c>
      <c r="C247">
        <v>2</v>
      </c>
      <c r="D247">
        <v>1</v>
      </c>
      <c r="E247" t="s">
        <v>9</v>
      </c>
      <c r="F247" t="s">
        <v>444</v>
      </c>
      <c r="H247" t="s">
        <v>81</v>
      </c>
      <c r="I247" t="s">
        <v>34</v>
      </c>
    </row>
    <row r="248" spans="1:9" x14ac:dyDescent="0.3">
      <c r="A248">
        <v>16</v>
      </c>
      <c r="B248">
        <v>1</v>
      </c>
      <c r="C248">
        <v>2</v>
      </c>
      <c r="D248">
        <v>1</v>
      </c>
      <c r="E248" t="s">
        <v>9</v>
      </c>
      <c r="F248" t="s">
        <v>445</v>
      </c>
      <c r="G248" t="s">
        <v>446</v>
      </c>
      <c r="H248">
        <v>2.9329999999999998</v>
      </c>
      <c r="I248" t="s">
        <v>12</v>
      </c>
    </row>
    <row r="249" spans="1:9" x14ac:dyDescent="0.3">
      <c r="A249">
        <v>16</v>
      </c>
      <c r="B249">
        <v>1</v>
      </c>
      <c r="C249">
        <v>2</v>
      </c>
      <c r="D249">
        <v>2</v>
      </c>
      <c r="E249" t="s">
        <v>22</v>
      </c>
      <c r="F249" t="s">
        <v>447</v>
      </c>
      <c r="G249" t="s">
        <v>448</v>
      </c>
      <c r="H249">
        <v>1.786</v>
      </c>
      <c r="I249" t="s">
        <v>21</v>
      </c>
    </row>
    <row r="250" spans="1:9" x14ac:dyDescent="0.3">
      <c r="A250">
        <v>16</v>
      </c>
      <c r="B250">
        <v>1</v>
      </c>
      <c r="C250">
        <v>2</v>
      </c>
      <c r="D250">
        <v>2</v>
      </c>
      <c r="E250" t="s">
        <v>9</v>
      </c>
      <c r="F250" t="s">
        <v>449</v>
      </c>
      <c r="G250" t="s">
        <v>450</v>
      </c>
      <c r="H250">
        <v>1.786</v>
      </c>
      <c r="I250" t="s">
        <v>12</v>
      </c>
    </row>
    <row r="251" spans="1:9" x14ac:dyDescent="0.3">
      <c r="A251">
        <v>16</v>
      </c>
      <c r="B251">
        <v>1</v>
      </c>
      <c r="C251">
        <v>2</v>
      </c>
      <c r="D251">
        <v>2</v>
      </c>
      <c r="E251" t="s">
        <v>19</v>
      </c>
      <c r="F251" t="s">
        <v>451</v>
      </c>
      <c r="I251" t="s">
        <v>21</v>
      </c>
    </row>
    <row r="252" spans="1:9" x14ac:dyDescent="0.3">
      <c r="A252">
        <v>16</v>
      </c>
      <c r="B252">
        <v>1</v>
      </c>
      <c r="C252">
        <v>2</v>
      </c>
      <c r="D252">
        <v>2</v>
      </c>
      <c r="E252" t="s">
        <v>9</v>
      </c>
      <c r="F252" t="s">
        <v>452</v>
      </c>
      <c r="G252" t="s">
        <v>453</v>
      </c>
      <c r="H252">
        <v>2.101</v>
      </c>
      <c r="I252" t="s">
        <v>12</v>
      </c>
    </row>
    <row r="253" spans="1:9" x14ac:dyDescent="0.3">
      <c r="A253">
        <v>16</v>
      </c>
      <c r="B253">
        <v>1</v>
      </c>
      <c r="C253">
        <v>2</v>
      </c>
      <c r="D253">
        <v>2</v>
      </c>
      <c r="E253" t="s">
        <v>9</v>
      </c>
      <c r="F253" t="s">
        <v>454</v>
      </c>
      <c r="G253" t="s">
        <v>455</v>
      </c>
      <c r="H253">
        <v>2.7669999999999999</v>
      </c>
      <c r="I253" t="s">
        <v>12</v>
      </c>
    </row>
    <row r="254" spans="1:9" x14ac:dyDescent="0.3">
      <c r="A254">
        <v>16</v>
      </c>
      <c r="B254">
        <v>1</v>
      </c>
      <c r="C254">
        <v>2</v>
      </c>
      <c r="D254">
        <v>2</v>
      </c>
      <c r="E254" t="s">
        <v>9</v>
      </c>
      <c r="F254" t="s">
        <v>456</v>
      </c>
      <c r="G254" t="s">
        <v>457</v>
      </c>
      <c r="H254">
        <v>1.8009999999999999</v>
      </c>
      <c r="I254" t="s">
        <v>12</v>
      </c>
    </row>
    <row r="255" spans="1:9" x14ac:dyDescent="0.3">
      <c r="A255">
        <v>16</v>
      </c>
      <c r="B255">
        <v>3</v>
      </c>
      <c r="C255">
        <v>1</v>
      </c>
      <c r="D255">
        <v>1</v>
      </c>
      <c r="E255" t="s">
        <v>9</v>
      </c>
      <c r="F255" t="s">
        <v>458</v>
      </c>
      <c r="G255" t="s">
        <v>459</v>
      </c>
      <c r="H255">
        <v>3.3849999999999998</v>
      </c>
      <c r="I255" t="s">
        <v>12</v>
      </c>
    </row>
    <row r="256" spans="1:9" x14ac:dyDescent="0.3">
      <c r="A256">
        <v>16</v>
      </c>
      <c r="B256">
        <v>3</v>
      </c>
      <c r="C256">
        <v>1</v>
      </c>
      <c r="D256">
        <v>1</v>
      </c>
      <c r="E256" t="s">
        <v>22</v>
      </c>
      <c r="F256" t="s">
        <v>460</v>
      </c>
      <c r="G256" t="s">
        <v>461</v>
      </c>
      <c r="H256">
        <v>1.5680000000000001</v>
      </c>
      <c r="I256" t="s">
        <v>21</v>
      </c>
    </row>
    <row r="257" spans="1:9" x14ac:dyDescent="0.3">
      <c r="A257">
        <v>16</v>
      </c>
      <c r="B257">
        <v>3</v>
      </c>
      <c r="C257">
        <v>1</v>
      </c>
      <c r="D257">
        <v>1</v>
      </c>
      <c r="E257" t="s">
        <v>9</v>
      </c>
      <c r="F257" t="s">
        <v>462</v>
      </c>
      <c r="G257" t="s">
        <v>463</v>
      </c>
      <c r="H257">
        <v>1.919</v>
      </c>
      <c r="I257" t="s">
        <v>12</v>
      </c>
    </row>
    <row r="258" spans="1:9" x14ac:dyDescent="0.3">
      <c r="A258">
        <v>16</v>
      </c>
      <c r="B258">
        <v>3</v>
      </c>
      <c r="C258">
        <v>1</v>
      </c>
      <c r="D258">
        <v>1</v>
      </c>
      <c r="E258" t="s">
        <v>19</v>
      </c>
      <c r="F258" t="s">
        <v>464</v>
      </c>
      <c r="I258" t="s">
        <v>21</v>
      </c>
    </row>
    <row r="259" spans="1:9" x14ac:dyDescent="0.3">
      <c r="A259">
        <v>16</v>
      </c>
      <c r="B259">
        <v>3</v>
      </c>
      <c r="C259">
        <v>1</v>
      </c>
      <c r="D259">
        <v>2</v>
      </c>
      <c r="E259" t="s">
        <v>22</v>
      </c>
      <c r="F259" t="s">
        <v>465</v>
      </c>
      <c r="G259" t="s">
        <v>466</v>
      </c>
      <c r="H259">
        <v>1.619</v>
      </c>
      <c r="I259" t="s">
        <v>21</v>
      </c>
    </row>
    <row r="260" spans="1:9" x14ac:dyDescent="0.3">
      <c r="A260">
        <v>16</v>
      </c>
      <c r="B260">
        <v>3</v>
      </c>
      <c r="C260">
        <v>1</v>
      </c>
      <c r="D260">
        <v>2</v>
      </c>
      <c r="E260" t="s">
        <v>9</v>
      </c>
      <c r="F260" t="s">
        <v>467</v>
      </c>
      <c r="G260" t="s">
        <v>468</v>
      </c>
      <c r="H260">
        <v>2.0179999999999998</v>
      </c>
      <c r="I260" t="s">
        <v>12</v>
      </c>
    </row>
    <row r="261" spans="1:9" x14ac:dyDescent="0.3">
      <c r="A261">
        <v>16</v>
      </c>
      <c r="B261">
        <v>3</v>
      </c>
      <c r="C261">
        <v>1</v>
      </c>
      <c r="D261">
        <v>2</v>
      </c>
      <c r="E261" t="s">
        <v>9</v>
      </c>
      <c r="F261" t="s">
        <v>469</v>
      </c>
      <c r="H261" t="s">
        <v>81</v>
      </c>
      <c r="I261" t="s">
        <v>34</v>
      </c>
    </row>
    <row r="262" spans="1:9" x14ac:dyDescent="0.3">
      <c r="A262">
        <v>16</v>
      </c>
      <c r="B262">
        <v>3</v>
      </c>
      <c r="C262">
        <v>1</v>
      </c>
      <c r="D262">
        <v>2</v>
      </c>
      <c r="E262" t="s">
        <v>19</v>
      </c>
      <c r="F262" t="s">
        <v>470</v>
      </c>
      <c r="I262" t="s">
        <v>21</v>
      </c>
    </row>
    <row r="263" spans="1:9" x14ac:dyDescent="0.3">
      <c r="A263">
        <v>16</v>
      </c>
      <c r="B263">
        <v>3</v>
      </c>
      <c r="C263">
        <v>2</v>
      </c>
      <c r="D263">
        <v>1</v>
      </c>
      <c r="E263" t="s">
        <v>9</v>
      </c>
      <c r="F263" t="s">
        <v>471</v>
      </c>
      <c r="G263" t="s">
        <v>472</v>
      </c>
      <c r="H263">
        <v>1.988</v>
      </c>
      <c r="I263" t="s">
        <v>12</v>
      </c>
    </row>
    <row r="264" spans="1:9" x14ac:dyDescent="0.3">
      <c r="A264">
        <v>16</v>
      </c>
      <c r="B264">
        <v>3</v>
      </c>
      <c r="C264">
        <v>2</v>
      </c>
      <c r="D264">
        <v>1</v>
      </c>
      <c r="E264" t="s">
        <v>22</v>
      </c>
      <c r="F264" t="s">
        <v>473</v>
      </c>
      <c r="G264" t="s">
        <v>474</v>
      </c>
      <c r="H264">
        <v>1.7370000000000001</v>
      </c>
      <c r="I264" t="s">
        <v>21</v>
      </c>
    </row>
    <row r="265" spans="1:9" x14ac:dyDescent="0.3">
      <c r="A265">
        <v>16</v>
      </c>
      <c r="B265">
        <v>3</v>
      </c>
      <c r="C265">
        <v>2</v>
      </c>
      <c r="D265">
        <v>1</v>
      </c>
      <c r="E265" t="s">
        <v>9</v>
      </c>
      <c r="F265" t="s">
        <v>475</v>
      </c>
      <c r="G265" t="s">
        <v>476</v>
      </c>
      <c r="H265">
        <v>2.403</v>
      </c>
      <c r="I265" t="s">
        <v>12</v>
      </c>
    </row>
    <row r="266" spans="1:9" x14ac:dyDescent="0.3">
      <c r="A266">
        <v>16</v>
      </c>
      <c r="B266">
        <v>3</v>
      </c>
      <c r="C266">
        <v>2</v>
      </c>
      <c r="D266">
        <v>1</v>
      </c>
      <c r="E266" t="s">
        <v>9</v>
      </c>
      <c r="F266" t="s">
        <v>477</v>
      </c>
      <c r="G266" t="s">
        <v>478</v>
      </c>
      <c r="H266">
        <v>1.669</v>
      </c>
      <c r="I266" t="s">
        <v>12</v>
      </c>
    </row>
    <row r="267" spans="1:9" x14ac:dyDescent="0.3">
      <c r="A267">
        <v>16</v>
      </c>
      <c r="B267">
        <v>3</v>
      </c>
      <c r="C267">
        <v>2</v>
      </c>
      <c r="D267">
        <v>2</v>
      </c>
      <c r="E267" t="s">
        <v>9</v>
      </c>
      <c r="F267" t="s">
        <v>479</v>
      </c>
      <c r="G267" t="s">
        <v>480</v>
      </c>
      <c r="H267">
        <v>1.7210000000000001</v>
      </c>
      <c r="I267" t="s">
        <v>12</v>
      </c>
    </row>
    <row r="268" spans="1:9" x14ac:dyDescent="0.3">
      <c r="A268">
        <v>16</v>
      </c>
      <c r="B268">
        <v>3</v>
      </c>
      <c r="C268">
        <v>2</v>
      </c>
      <c r="D268">
        <v>2</v>
      </c>
      <c r="E268" t="s">
        <v>22</v>
      </c>
      <c r="F268" t="s">
        <v>481</v>
      </c>
      <c r="G268" t="s">
        <v>482</v>
      </c>
      <c r="H268">
        <v>1.0660000000000001</v>
      </c>
      <c r="I268" t="s">
        <v>21</v>
      </c>
    </row>
    <row r="269" spans="1:9" x14ac:dyDescent="0.3">
      <c r="A269">
        <v>16</v>
      </c>
      <c r="B269">
        <v>3</v>
      </c>
      <c r="C269">
        <v>2</v>
      </c>
      <c r="D269">
        <v>2</v>
      </c>
      <c r="E269" t="s">
        <v>9</v>
      </c>
      <c r="F269" t="s">
        <v>483</v>
      </c>
      <c r="G269" t="s">
        <v>484</v>
      </c>
      <c r="H269">
        <v>2.2189999999999999</v>
      </c>
      <c r="I269" t="s">
        <v>12</v>
      </c>
    </row>
    <row r="270" spans="1:9" x14ac:dyDescent="0.3">
      <c r="A270">
        <v>16</v>
      </c>
      <c r="B270">
        <v>3</v>
      </c>
      <c r="C270">
        <v>2</v>
      </c>
      <c r="D270">
        <v>2</v>
      </c>
      <c r="E270" t="s">
        <v>19</v>
      </c>
      <c r="F270" t="s">
        <v>485</v>
      </c>
      <c r="I270" t="s">
        <v>21</v>
      </c>
    </row>
    <row r="271" spans="1:9" x14ac:dyDescent="0.3">
      <c r="A271">
        <v>16</v>
      </c>
      <c r="B271">
        <v>3</v>
      </c>
      <c r="C271">
        <v>2</v>
      </c>
      <c r="D271">
        <v>2</v>
      </c>
      <c r="E271" t="s">
        <v>9</v>
      </c>
      <c r="F271" t="s">
        <v>486</v>
      </c>
      <c r="G271" t="s">
        <v>487</v>
      </c>
      <c r="H271">
        <v>2.2690000000000001</v>
      </c>
      <c r="I271" t="s">
        <v>12</v>
      </c>
    </row>
    <row r="272" spans="1:9" x14ac:dyDescent="0.3">
      <c r="A272">
        <v>16</v>
      </c>
      <c r="B272">
        <v>3</v>
      </c>
      <c r="C272">
        <v>3</v>
      </c>
      <c r="D272">
        <v>1</v>
      </c>
      <c r="E272" t="s">
        <v>9</v>
      </c>
      <c r="F272" t="s">
        <v>488</v>
      </c>
      <c r="G272" t="s">
        <v>489</v>
      </c>
      <c r="H272">
        <v>2.6520000000000001</v>
      </c>
      <c r="I272" t="s">
        <v>12</v>
      </c>
    </row>
    <row r="273" spans="1:9" x14ac:dyDescent="0.3">
      <c r="A273">
        <v>16</v>
      </c>
      <c r="B273">
        <v>3</v>
      </c>
      <c r="C273">
        <v>3</v>
      </c>
      <c r="D273">
        <v>1</v>
      </c>
      <c r="E273" t="s">
        <v>22</v>
      </c>
      <c r="F273" t="s">
        <v>490</v>
      </c>
      <c r="G273" t="s">
        <v>491</v>
      </c>
      <c r="H273">
        <v>1.635</v>
      </c>
      <c r="I273" t="s">
        <v>21</v>
      </c>
    </row>
    <row r="274" spans="1:9" x14ac:dyDescent="0.3">
      <c r="A274">
        <v>16</v>
      </c>
      <c r="B274">
        <v>3</v>
      </c>
      <c r="C274">
        <v>3</v>
      </c>
      <c r="D274">
        <v>1</v>
      </c>
      <c r="E274" t="s">
        <v>9</v>
      </c>
      <c r="F274" t="s">
        <v>492</v>
      </c>
      <c r="G274" t="s">
        <v>493</v>
      </c>
      <c r="H274">
        <v>2.286</v>
      </c>
      <c r="I274" t="s">
        <v>12</v>
      </c>
    </row>
    <row r="275" spans="1:9" x14ac:dyDescent="0.3">
      <c r="A275">
        <v>16</v>
      </c>
      <c r="B275">
        <v>3</v>
      </c>
      <c r="C275">
        <v>3</v>
      </c>
      <c r="D275">
        <v>1</v>
      </c>
      <c r="E275" t="s">
        <v>19</v>
      </c>
      <c r="F275" t="s">
        <v>494</v>
      </c>
      <c r="I275" t="s">
        <v>21</v>
      </c>
    </row>
    <row r="276" spans="1:9" x14ac:dyDescent="0.3">
      <c r="A276">
        <v>16</v>
      </c>
      <c r="B276">
        <v>3</v>
      </c>
      <c r="C276">
        <v>1</v>
      </c>
      <c r="D276">
        <v>1</v>
      </c>
      <c r="E276" t="s">
        <v>9</v>
      </c>
      <c r="F276" t="s">
        <v>495</v>
      </c>
      <c r="H276" t="s">
        <v>81</v>
      </c>
      <c r="I276" t="s">
        <v>34</v>
      </c>
    </row>
    <row r="277" spans="1:9" x14ac:dyDescent="0.3">
      <c r="A277">
        <v>16</v>
      </c>
      <c r="B277">
        <v>3</v>
      </c>
      <c r="C277">
        <v>1</v>
      </c>
      <c r="D277">
        <v>1</v>
      </c>
      <c r="E277" t="s">
        <v>9</v>
      </c>
      <c r="F277" t="s">
        <v>496</v>
      </c>
      <c r="G277" t="s">
        <v>497</v>
      </c>
      <c r="H277">
        <v>2.4180000000000001</v>
      </c>
      <c r="I277" t="s">
        <v>12</v>
      </c>
    </row>
    <row r="278" spans="1:9" x14ac:dyDescent="0.3">
      <c r="A278">
        <v>16</v>
      </c>
      <c r="B278">
        <v>3</v>
      </c>
      <c r="C278">
        <v>1</v>
      </c>
      <c r="D278">
        <v>1</v>
      </c>
      <c r="E278" t="s">
        <v>22</v>
      </c>
      <c r="F278" t="s">
        <v>498</v>
      </c>
      <c r="G278" t="s">
        <v>499</v>
      </c>
      <c r="H278">
        <v>2.367</v>
      </c>
      <c r="I278" t="s">
        <v>21</v>
      </c>
    </row>
    <row r="279" spans="1:9" x14ac:dyDescent="0.3">
      <c r="A279">
        <v>16</v>
      </c>
      <c r="B279">
        <v>3</v>
      </c>
      <c r="C279">
        <v>1</v>
      </c>
      <c r="D279">
        <v>1</v>
      </c>
      <c r="E279" t="s">
        <v>9</v>
      </c>
      <c r="F279" t="s">
        <v>500</v>
      </c>
      <c r="G279" t="s">
        <v>501</v>
      </c>
      <c r="H279">
        <v>2.4340000000000002</v>
      </c>
      <c r="I279" t="s">
        <v>12</v>
      </c>
    </row>
    <row r="280" spans="1:9" x14ac:dyDescent="0.3">
      <c r="A280">
        <v>16</v>
      </c>
      <c r="B280">
        <v>3</v>
      </c>
      <c r="C280">
        <v>1</v>
      </c>
      <c r="D280">
        <v>1</v>
      </c>
      <c r="E280" t="s">
        <v>9</v>
      </c>
      <c r="F280" t="s">
        <v>502</v>
      </c>
      <c r="G280" t="s">
        <v>503</v>
      </c>
      <c r="H280">
        <v>1.867</v>
      </c>
      <c r="I280" t="s">
        <v>12</v>
      </c>
    </row>
    <row r="281" spans="1:9" x14ac:dyDescent="0.3">
      <c r="A281">
        <v>16</v>
      </c>
      <c r="B281">
        <v>3</v>
      </c>
      <c r="C281">
        <v>1</v>
      </c>
      <c r="D281">
        <v>1</v>
      </c>
      <c r="E281" t="s">
        <v>19</v>
      </c>
      <c r="F281" t="s">
        <v>504</v>
      </c>
      <c r="I281" t="s">
        <v>21</v>
      </c>
    </row>
    <row r="282" spans="1:9" x14ac:dyDescent="0.3">
      <c r="A282">
        <v>16</v>
      </c>
      <c r="B282">
        <v>3</v>
      </c>
      <c r="C282">
        <v>1</v>
      </c>
      <c r="D282">
        <v>1</v>
      </c>
      <c r="E282" t="s">
        <v>22</v>
      </c>
      <c r="F282" t="s">
        <v>505</v>
      </c>
      <c r="G282" t="s">
        <v>506</v>
      </c>
      <c r="H282">
        <v>2.1</v>
      </c>
      <c r="I282" t="s">
        <v>21</v>
      </c>
    </row>
    <row r="283" spans="1:9" x14ac:dyDescent="0.3">
      <c r="A283">
        <v>16</v>
      </c>
      <c r="B283">
        <v>3</v>
      </c>
      <c r="C283">
        <v>1</v>
      </c>
      <c r="D283">
        <v>1</v>
      </c>
      <c r="E283" t="s">
        <v>19</v>
      </c>
      <c r="F283" t="s">
        <v>507</v>
      </c>
      <c r="I283" t="s">
        <v>21</v>
      </c>
    </row>
    <row r="284" spans="1:9" x14ac:dyDescent="0.3">
      <c r="A284">
        <v>16</v>
      </c>
      <c r="B284">
        <v>3</v>
      </c>
      <c r="C284">
        <v>2</v>
      </c>
      <c r="D284">
        <v>1</v>
      </c>
      <c r="E284" t="s">
        <v>9</v>
      </c>
      <c r="F284" t="s">
        <v>508</v>
      </c>
      <c r="G284" t="s">
        <v>509</v>
      </c>
      <c r="H284">
        <v>1.5509999999999999</v>
      </c>
      <c r="I284" t="s">
        <v>12</v>
      </c>
    </row>
    <row r="285" spans="1:9" x14ac:dyDescent="0.3">
      <c r="A285">
        <v>16</v>
      </c>
      <c r="B285">
        <v>3</v>
      </c>
      <c r="C285">
        <v>2</v>
      </c>
      <c r="D285">
        <v>1</v>
      </c>
      <c r="E285" t="s">
        <v>22</v>
      </c>
      <c r="F285" t="s">
        <v>510</v>
      </c>
      <c r="G285" t="s">
        <v>511</v>
      </c>
      <c r="H285">
        <v>1.734</v>
      </c>
      <c r="I285" t="s">
        <v>21</v>
      </c>
    </row>
    <row r="286" spans="1:9" x14ac:dyDescent="0.3">
      <c r="A286">
        <v>16</v>
      </c>
      <c r="B286">
        <v>3</v>
      </c>
      <c r="C286">
        <v>2</v>
      </c>
      <c r="D286">
        <v>1</v>
      </c>
      <c r="E286" t="s">
        <v>9</v>
      </c>
      <c r="F286" t="s">
        <v>512</v>
      </c>
      <c r="H286" t="s">
        <v>81</v>
      </c>
      <c r="I286" t="s">
        <v>34</v>
      </c>
    </row>
    <row r="287" spans="1:9" x14ac:dyDescent="0.3">
      <c r="A287">
        <v>16</v>
      </c>
      <c r="B287">
        <v>3</v>
      </c>
      <c r="C287">
        <v>2</v>
      </c>
      <c r="D287">
        <v>1</v>
      </c>
      <c r="E287" t="s">
        <v>19</v>
      </c>
      <c r="F287" t="s">
        <v>513</v>
      </c>
      <c r="I287" t="s">
        <v>21</v>
      </c>
    </row>
    <row r="288" spans="1:9" x14ac:dyDescent="0.3">
      <c r="A288">
        <v>16</v>
      </c>
      <c r="B288">
        <v>3</v>
      </c>
      <c r="C288">
        <v>2</v>
      </c>
      <c r="D288">
        <v>1</v>
      </c>
      <c r="E288" t="s">
        <v>9</v>
      </c>
      <c r="F288" t="s">
        <v>514</v>
      </c>
      <c r="H288" t="s">
        <v>81</v>
      </c>
      <c r="I288" t="s">
        <v>34</v>
      </c>
    </row>
    <row r="289" spans="1:9" x14ac:dyDescent="0.3">
      <c r="A289">
        <v>16</v>
      </c>
      <c r="B289">
        <v>3</v>
      </c>
      <c r="C289">
        <v>2</v>
      </c>
      <c r="D289">
        <v>1</v>
      </c>
      <c r="E289" t="s">
        <v>22</v>
      </c>
      <c r="F289" t="s">
        <v>515</v>
      </c>
      <c r="G289" t="s">
        <v>516</v>
      </c>
      <c r="H289">
        <v>1.7010000000000001</v>
      </c>
      <c r="I289" t="s">
        <v>21</v>
      </c>
    </row>
    <row r="290" spans="1:9" x14ac:dyDescent="0.3">
      <c r="A290">
        <v>16</v>
      </c>
      <c r="B290">
        <v>3</v>
      </c>
      <c r="C290">
        <v>2</v>
      </c>
      <c r="D290">
        <v>1</v>
      </c>
      <c r="E290" t="s">
        <v>9</v>
      </c>
      <c r="F290" t="s">
        <v>517</v>
      </c>
      <c r="G290" t="s">
        <v>518</v>
      </c>
      <c r="H290">
        <v>1.6659999999999999</v>
      </c>
      <c r="I290" t="s">
        <v>12</v>
      </c>
    </row>
    <row r="291" spans="1:9" x14ac:dyDescent="0.3">
      <c r="A291">
        <v>16</v>
      </c>
      <c r="B291">
        <v>3</v>
      </c>
      <c r="C291">
        <v>2</v>
      </c>
      <c r="D291">
        <v>1</v>
      </c>
      <c r="E291" t="s">
        <v>19</v>
      </c>
      <c r="F291" t="s">
        <v>519</v>
      </c>
      <c r="I291" t="s">
        <v>21</v>
      </c>
    </row>
    <row r="292" spans="1:9" x14ac:dyDescent="0.3">
      <c r="A292">
        <v>16</v>
      </c>
      <c r="B292">
        <v>3</v>
      </c>
      <c r="C292">
        <v>3</v>
      </c>
      <c r="D292">
        <v>1</v>
      </c>
      <c r="E292" t="s">
        <v>9</v>
      </c>
      <c r="F292" t="s">
        <v>520</v>
      </c>
      <c r="G292" t="s">
        <v>521</v>
      </c>
      <c r="H292">
        <v>7.42</v>
      </c>
      <c r="I292" t="s">
        <v>12</v>
      </c>
    </row>
    <row r="293" spans="1:9" x14ac:dyDescent="0.3">
      <c r="A293">
        <v>16</v>
      </c>
      <c r="B293">
        <v>3</v>
      </c>
      <c r="C293">
        <v>3</v>
      </c>
      <c r="D293">
        <v>1</v>
      </c>
      <c r="E293" t="s">
        <v>9</v>
      </c>
      <c r="F293" t="s">
        <v>522</v>
      </c>
      <c r="G293" t="s">
        <v>523</v>
      </c>
      <c r="H293">
        <v>1.72</v>
      </c>
      <c r="I293" t="s">
        <v>12</v>
      </c>
    </row>
    <row r="294" spans="1:9" x14ac:dyDescent="0.3">
      <c r="A294">
        <v>16</v>
      </c>
      <c r="B294">
        <v>3</v>
      </c>
      <c r="C294">
        <v>3</v>
      </c>
      <c r="D294">
        <v>1</v>
      </c>
      <c r="E294" t="s">
        <v>22</v>
      </c>
      <c r="F294" t="s">
        <v>524</v>
      </c>
      <c r="G294" t="s">
        <v>525</v>
      </c>
      <c r="H294">
        <v>1.369</v>
      </c>
      <c r="I294" t="s">
        <v>21</v>
      </c>
    </row>
    <row r="295" spans="1:9" x14ac:dyDescent="0.3">
      <c r="A295">
        <v>16</v>
      </c>
      <c r="B295">
        <v>3</v>
      </c>
      <c r="C295">
        <v>3</v>
      </c>
      <c r="D295">
        <v>1</v>
      </c>
      <c r="E295" t="s">
        <v>9</v>
      </c>
      <c r="F295" t="s">
        <v>526</v>
      </c>
      <c r="G295" t="s">
        <v>527</v>
      </c>
      <c r="H295">
        <v>1.8680000000000001</v>
      </c>
      <c r="I295" t="s">
        <v>12</v>
      </c>
    </row>
    <row r="296" spans="1:9" x14ac:dyDescent="0.3">
      <c r="A296">
        <v>16</v>
      </c>
      <c r="B296">
        <v>3</v>
      </c>
      <c r="C296">
        <v>3</v>
      </c>
      <c r="D296">
        <v>1</v>
      </c>
      <c r="E296" t="s">
        <v>19</v>
      </c>
      <c r="F296" t="s">
        <v>528</v>
      </c>
      <c r="I296" t="s">
        <v>34</v>
      </c>
    </row>
    <row r="297" spans="1:9" x14ac:dyDescent="0.3">
      <c r="A297">
        <v>16</v>
      </c>
      <c r="B297">
        <v>3</v>
      </c>
      <c r="C297">
        <v>3</v>
      </c>
      <c r="D297">
        <v>1</v>
      </c>
      <c r="E297" t="s">
        <v>9</v>
      </c>
      <c r="F297" t="s">
        <v>529</v>
      </c>
      <c r="G297" t="s">
        <v>530</v>
      </c>
      <c r="H297">
        <v>5</v>
      </c>
      <c r="I297" t="s">
        <v>12</v>
      </c>
    </row>
    <row r="298" spans="1:9" x14ac:dyDescent="0.3">
      <c r="A298">
        <v>16</v>
      </c>
      <c r="B298">
        <v>3</v>
      </c>
      <c r="C298">
        <v>3</v>
      </c>
      <c r="D298">
        <v>1</v>
      </c>
      <c r="E298" t="s">
        <v>22</v>
      </c>
      <c r="F298" t="s">
        <v>531</v>
      </c>
      <c r="G298" t="s">
        <v>532</v>
      </c>
      <c r="H298">
        <v>1.8009999999999999</v>
      </c>
      <c r="I298" t="s">
        <v>21</v>
      </c>
    </row>
    <row r="299" spans="1:9" x14ac:dyDescent="0.3">
      <c r="A299">
        <v>16</v>
      </c>
      <c r="B299">
        <v>3</v>
      </c>
      <c r="C299">
        <v>3</v>
      </c>
      <c r="D299">
        <v>1</v>
      </c>
      <c r="E299" t="s">
        <v>19</v>
      </c>
      <c r="F299" t="s">
        <v>533</v>
      </c>
      <c r="I299" t="s">
        <v>21</v>
      </c>
    </row>
    <row r="300" spans="1:9" x14ac:dyDescent="0.3">
      <c r="A300">
        <v>17</v>
      </c>
      <c r="B300">
        <v>1</v>
      </c>
      <c r="C300">
        <v>1</v>
      </c>
      <c r="D300">
        <v>1</v>
      </c>
      <c r="E300" t="s">
        <v>9</v>
      </c>
      <c r="F300" t="s">
        <v>534</v>
      </c>
      <c r="G300" t="s">
        <v>535</v>
      </c>
      <c r="H300">
        <v>4.32</v>
      </c>
      <c r="I300" t="s">
        <v>12</v>
      </c>
    </row>
    <row r="301" spans="1:9" x14ac:dyDescent="0.3">
      <c r="A301">
        <v>17</v>
      </c>
      <c r="B301">
        <v>1</v>
      </c>
      <c r="C301">
        <v>1</v>
      </c>
      <c r="D301">
        <v>2</v>
      </c>
      <c r="E301" t="s">
        <v>9</v>
      </c>
      <c r="F301" t="s">
        <v>536</v>
      </c>
      <c r="G301" t="s">
        <v>537</v>
      </c>
      <c r="H301">
        <v>3.9529999999999998</v>
      </c>
      <c r="I301" t="s">
        <v>12</v>
      </c>
    </row>
    <row r="302" spans="1:9" x14ac:dyDescent="0.3">
      <c r="A302">
        <v>17</v>
      </c>
      <c r="B302">
        <v>1</v>
      </c>
      <c r="C302">
        <v>1</v>
      </c>
      <c r="D302">
        <v>3</v>
      </c>
      <c r="E302" t="s">
        <v>22</v>
      </c>
      <c r="F302" t="s">
        <v>538</v>
      </c>
      <c r="G302" t="s">
        <v>539</v>
      </c>
      <c r="H302">
        <v>3.2519999999999998</v>
      </c>
      <c r="I302" t="s">
        <v>21</v>
      </c>
    </row>
    <row r="303" spans="1:9" x14ac:dyDescent="0.3">
      <c r="A303">
        <v>17</v>
      </c>
      <c r="B303">
        <v>1</v>
      </c>
      <c r="C303">
        <v>1</v>
      </c>
      <c r="D303">
        <v>3</v>
      </c>
      <c r="E303" t="s">
        <v>9</v>
      </c>
      <c r="F303" t="s">
        <v>540</v>
      </c>
      <c r="G303" t="s">
        <v>541</v>
      </c>
      <c r="H303">
        <v>3.3860000000000001</v>
      </c>
      <c r="I303" t="s">
        <v>12</v>
      </c>
    </row>
    <row r="304" spans="1:9" x14ac:dyDescent="0.3">
      <c r="A304">
        <v>17</v>
      </c>
      <c r="B304">
        <v>1</v>
      </c>
      <c r="C304">
        <v>1</v>
      </c>
      <c r="D304">
        <v>3</v>
      </c>
      <c r="E304" t="s">
        <v>22</v>
      </c>
      <c r="F304" t="s">
        <v>542</v>
      </c>
      <c r="G304" t="s">
        <v>543</v>
      </c>
      <c r="H304">
        <v>1.4630000000000001</v>
      </c>
      <c r="I304" t="s">
        <v>21</v>
      </c>
    </row>
    <row r="305" spans="1:9" x14ac:dyDescent="0.3">
      <c r="A305">
        <v>17</v>
      </c>
      <c r="B305">
        <v>1</v>
      </c>
      <c r="C305">
        <v>1</v>
      </c>
      <c r="D305">
        <v>4</v>
      </c>
      <c r="E305" t="s">
        <v>22</v>
      </c>
      <c r="F305" t="s">
        <v>544</v>
      </c>
      <c r="G305" t="s">
        <v>545</v>
      </c>
      <c r="H305">
        <v>3.665</v>
      </c>
      <c r="I305" t="s">
        <v>21</v>
      </c>
    </row>
    <row r="306" spans="1:9" x14ac:dyDescent="0.3">
      <c r="A306">
        <v>17</v>
      </c>
      <c r="B306">
        <v>1</v>
      </c>
      <c r="C306">
        <v>1</v>
      </c>
      <c r="D306">
        <v>4</v>
      </c>
      <c r="E306" t="s">
        <v>9</v>
      </c>
      <c r="F306" t="s">
        <v>546</v>
      </c>
      <c r="G306" t="s">
        <v>547</v>
      </c>
      <c r="H306">
        <v>1.9530000000000001</v>
      </c>
      <c r="I306" t="s">
        <v>12</v>
      </c>
    </row>
    <row r="307" spans="1:9" x14ac:dyDescent="0.3">
      <c r="A307">
        <v>17</v>
      </c>
      <c r="B307">
        <v>1</v>
      </c>
      <c r="C307">
        <v>1</v>
      </c>
      <c r="D307">
        <v>4</v>
      </c>
      <c r="E307" t="s">
        <v>22</v>
      </c>
      <c r="F307" t="s">
        <v>548</v>
      </c>
      <c r="G307" t="s">
        <v>549</v>
      </c>
      <c r="H307">
        <v>1.867</v>
      </c>
      <c r="I307" t="s">
        <v>21</v>
      </c>
    </row>
    <row r="308" spans="1:9" x14ac:dyDescent="0.3">
      <c r="A308">
        <v>17</v>
      </c>
      <c r="B308">
        <v>1</v>
      </c>
      <c r="C308">
        <v>1</v>
      </c>
      <c r="D308">
        <v>4</v>
      </c>
      <c r="E308" t="s">
        <v>19</v>
      </c>
      <c r="F308" t="s">
        <v>550</v>
      </c>
      <c r="I308" t="s">
        <v>34</v>
      </c>
    </row>
    <row r="309" spans="1:9" x14ac:dyDescent="0.3">
      <c r="A309">
        <v>17</v>
      </c>
      <c r="B309">
        <v>1</v>
      </c>
      <c r="C309">
        <v>1</v>
      </c>
      <c r="D309">
        <v>5</v>
      </c>
      <c r="E309" t="s">
        <v>22</v>
      </c>
      <c r="F309" t="s">
        <v>551</v>
      </c>
      <c r="G309" t="s">
        <v>552</v>
      </c>
      <c r="H309">
        <v>1.252</v>
      </c>
      <c r="I309" t="s">
        <v>21</v>
      </c>
    </row>
    <row r="310" spans="1:9" x14ac:dyDescent="0.3">
      <c r="A310">
        <v>17</v>
      </c>
      <c r="B310">
        <v>1</v>
      </c>
      <c r="C310">
        <v>1</v>
      </c>
      <c r="D310">
        <v>5</v>
      </c>
      <c r="E310" t="s">
        <v>22</v>
      </c>
      <c r="F310" t="s">
        <v>553</v>
      </c>
      <c r="G310" t="s">
        <v>554</v>
      </c>
      <c r="H310">
        <v>2.601</v>
      </c>
      <c r="I310" t="s">
        <v>21</v>
      </c>
    </row>
    <row r="311" spans="1:9" x14ac:dyDescent="0.3">
      <c r="A311">
        <v>17</v>
      </c>
      <c r="B311">
        <v>1</v>
      </c>
      <c r="C311">
        <v>1</v>
      </c>
      <c r="D311">
        <v>6</v>
      </c>
      <c r="E311" t="s">
        <v>9</v>
      </c>
      <c r="F311" t="s">
        <v>555</v>
      </c>
      <c r="G311" t="s">
        <v>556</v>
      </c>
      <c r="H311">
        <v>3.4870000000000001</v>
      </c>
      <c r="I311" t="s">
        <v>12</v>
      </c>
    </row>
    <row r="312" spans="1:9" x14ac:dyDescent="0.3">
      <c r="A312">
        <v>17</v>
      </c>
      <c r="B312">
        <v>1</v>
      </c>
      <c r="C312">
        <v>1</v>
      </c>
      <c r="D312">
        <v>6</v>
      </c>
      <c r="E312" t="s">
        <v>22</v>
      </c>
      <c r="F312" t="s">
        <v>557</v>
      </c>
      <c r="G312" t="s">
        <v>558</v>
      </c>
      <c r="H312">
        <v>1.286</v>
      </c>
      <c r="I312" t="s">
        <v>21</v>
      </c>
    </row>
    <row r="313" spans="1:9" x14ac:dyDescent="0.3">
      <c r="A313">
        <v>17</v>
      </c>
      <c r="B313">
        <v>1</v>
      </c>
      <c r="C313">
        <v>1</v>
      </c>
      <c r="D313">
        <v>6</v>
      </c>
      <c r="E313" t="s">
        <v>22</v>
      </c>
      <c r="F313" t="s">
        <v>559</v>
      </c>
      <c r="G313" t="s">
        <v>560</v>
      </c>
      <c r="H313">
        <v>5.734</v>
      </c>
      <c r="I313" t="s">
        <v>21</v>
      </c>
    </row>
    <row r="314" spans="1:9" x14ac:dyDescent="0.3">
      <c r="A314">
        <v>17</v>
      </c>
      <c r="B314">
        <v>1</v>
      </c>
      <c r="C314">
        <v>1</v>
      </c>
      <c r="D314">
        <v>6</v>
      </c>
      <c r="E314" t="s">
        <v>19</v>
      </c>
      <c r="F314" t="s">
        <v>561</v>
      </c>
      <c r="I314" t="s">
        <v>21</v>
      </c>
    </row>
    <row r="315" spans="1:9" x14ac:dyDescent="0.3">
      <c r="A315">
        <v>17</v>
      </c>
      <c r="B315">
        <v>1</v>
      </c>
      <c r="C315">
        <v>1</v>
      </c>
      <c r="D315">
        <v>6</v>
      </c>
      <c r="E315" t="s">
        <v>19</v>
      </c>
      <c r="F315" t="s">
        <v>562</v>
      </c>
      <c r="I315" t="s">
        <v>21</v>
      </c>
    </row>
    <row r="316" spans="1:9" x14ac:dyDescent="0.3">
      <c r="A316">
        <v>17</v>
      </c>
      <c r="B316">
        <v>1</v>
      </c>
      <c r="C316">
        <v>1</v>
      </c>
      <c r="D316">
        <v>7</v>
      </c>
      <c r="E316" t="s">
        <v>9</v>
      </c>
      <c r="F316" t="s">
        <v>563</v>
      </c>
      <c r="G316" t="s">
        <v>564</v>
      </c>
      <c r="H316">
        <v>1.919</v>
      </c>
      <c r="I316" t="s">
        <v>12</v>
      </c>
    </row>
    <row r="317" spans="1:9" x14ac:dyDescent="0.3">
      <c r="A317">
        <v>17</v>
      </c>
      <c r="B317">
        <v>1</v>
      </c>
      <c r="C317">
        <v>1</v>
      </c>
      <c r="D317">
        <v>7</v>
      </c>
      <c r="E317" t="s">
        <v>9</v>
      </c>
      <c r="F317" t="s">
        <v>565</v>
      </c>
      <c r="G317" t="s">
        <v>566</v>
      </c>
      <c r="H317">
        <v>1.252</v>
      </c>
      <c r="I317" t="s">
        <v>12</v>
      </c>
    </row>
    <row r="318" spans="1:9" x14ac:dyDescent="0.3">
      <c r="A318">
        <v>17</v>
      </c>
      <c r="B318">
        <v>1</v>
      </c>
      <c r="C318">
        <v>1</v>
      </c>
      <c r="D318">
        <v>7</v>
      </c>
      <c r="E318" t="s">
        <v>22</v>
      </c>
      <c r="F318" t="s">
        <v>567</v>
      </c>
      <c r="G318" t="s">
        <v>568</v>
      </c>
      <c r="H318">
        <v>1.0669999999999999</v>
      </c>
      <c r="I318" t="s">
        <v>21</v>
      </c>
    </row>
    <row r="319" spans="1:9" x14ac:dyDescent="0.3">
      <c r="A319">
        <v>17</v>
      </c>
      <c r="B319">
        <v>1</v>
      </c>
      <c r="C319">
        <v>1</v>
      </c>
      <c r="D319">
        <v>7</v>
      </c>
      <c r="E319" t="s">
        <v>22</v>
      </c>
      <c r="F319" t="s">
        <v>569</v>
      </c>
      <c r="G319" t="s">
        <v>570</v>
      </c>
      <c r="H319">
        <v>0.86799999999999999</v>
      </c>
      <c r="I319" t="s">
        <v>21</v>
      </c>
    </row>
    <row r="320" spans="1:9" x14ac:dyDescent="0.3">
      <c r="A320">
        <v>17</v>
      </c>
      <c r="B320">
        <v>1</v>
      </c>
      <c r="C320">
        <v>1</v>
      </c>
      <c r="D320">
        <v>7</v>
      </c>
      <c r="E320" t="s">
        <v>19</v>
      </c>
      <c r="F320" t="s">
        <v>571</v>
      </c>
      <c r="I320" t="s">
        <v>21</v>
      </c>
    </row>
    <row r="321" spans="1:9" x14ac:dyDescent="0.3">
      <c r="A321">
        <v>17</v>
      </c>
      <c r="B321">
        <v>1</v>
      </c>
      <c r="C321">
        <v>1</v>
      </c>
      <c r="D321">
        <v>8</v>
      </c>
      <c r="E321" t="s">
        <v>9</v>
      </c>
      <c r="F321" t="s">
        <v>572</v>
      </c>
      <c r="G321" t="s">
        <v>573</v>
      </c>
      <c r="H321">
        <v>1.819</v>
      </c>
      <c r="I321" t="s">
        <v>12</v>
      </c>
    </row>
    <row r="322" spans="1:9" x14ac:dyDescent="0.3">
      <c r="A322">
        <v>17</v>
      </c>
      <c r="B322">
        <v>1</v>
      </c>
      <c r="C322">
        <v>1</v>
      </c>
      <c r="D322">
        <v>8</v>
      </c>
      <c r="E322" t="s">
        <v>9</v>
      </c>
      <c r="F322" t="s">
        <v>574</v>
      </c>
      <c r="G322" t="s">
        <v>575</v>
      </c>
      <c r="H322">
        <v>1.3520000000000001</v>
      </c>
      <c r="I322" t="s">
        <v>12</v>
      </c>
    </row>
    <row r="323" spans="1:9" x14ac:dyDescent="0.3">
      <c r="A323">
        <v>17</v>
      </c>
      <c r="B323">
        <v>1</v>
      </c>
      <c r="C323">
        <v>1</v>
      </c>
      <c r="D323">
        <v>9</v>
      </c>
      <c r="E323" t="s">
        <v>9</v>
      </c>
      <c r="F323" t="s">
        <v>576</v>
      </c>
      <c r="G323" t="s">
        <v>577</v>
      </c>
      <c r="H323">
        <v>0.92</v>
      </c>
      <c r="I323" t="s">
        <v>12</v>
      </c>
    </row>
    <row r="324" spans="1:9" x14ac:dyDescent="0.3">
      <c r="A324">
        <v>17</v>
      </c>
      <c r="B324">
        <v>1</v>
      </c>
      <c r="C324">
        <v>1</v>
      </c>
      <c r="D324">
        <v>9</v>
      </c>
      <c r="E324" t="s">
        <v>9</v>
      </c>
      <c r="F324" t="s">
        <v>578</v>
      </c>
      <c r="G324" t="s">
        <v>579</v>
      </c>
      <c r="H324">
        <v>1.119</v>
      </c>
      <c r="I324" t="s">
        <v>12</v>
      </c>
    </row>
    <row r="325" spans="1:9" x14ac:dyDescent="0.3">
      <c r="A325">
        <v>17</v>
      </c>
      <c r="B325">
        <v>1</v>
      </c>
      <c r="C325">
        <v>1</v>
      </c>
      <c r="D325">
        <v>9</v>
      </c>
      <c r="E325" t="s">
        <v>9</v>
      </c>
      <c r="F325" t="s">
        <v>580</v>
      </c>
      <c r="G325" t="s">
        <v>581</v>
      </c>
      <c r="H325">
        <v>0.73399999999999999</v>
      </c>
      <c r="I325" t="s">
        <v>12</v>
      </c>
    </row>
    <row r="326" spans="1:9" x14ac:dyDescent="0.3">
      <c r="A326">
        <v>17</v>
      </c>
      <c r="B326">
        <v>1</v>
      </c>
      <c r="C326">
        <v>1</v>
      </c>
      <c r="D326">
        <v>9</v>
      </c>
      <c r="E326" t="s">
        <v>22</v>
      </c>
      <c r="F326" t="s">
        <v>582</v>
      </c>
      <c r="G326" t="s">
        <v>583</v>
      </c>
      <c r="H326">
        <v>2.8319999999999999</v>
      </c>
      <c r="I326" t="s">
        <v>21</v>
      </c>
    </row>
    <row r="327" spans="1:9" x14ac:dyDescent="0.3">
      <c r="A327">
        <v>17</v>
      </c>
      <c r="B327">
        <v>1</v>
      </c>
      <c r="C327">
        <v>1</v>
      </c>
      <c r="D327">
        <v>9</v>
      </c>
      <c r="E327" t="s">
        <v>9</v>
      </c>
      <c r="F327" t="s">
        <v>584</v>
      </c>
      <c r="G327" t="s">
        <v>585</v>
      </c>
      <c r="H327">
        <v>2.0179999999999998</v>
      </c>
      <c r="I327" t="s">
        <v>12</v>
      </c>
    </row>
    <row r="328" spans="1:9" x14ac:dyDescent="0.3">
      <c r="A328">
        <v>17</v>
      </c>
      <c r="B328">
        <v>1</v>
      </c>
      <c r="C328">
        <v>1</v>
      </c>
      <c r="D328">
        <v>9</v>
      </c>
      <c r="E328" t="s">
        <v>22</v>
      </c>
      <c r="F328" t="s">
        <v>586</v>
      </c>
      <c r="G328" t="s">
        <v>587</v>
      </c>
      <c r="H328">
        <v>1.3680000000000001</v>
      </c>
      <c r="I328" t="s">
        <v>21</v>
      </c>
    </row>
    <row r="329" spans="1:9" x14ac:dyDescent="0.3">
      <c r="A329">
        <v>17</v>
      </c>
      <c r="B329">
        <v>1</v>
      </c>
      <c r="C329">
        <v>1</v>
      </c>
      <c r="D329">
        <v>9</v>
      </c>
      <c r="E329" t="s">
        <v>19</v>
      </c>
      <c r="F329" t="s">
        <v>588</v>
      </c>
      <c r="I329" t="s">
        <v>21</v>
      </c>
    </row>
    <row r="330" spans="1:9" x14ac:dyDescent="0.3">
      <c r="A330">
        <v>17</v>
      </c>
      <c r="B330">
        <v>1</v>
      </c>
      <c r="C330">
        <v>1</v>
      </c>
      <c r="D330">
        <v>9</v>
      </c>
      <c r="E330" t="s">
        <v>19</v>
      </c>
      <c r="F330" t="s">
        <v>589</v>
      </c>
      <c r="I330" t="s">
        <v>21</v>
      </c>
    </row>
    <row r="331" spans="1:9" x14ac:dyDescent="0.3">
      <c r="A331">
        <v>17</v>
      </c>
      <c r="B331">
        <v>1</v>
      </c>
      <c r="C331">
        <v>2</v>
      </c>
      <c r="D331">
        <v>1</v>
      </c>
      <c r="E331" t="s">
        <v>9</v>
      </c>
      <c r="F331" t="s">
        <v>590</v>
      </c>
      <c r="G331" t="s">
        <v>591</v>
      </c>
      <c r="H331">
        <v>1.32</v>
      </c>
      <c r="I331" t="s">
        <v>12</v>
      </c>
    </row>
    <row r="332" spans="1:9" x14ac:dyDescent="0.3">
      <c r="A332">
        <v>17</v>
      </c>
      <c r="B332">
        <v>1</v>
      </c>
      <c r="C332">
        <v>2</v>
      </c>
      <c r="D332">
        <v>1</v>
      </c>
      <c r="E332" t="s">
        <v>9</v>
      </c>
      <c r="F332" t="s">
        <v>592</v>
      </c>
      <c r="G332" t="s">
        <v>593</v>
      </c>
      <c r="H332">
        <v>2.1680000000000001</v>
      </c>
      <c r="I332" t="s">
        <v>12</v>
      </c>
    </row>
    <row r="333" spans="1:9" x14ac:dyDescent="0.3">
      <c r="A333">
        <v>17</v>
      </c>
      <c r="B333">
        <v>1</v>
      </c>
      <c r="C333">
        <v>2</v>
      </c>
      <c r="D333">
        <v>1</v>
      </c>
      <c r="E333" t="s">
        <v>19</v>
      </c>
      <c r="F333" t="s">
        <v>594</v>
      </c>
      <c r="I333" t="s">
        <v>34</v>
      </c>
    </row>
    <row r="334" spans="1:9" x14ac:dyDescent="0.3">
      <c r="A334">
        <v>17</v>
      </c>
      <c r="B334">
        <v>1</v>
      </c>
      <c r="C334">
        <v>2</v>
      </c>
      <c r="D334">
        <v>2</v>
      </c>
      <c r="E334" t="s">
        <v>22</v>
      </c>
      <c r="F334" t="s">
        <v>595</v>
      </c>
      <c r="G334" t="s">
        <v>596</v>
      </c>
      <c r="H334">
        <v>1.1519999999999999</v>
      </c>
      <c r="I334" t="s">
        <v>21</v>
      </c>
    </row>
    <row r="335" spans="1:9" x14ac:dyDescent="0.3">
      <c r="A335">
        <v>17</v>
      </c>
      <c r="B335">
        <v>1</v>
      </c>
      <c r="C335">
        <v>2</v>
      </c>
      <c r="D335">
        <v>2</v>
      </c>
      <c r="E335" t="s">
        <v>22</v>
      </c>
      <c r="F335" t="s">
        <v>597</v>
      </c>
      <c r="G335" t="s">
        <v>598</v>
      </c>
      <c r="H335">
        <v>1.167</v>
      </c>
      <c r="I335" t="s">
        <v>21</v>
      </c>
    </row>
    <row r="336" spans="1:9" x14ac:dyDescent="0.3">
      <c r="A336">
        <v>17</v>
      </c>
      <c r="B336">
        <v>1</v>
      </c>
      <c r="C336">
        <v>2</v>
      </c>
      <c r="D336">
        <v>2</v>
      </c>
      <c r="E336" t="s">
        <v>9</v>
      </c>
      <c r="F336" t="s">
        <v>599</v>
      </c>
      <c r="G336" t="s">
        <v>600</v>
      </c>
      <c r="H336">
        <v>1.32</v>
      </c>
      <c r="I336" t="s">
        <v>12</v>
      </c>
    </row>
    <row r="337" spans="1:9" x14ac:dyDescent="0.3">
      <c r="A337">
        <v>17</v>
      </c>
      <c r="B337">
        <v>1</v>
      </c>
      <c r="C337">
        <v>2</v>
      </c>
      <c r="D337">
        <v>2</v>
      </c>
      <c r="E337" t="s">
        <v>9</v>
      </c>
      <c r="F337" t="s">
        <v>601</v>
      </c>
      <c r="G337" t="s">
        <v>602</v>
      </c>
      <c r="H337">
        <v>3.4009999999999998</v>
      </c>
      <c r="I337" t="s">
        <v>12</v>
      </c>
    </row>
    <row r="338" spans="1:9" x14ac:dyDescent="0.3">
      <c r="A338">
        <v>17</v>
      </c>
      <c r="B338">
        <v>1</v>
      </c>
      <c r="C338">
        <v>2</v>
      </c>
      <c r="D338">
        <v>2</v>
      </c>
      <c r="E338" t="s">
        <v>19</v>
      </c>
      <c r="F338" t="s">
        <v>603</v>
      </c>
      <c r="I338" t="s">
        <v>21</v>
      </c>
    </row>
    <row r="339" spans="1:9" x14ac:dyDescent="0.3">
      <c r="A339">
        <v>17</v>
      </c>
      <c r="B339">
        <v>1</v>
      </c>
      <c r="C339">
        <v>2</v>
      </c>
      <c r="D339">
        <v>2</v>
      </c>
      <c r="E339" t="s">
        <v>9</v>
      </c>
      <c r="F339" t="s">
        <v>604</v>
      </c>
      <c r="G339" t="s">
        <v>605</v>
      </c>
      <c r="H339">
        <v>1.7350000000000001</v>
      </c>
      <c r="I339" t="s">
        <v>12</v>
      </c>
    </row>
    <row r="340" spans="1:9" x14ac:dyDescent="0.3">
      <c r="A340">
        <v>17</v>
      </c>
      <c r="B340">
        <v>1</v>
      </c>
      <c r="C340">
        <v>2</v>
      </c>
      <c r="D340">
        <v>2</v>
      </c>
      <c r="E340" t="s">
        <v>9</v>
      </c>
      <c r="F340" t="s">
        <v>606</v>
      </c>
      <c r="G340" t="s">
        <v>607</v>
      </c>
      <c r="H340">
        <v>1.8009999999999999</v>
      </c>
      <c r="I340" t="s">
        <v>12</v>
      </c>
    </row>
    <row r="341" spans="1:9" x14ac:dyDescent="0.3">
      <c r="A341">
        <v>17</v>
      </c>
      <c r="B341">
        <v>1</v>
      </c>
      <c r="C341">
        <v>2</v>
      </c>
      <c r="D341">
        <v>2</v>
      </c>
      <c r="E341" t="s">
        <v>19</v>
      </c>
      <c r="F341" t="s">
        <v>608</v>
      </c>
      <c r="I341" t="s">
        <v>21</v>
      </c>
    </row>
    <row r="342" spans="1:9" x14ac:dyDescent="0.3">
      <c r="A342">
        <v>17</v>
      </c>
      <c r="B342">
        <v>1</v>
      </c>
      <c r="C342">
        <v>3</v>
      </c>
      <c r="D342">
        <v>1</v>
      </c>
      <c r="E342" t="s">
        <v>22</v>
      </c>
      <c r="F342" t="s">
        <v>609</v>
      </c>
      <c r="G342" t="s">
        <v>610</v>
      </c>
      <c r="H342">
        <v>1.153</v>
      </c>
      <c r="I342" t="s">
        <v>21</v>
      </c>
    </row>
    <row r="343" spans="1:9" x14ac:dyDescent="0.3">
      <c r="A343">
        <v>17</v>
      </c>
      <c r="B343">
        <v>1</v>
      </c>
      <c r="C343">
        <v>3</v>
      </c>
      <c r="D343">
        <v>1</v>
      </c>
      <c r="E343" t="s">
        <v>22</v>
      </c>
      <c r="F343" t="s">
        <v>611</v>
      </c>
      <c r="G343" t="s">
        <v>612</v>
      </c>
      <c r="H343">
        <v>0.86799999999999999</v>
      </c>
      <c r="I343" t="s">
        <v>21</v>
      </c>
    </row>
    <row r="344" spans="1:9" x14ac:dyDescent="0.3">
      <c r="A344">
        <v>17</v>
      </c>
      <c r="B344">
        <v>1</v>
      </c>
      <c r="C344">
        <v>3</v>
      </c>
      <c r="D344">
        <v>1</v>
      </c>
      <c r="E344" t="s">
        <v>19</v>
      </c>
      <c r="F344" t="s">
        <v>613</v>
      </c>
      <c r="I344" t="s">
        <v>21</v>
      </c>
    </row>
    <row r="345" spans="1:9" x14ac:dyDescent="0.3">
      <c r="A345">
        <v>17</v>
      </c>
      <c r="B345">
        <v>1</v>
      </c>
      <c r="C345">
        <v>3</v>
      </c>
      <c r="D345">
        <v>1</v>
      </c>
      <c r="E345" t="s">
        <v>9</v>
      </c>
      <c r="F345" t="s">
        <v>614</v>
      </c>
      <c r="G345" t="s">
        <v>615</v>
      </c>
      <c r="H345">
        <v>1.2010000000000001</v>
      </c>
      <c r="I345" t="s">
        <v>12</v>
      </c>
    </row>
    <row r="346" spans="1:9" x14ac:dyDescent="0.3">
      <c r="A346">
        <v>17</v>
      </c>
      <c r="B346">
        <v>1</v>
      </c>
      <c r="C346">
        <v>3</v>
      </c>
      <c r="D346">
        <v>1</v>
      </c>
      <c r="E346" t="s">
        <v>9</v>
      </c>
      <c r="F346" t="s">
        <v>616</v>
      </c>
      <c r="G346" t="s">
        <v>617</v>
      </c>
      <c r="H346">
        <v>1.42</v>
      </c>
      <c r="I346" t="s">
        <v>12</v>
      </c>
    </row>
    <row r="347" spans="1:9" x14ac:dyDescent="0.3">
      <c r="A347">
        <v>17</v>
      </c>
      <c r="B347">
        <v>1</v>
      </c>
      <c r="C347">
        <v>3</v>
      </c>
      <c r="D347">
        <v>1</v>
      </c>
      <c r="E347" t="s">
        <v>9</v>
      </c>
      <c r="F347" t="s">
        <v>618</v>
      </c>
      <c r="G347" t="s">
        <v>619</v>
      </c>
      <c r="H347">
        <v>1.8</v>
      </c>
      <c r="I347" t="s">
        <v>12</v>
      </c>
    </row>
    <row r="348" spans="1:9" x14ac:dyDescent="0.3">
      <c r="A348">
        <v>17</v>
      </c>
      <c r="B348">
        <v>1</v>
      </c>
      <c r="C348">
        <v>3</v>
      </c>
      <c r="D348">
        <v>1</v>
      </c>
      <c r="E348" t="s">
        <v>19</v>
      </c>
      <c r="F348" t="s">
        <v>620</v>
      </c>
      <c r="I348" t="s">
        <v>21</v>
      </c>
    </row>
    <row r="349" spans="1:9" x14ac:dyDescent="0.3">
      <c r="A349">
        <v>17</v>
      </c>
      <c r="B349">
        <v>1</v>
      </c>
      <c r="C349">
        <v>3</v>
      </c>
      <c r="D349">
        <v>1</v>
      </c>
      <c r="E349" t="s">
        <v>9</v>
      </c>
      <c r="F349" t="s">
        <v>621</v>
      </c>
      <c r="G349" t="s">
        <v>622</v>
      </c>
      <c r="H349">
        <v>1.2010000000000001</v>
      </c>
      <c r="I349" t="s">
        <v>12</v>
      </c>
    </row>
    <row r="350" spans="1:9" x14ac:dyDescent="0.3">
      <c r="A350">
        <v>17</v>
      </c>
      <c r="B350">
        <v>1</v>
      </c>
      <c r="C350">
        <v>3</v>
      </c>
      <c r="D350">
        <v>1</v>
      </c>
      <c r="E350" t="s">
        <v>19</v>
      </c>
      <c r="F350" t="s">
        <v>623</v>
      </c>
      <c r="I350" t="s">
        <v>21</v>
      </c>
    </row>
    <row r="351" spans="1:9" x14ac:dyDescent="0.3">
      <c r="A351">
        <v>17</v>
      </c>
      <c r="B351">
        <v>3</v>
      </c>
      <c r="C351">
        <v>1</v>
      </c>
      <c r="D351">
        <v>1</v>
      </c>
      <c r="E351" t="s">
        <v>9</v>
      </c>
      <c r="F351" t="s">
        <v>624</v>
      </c>
      <c r="G351" t="s">
        <v>625</v>
      </c>
      <c r="H351">
        <v>2.149</v>
      </c>
      <c r="I351" t="s">
        <v>12</v>
      </c>
    </row>
    <row r="352" spans="1:9" x14ac:dyDescent="0.3">
      <c r="A352">
        <v>17</v>
      </c>
      <c r="B352">
        <v>3</v>
      </c>
      <c r="C352">
        <v>1</v>
      </c>
      <c r="D352">
        <v>1</v>
      </c>
      <c r="E352" t="s">
        <v>22</v>
      </c>
      <c r="F352" t="s">
        <v>626</v>
      </c>
      <c r="G352" t="s">
        <v>627</v>
      </c>
      <c r="H352">
        <v>1.6180000000000001</v>
      </c>
      <c r="I352" t="s">
        <v>21</v>
      </c>
    </row>
    <row r="353" spans="1:9" x14ac:dyDescent="0.3">
      <c r="A353">
        <v>17</v>
      </c>
      <c r="B353">
        <v>3</v>
      </c>
      <c r="C353">
        <v>1</v>
      </c>
      <c r="D353">
        <v>1</v>
      </c>
      <c r="E353" t="s">
        <v>9</v>
      </c>
      <c r="F353" t="s">
        <v>628</v>
      </c>
      <c r="G353" t="s">
        <v>629</v>
      </c>
      <c r="H353">
        <v>1.0669999999999999</v>
      </c>
      <c r="I353" t="s">
        <v>12</v>
      </c>
    </row>
    <row r="354" spans="1:9" x14ac:dyDescent="0.3">
      <c r="A354">
        <v>17</v>
      </c>
      <c r="B354">
        <v>3</v>
      </c>
      <c r="C354">
        <v>1</v>
      </c>
      <c r="D354">
        <v>1</v>
      </c>
      <c r="E354" t="s">
        <v>22</v>
      </c>
      <c r="F354" t="s">
        <v>630</v>
      </c>
      <c r="G354" t="s">
        <v>631</v>
      </c>
      <c r="H354">
        <v>1.0009999999999999</v>
      </c>
      <c r="I354" t="s">
        <v>21</v>
      </c>
    </row>
    <row r="355" spans="1:9" x14ac:dyDescent="0.3">
      <c r="A355">
        <v>17</v>
      </c>
      <c r="B355">
        <v>3</v>
      </c>
      <c r="C355">
        <v>1</v>
      </c>
      <c r="D355">
        <v>1</v>
      </c>
      <c r="E355" t="s">
        <v>9</v>
      </c>
      <c r="F355" t="s">
        <v>632</v>
      </c>
      <c r="G355" t="s">
        <v>633</v>
      </c>
      <c r="H355">
        <v>0.86699999999999999</v>
      </c>
      <c r="I355" t="s">
        <v>12</v>
      </c>
    </row>
    <row r="356" spans="1:9" x14ac:dyDescent="0.3">
      <c r="A356">
        <v>17</v>
      </c>
      <c r="B356">
        <v>3</v>
      </c>
      <c r="C356">
        <v>1</v>
      </c>
      <c r="D356">
        <v>1</v>
      </c>
      <c r="E356" t="s">
        <v>9</v>
      </c>
      <c r="F356" t="s">
        <v>634</v>
      </c>
      <c r="G356" t="s">
        <v>635</v>
      </c>
      <c r="H356">
        <v>1.268</v>
      </c>
      <c r="I356" t="s">
        <v>12</v>
      </c>
    </row>
    <row r="357" spans="1:9" x14ac:dyDescent="0.3">
      <c r="A357">
        <v>17</v>
      </c>
      <c r="B357">
        <v>3</v>
      </c>
      <c r="C357">
        <v>1</v>
      </c>
      <c r="D357">
        <v>1</v>
      </c>
      <c r="E357" t="s">
        <v>19</v>
      </c>
      <c r="F357" t="s">
        <v>636</v>
      </c>
      <c r="I357" t="s">
        <v>34</v>
      </c>
    </row>
    <row r="358" spans="1:9" x14ac:dyDescent="0.3">
      <c r="A358">
        <v>17</v>
      </c>
      <c r="B358">
        <v>3</v>
      </c>
      <c r="C358">
        <v>1</v>
      </c>
      <c r="D358">
        <v>2</v>
      </c>
      <c r="E358" t="s">
        <v>9</v>
      </c>
      <c r="F358" t="s">
        <v>637</v>
      </c>
      <c r="G358" t="s">
        <v>638</v>
      </c>
      <c r="H358">
        <v>2.653</v>
      </c>
      <c r="I358" t="s">
        <v>12</v>
      </c>
    </row>
    <row r="359" spans="1:9" x14ac:dyDescent="0.3">
      <c r="A359">
        <v>17</v>
      </c>
      <c r="B359">
        <v>3</v>
      </c>
      <c r="C359">
        <v>1</v>
      </c>
      <c r="D359">
        <v>2</v>
      </c>
      <c r="E359" t="s">
        <v>22</v>
      </c>
      <c r="F359" t="s">
        <v>639</v>
      </c>
      <c r="G359" t="s">
        <v>640</v>
      </c>
      <c r="H359">
        <v>1.0669999999999999</v>
      </c>
      <c r="I359" t="s">
        <v>21</v>
      </c>
    </row>
    <row r="360" spans="1:9" x14ac:dyDescent="0.3">
      <c r="A360">
        <v>17</v>
      </c>
      <c r="B360">
        <v>3</v>
      </c>
      <c r="C360">
        <v>1</v>
      </c>
      <c r="D360">
        <v>2</v>
      </c>
      <c r="E360" t="s">
        <v>9</v>
      </c>
      <c r="F360" t="s">
        <v>641</v>
      </c>
      <c r="G360" t="s">
        <v>642</v>
      </c>
      <c r="H360">
        <v>1.101</v>
      </c>
      <c r="I360" t="s">
        <v>12</v>
      </c>
    </row>
    <row r="361" spans="1:9" x14ac:dyDescent="0.3">
      <c r="A361">
        <v>17</v>
      </c>
      <c r="B361">
        <v>3</v>
      </c>
      <c r="C361">
        <v>1</v>
      </c>
      <c r="D361">
        <v>2</v>
      </c>
      <c r="E361" t="s">
        <v>22</v>
      </c>
      <c r="F361" t="s">
        <v>643</v>
      </c>
      <c r="G361" t="s">
        <v>644</v>
      </c>
      <c r="H361">
        <v>1.1679999999999999</v>
      </c>
      <c r="I361" t="s">
        <v>21</v>
      </c>
    </row>
    <row r="362" spans="1:9" x14ac:dyDescent="0.3">
      <c r="A362">
        <v>17</v>
      </c>
      <c r="B362">
        <v>3</v>
      </c>
      <c r="C362">
        <v>1</v>
      </c>
      <c r="D362">
        <v>2</v>
      </c>
      <c r="E362" t="s">
        <v>19</v>
      </c>
      <c r="F362" t="s">
        <v>645</v>
      </c>
      <c r="I362" t="s">
        <v>21</v>
      </c>
    </row>
    <row r="363" spans="1:9" x14ac:dyDescent="0.3">
      <c r="A363">
        <v>17</v>
      </c>
      <c r="B363">
        <v>3</v>
      </c>
      <c r="C363">
        <v>1</v>
      </c>
      <c r="D363">
        <v>2</v>
      </c>
      <c r="E363" t="s">
        <v>9</v>
      </c>
      <c r="F363" t="s">
        <v>646</v>
      </c>
      <c r="G363" t="s">
        <v>647</v>
      </c>
      <c r="H363">
        <v>1.4670000000000001</v>
      </c>
      <c r="I363" t="s">
        <v>12</v>
      </c>
    </row>
    <row r="364" spans="1:9" x14ac:dyDescent="0.3">
      <c r="A364">
        <v>17</v>
      </c>
      <c r="B364">
        <v>3</v>
      </c>
      <c r="C364">
        <v>1</v>
      </c>
      <c r="D364">
        <v>2</v>
      </c>
      <c r="E364" t="s">
        <v>9</v>
      </c>
      <c r="F364" t="s">
        <v>648</v>
      </c>
      <c r="G364" t="s">
        <v>649</v>
      </c>
      <c r="H364">
        <v>1.486</v>
      </c>
      <c r="I364" t="s">
        <v>12</v>
      </c>
    </row>
    <row r="365" spans="1:9" x14ac:dyDescent="0.3">
      <c r="A365">
        <v>17</v>
      </c>
      <c r="B365">
        <v>3</v>
      </c>
      <c r="C365">
        <v>1</v>
      </c>
      <c r="D365">
        <v>3</v>
      </c>
      <c r="E365" t="s">
        <v>9</v>
      </c>
      <c r="F365" t="s">
        <v>650</v>
      </c>
      <c r="G365" t="s">
        <v>651</v>
      </c>
      <c r="H365">
        <v>3.452</v>
      </c>
      <c r="I365" t="s">
        <v>12</v>
      </c>
    </row>
    <row r="366" spans="1:9" x14ac:dyDescent="0.3">
      <c r="A366">
        <v>17</v>
      </c>
      <c r="B366">
        <v>3</v>
      </c>
      <c r="C366">
        <v>1</v>
      </c>
      <c r="D366">
        <v>3</v>
      </c>
      <c r="E366" t="s">
        <v>9</v>
      </c>
      <c r="F366" t="s">
        <v>652</v>
      </c>
      <c r="G366" t="s">
        <v>653</v>
      </c>
      <c r="H366">
        <v>1.2849999999999999</v>
      </c>
      <c r="I366" t="s">
        <v>12</v>
      </c>
    </row>
    <row r="367" spans="1:9" x14ac:dyDescent="0.3">
      <c r="A367">
        <v>17</v>
      </c>
      <c r="B367">
        <v>3</v>
      </c>
      <c r="C367">
        <v>1</v>
      </c>
      <c r="D367">
        <v>3</v>
      </c>
      <c r="E367" t="s">
        <v>9</v>
      </c>
      <c r="F367" t="s">
        <v>654</v>
      </c>
      <c r="G367" t="s">
        <v>655</v>
      </c>
      <c r="H367">
        <v>1.802</v>
      </c>
      <c r="I367" t="s">
        <v>12</v>
      </c>
    </row>
    <row r="368" spans="1:9" x14ac:dyDescent="0.3">
      <c r="A368">
        <v>17</v>
      </c>
      <c r="B368">
        <v>3</v>
      </c>
      <c r="C368">
        <v>1</v>
      </c>
      <c r="D368">
        <v>3</v>
      </c>
      <c r="E368" t="s">
        <v>9</v>
      </c>
      <c r="F368" t="s">
        <v>656</v>
      </c>
      <c r="G368" t="s">
        <v>657</v>
      </c>
      <c r="H368">
        <v>1.534</v>
      </c>
      <c r="I368" t="s">
        <v>12</v>
      </c>
    </row>
    <row r="369" spans="1:9" x14ac:dyDescent="0.3">
      <c r="A369">
        <v>17</v>
      </c>
      <c r="B369">
        <v>3</v>
      </c>
      <c r="C369">
        <v>1</v>
      </c>
      <c r="D369">
        <v>3</v>
      </c>
      <c r="E369" t="s">
        <v>22</v>
      </c>
      <c r="F369" t="s">
        <v>658</v>
      </c>
      <c r="G369" t="s">
        <v>659</v>
      </c>
      <c r="H369">
        <v>4.6669999999999998</v>
      </c>
      <c r="I369" t="s">
        <v>21</v>
      </c>
    </row>
    <row r="370" spans="1:9" x14ac:dyDescent="0.3">
      <c r="A370">
        <v>17</v>
      </c>
      <c r="B370">
        <v>3</v>
      </c>
      <c r="C370">
        <v>1</v>
      </c>
      <c r="D370">
        <v>3</v>
      </c>
      <c r="E370" t="s">
        <v>22</v>
      </c>
      <c r="F370" t="s">
        <v>660</v>
      </c>
      <c r="G370" t="s">
        <v>661</v>
      </c>
      <c r="H370">
        <v>1.0660000000000001</v>
      </c>
      <c r="I370" t="s">
        <v>21</v>
      </c>
    </row>
    <row r="371" spans="1:9" x14ac:dyDescent="0.3">
      <c r="A371">
        <v>17</v>
      </c>
      <c r="B371">
        <v>3</v>
      </c>
      <c r="C371">
        <v>1</v>
      </c>
      <c r="D371">
        <v>3</v>
      </c>
      <c r="E371" t="s">
        <v>19</v>
      </c>
      <c r="F371" t="s">
        <v>662</v>
      </c>
      <c r="I371" t="s">
        <v>21</v>
      </c>
    </row>
    <row r="372" spans="1:9" x14ac:dyDescent="0.3">
      <c r="A372">
        <v>17</v>
      </c>
      <c r="B372">
        <v>3</v>
      </c>
      <c r="C372">
        <v>1</v>
      </c>
      <c r="D372">
        <v>4</v>
      </c>
      <c r="E372" t="s">
        <v>9</v>
      </c>
      <c r="F372" t="s">
        <v>663</v>
      </c>
      <c r="G372" t="s">
        <v>664</v>
      </c>
      <c r="H372">
        <v>2.286</v>
      </c>
      <c r="I372" t="s">
        <v>12</v>
      </c>
    </row>
    <row r="373" spans="1:9" x14ac:dyDescent="0.3">
      <c r="A373">
        <v>17</v>
      </c>
      <c r="B373">
        <v>3</v>
      </c>
      <c r="C373">
        <v>1</v>
      </c>
      <c r="D373">
        <v>4</v>
      </c>
      <c r="E373" t="s">
        <v>9</v>
      </c>
      <c r="F373" t="s">
        <v>665</v>
      </c>
      <c r="G373" t="s">
        <v>666</v>
      </c>
      <c r="H373">
        <v>1.218</v>
      </c>
      <c r="I373" t="s">
        <v>12</v>
      </c>
    </row>
    <row r="374" spans="1:9" x14ac:dyDescent="0.3">
      <c r="A374">
        <v>17</v>
      </c>
      <c r="B374">
        <v>3</v>
      </c>
      <c r="C374">
        <v>2</v>
      </c>
      <c r="D374">
        <v>1</v>
      </c>
      <c r="E374" t="s">
        <v>9</v>
      </c>
      <c r="F374" t="s">
        <v>667</v>
      </c>
      <c r="G374" t="s">
        <v>668</v>
      </c>
      <c r="H374">
        <v>2.3180000000000001</v>
      </c>
      <c r="I374" t="s">
        <v>12</v>
      </c>
    </row>
    <row r="375" spans="1:9" x14ac:dyDescent="0.3">
      <c r="A375">
        <v>17</v>
      </c>
      <c r="B375">
        <v>3</v>
      </c>
      <c r="C375">
        <v>2</v>
      </c>
      <c r="D375">
        <v>1</v>
      </c>
      <c r="E375" t="s">
        <v>19</v>
      </c>
      <c r="F375" t="s">
        <v>669</v>
      </c>
      <c r="I375" t="s">
        <v>21</v>
      </c>
    </row>
    <row r="376" spans="1:9" x14ac:dyDescent="0.3">
      <c r="A376">
        <v>17</v>
      </c>
      <c r="B376">
        <v>3</v>
      </c>
      <c r="C376">
        <v>2</v>
      </c>
      <c r="D376">
        <v>1</v>
      </c>
      <c r="E376" t="s">
        <v>9</v>
      </c>
      <c r="F376" t="s">
        <v>670</v>
      </c>
      <c r="G376" t="s">
        <v>671</v>
      </c>
      <c r="H376">
        <v>1.2010000000000001</v>
      </c>
      <c r="I376" t="s">
        <v>12</v>
      </c>
    </row>
    <row r="377" spans="1:9" x14ac:dyDescent="0.3">
      <c r="A377">
        <v>17</v>
      </c>
      <c r="B377">
        <v>3</v>
      </c>
      <c r="C377">
        <v>2</v>
      </c>
      <c r="D377">
        <v>1</v>
      </c>
      <c r="E377" t="s">
        <v>9</v>
      </c>
      <c r="F377" t="s">
        <v>672</v>
      </c>
      <c r="G377" t="s">
        <v>673</v>
      </c>
      <c r="H377">
        <v>2.952</v>
      </c>
      <c r="I377" t="s">
        <v>12</v>
      </c>
    </row>
    <row r="378" spans="1:9" x14ac:dyDescent="0.3">
      <c r="A378">
        <v>17</v>
      </c>
      <c r="B378">
        <v>3</v>
      </c>
      <c r="C378">
        <v>2</v>
      </c>
      <c r="D378">
        <v>1</v>
      </c>
      <c r="E378" t="s">
        <v>22</v>
      </c>
      <c r="F378" t="s">
        <v>674</v>
      </c>
      <c r="G378" t="s">
        <v>675</v>
      </c>
      <c r="H378">
        <v>1.4019999999999999</v>
      </c>
      <c r="I378" t="s">
        <v>21</v>
      </c>
    </row>
    <row r="379" spans="1:9" x14ac:dyDescent="0.3">
      <c r="A379">
        <v>17</v>
      </c>
      <c r="B379">
        <v>3</v>
      </c>
      <c r="C379">
        <v>2</v>
      </c>
      <c r="D379">
        <v>1</v>
      </c>
      <c r="E379" t="s">
        <v>22</v>
      </c>
      <c r="F379" t="s">
        <v>676</v>
      </c>
      <c r="G379" t="s">
        <v>677</v>
      </c>
      <c r="H379">
        <v>2.9449999999999998</v>
      </c>
      <c r="I379" t="s">
        <v>21</v>
      </c>
    </row>
    <row r="380" spans="1:9" x14ac:dyDescent="0.3">
      <c r="A380">
        <v>17</v>
      </c>
      <c r="B380">
        <v>3</v>
      </c>
      <c r="C380">
        <v>2</v>
      </c>
      <c r="D380">
        <v>1</v>
      </c>
      <c r="E380" t="s">
        <v>9</v>
      </c>
      <c r="F380" t="s">
        <v>678</v>
      </c>
      <c r="G380" t="s">
        <v>679</v>
      </c>
      <c r="H380">
        <v>4.5030000000000001</v>
      </c>
      <c r="I380" t="s">
        <v>12</v>
      </c>
    </row>
    <row r="381" spans="1:9" x14ac:dyDescent="0.3">
      <c r="A381">
        <v>17</v>
      </c>
      <c r="B381">
        <v>3</v>
      </c>
      <c r="C381">
        <v>3</v>
      </c>
      <c r="D381">
        <v>1</v>
      </c>
      <c r="E381" t="s">
        <v>9</v>
      </c>
      <c r="F381" t="s">
        <v>680</v>
      </c>
      <c r="G381" t="s">
        <v>681</v>
      </c>
      <c r="H381">
        <v>1.524</v>
      </c>
      <c r="I381" t="s">
        <v>12</v>
      </c>
    </row>
    <row r="382" spans="1:9" x14ac:dyDescent="0.3">
      <c r="A382">
        <v>17</v>
      </c>
      <c r="B382">
        <v>3</v>
      </c>
      <c r="C382">
        <v>3</v>
      </c>
      <c r="D382">
        <v>1</v>
      </c>
      <c r="E382" t="s">
        <v>9</v>
      </c>
      <c r="F382" t="s">
        <v>682</v>
      </c>
      <c r="G382" t="s">
        <v>683</v>
      </c>
      <c r="H382">
        <v>1.6180000000000001</v>
      </c>
      <c r="I382" t="s">
        <v>12</v>
      </c>
    </row>
    <row r="383" spans="1:9" x14ac:dyDescent="0.3">
      <c r="A383">
        <v>17</v>
      </c>
      <c r="B383">
        <v>3</v>
      </c>
      <c r="C383">
        <v>3</v>
      </c>
      <c r="D383">
        <v>1</v>
      </c>
      <c r="E383" t="s">
        <v>9</v>
      </c>
      <c r="F383" t="s">
        <v>684</v>
      </c>
      <c r="G383" t="s">
        <v>685</v>
      </c>
      <c r="H383">
        <v>2.1680000000000001</v>
      </c>
      <c r="I383" t="s">
        <v>12</v>
      </c>
    </row>
    <row r="384" spans="1:9" x14ac:dyDescent="0.3">
      <c r="A384">
        <v>17</v>
      </c>
      <c r="B384">
        <v>3</v>
      </c>
      <c r="C384">
        <v>3</v>
      </c>
      <c r="D384">
        <v>1</v>
      </c>
      <c r="E384" t="s">
        <v>9</v>
      </c>
      <c r="F384" t="s">
        <v>686</v>
      </c>
      <c r="G384" t="s">
        <v>687</v>
      </c>
      <c r="H384">
        <v>1.5329999999999999</v>
      </c>
      <c r="I384" t="s">
        <v>12</v>
      </c>
    </row>
    <row r="385" spans="1:9" x14ac:dyDescent="0.3">
      <c r="A385">
        <v>17</v>
      </c>
      <c r="B385">
        <v>3</v>
      </c>
      <c r="C385">
        <v>3</v>
      </c>
      <c r="D385">
        <v>1</v>
      </c>
      <c r="E385" t="s">
        <v>22</v>
      </c>
      <c r="F385" t="s">
        <v>688</v>
      </c>
      <c r="G385" t="s">
        <v>689</v>
      </c>
      <c r="H385">
        <v>1.47</v>
      </c>
      <c r="I385" t="s">
        <v>21</v>
      </c>
    </row>
    <row r="386" spans="1:9" x14ac:dyDescent="0.3">
      <c r="A386">
        <v>17</v>
      </c>
      <c r="B386">
        <v>3</v>
      </c>
      <c r="C386">
        <v>3</v>
      </c>
      <c r="D386">
        <v>1</v>
      </c>
      <c r="E386" t="s">
        <v>22</v>
      </c>
      <c r="F386" t="s">
        <v>690</v>
      </c>
      <c r="G386" t="s">
        <v>691</v>
      </c>
      <c r="H386">
        <v>0.87</v>
      </c>
      <c r="I386" t="s">
        <v>21</v>
      </c>
    </row>
    <row r="387" spans="1:9" x14ac:dyDescent="0.3">
      <c r="A387">
        <v>17</v>
      </c>
      <c r="B387">
        <v>3</v>
      </c>
      <c r="C387">
        <v>3</v>
      </c>
      <c r="D387">
        <v>1</v>
      </c>
      <c r="E387" t="s">
        <v>19</v>
      </c>
      <c r="F387" t="s">
        <v>692</v>
      </c>
      <c r="I387" t="s">
        <v>21</v>
      </c>
    </row>
    <row r="388" spans="1:9" x14ac:dyDescent="0.3">
      <c r="A388">
        <v>17</v>
      </c>
      <c r="B388">
        <v>3</v>
      </c>
      <c r="C388">
        <v>3</v>
      </c>
      <c r="D388">
        <v>1</v>
      </c>
      <c r="E388" t="s">
        <v>19</v>
      </c>
      <c r="F388" t="s">
        <v>693</v>
      </c>
      <c r="I388" t="s">
        <v>21</v>
      </c>
    </row>
    <row r="389" spans="1:9" x14ac:dyDescent="0.3">
      <c r="A389">
        <v>17</v>
      </c>
      <c r="B389">
        <v>3</v>
      </c>
      <c r="C389">
        <v>1</v>
      </c>
      <c r="D389">
        <v>1</v>
      </c>
      <c r="E389" t="s">
        <v>9</v>
      </c>
      <c r="F389" t="s">
        <v>694</v>
      </c>
      <c r="H389" t="s">
        <v>81</v>
      </c>
      <c r="I389" t="s">
        <v>34</v>
      </c>
    </row>
    <row r="390" spans="1:9" x14ac:dyDescent="0.3">
      <c r="A390">
        <v>18</v>
      </c>
      <c r="B390">
        <v>1</v>
      </c>
      <c r="C390">
        <v>1</v>
      </c>
      <c r="D390">
        <v>1</v>
      </c>
      <c r="E390" t="s">
        <v>9</v>
      </c>
      <c r="F390" t="s">
        <v>695</v>
      </c>
      <c r="G390" t="s">
        <v>696</v>
      </c>
      <c r="H390">
        <v>3.3860000000000001</v>
      </c>
      <c r="I390" t="s">
        <v>12</v>
      </c>
    </row>
    <row r="391" spans="1:9" x14ac:dyDescent="0.3">
      <c r="A391">
        <v>18</v>
      </c>
      <c r="B391">
        <v>1</v>
      </c>
      <c r="C391">
        <v>1</v>
      </c>
      <c r="D391">
        <v>2</v>
      </c>
      <c r="E391" t="s">
        <v>22</v>
      </c>
      <c r="F391" t="s">
        <v>697</v>
      </c>
      <c r="G391" t="s">
        <v>698</v>
      </c>
      <c r="H391">
        <v>5.2859999999999996</v>
      </c>
      <c r="I391" t="s">
        <v>21</v>
      </c>
    </row>
    <row r="392" spans="1:9" x14ac:dyDescent="0.3">
      <c r="A392">
        <v>18</v>
      </c>
      <c r="B392">
        <v>1</v>
      </c>
      <c r="C392">
        <v>1</v>
      </c>
      <c r="D392">
        <v>3</v>
      </c>
      <c r="E392" t="s">
        <v>22</v>
      </c>
      <c r="F392" t="s">
        <v>699</v>
      </c>
      <c r="G392" t="s">
        <v>700</v>
      </c>
      <c r="H392">
        <v>1.22</v>
      </c>
      <c r="I392" t="s">
        <v>21</v>
      </c>
    </row>
    <row r="393" spans="1:9" x14ac:dyDescent="0.3">
      <c r="A393">
        <v>18</v>
      </c>
      <c r="B393">
        <v>1</v>
      </c>
      <c r="C393">
        <v>1</v>
      </c>
      <c r="D393">
        <v>3</v>
      </c>
      <c r="E393" t="s">
        <v>9</v>
      </c>
      <c r="F393" t="s">
        <v>701</v>
      </c>
      <c r="G393" t="s">
        <v>702</v>
      </c>
      <c r="H393">
        <v>5.4009999999999998</v>
      </c>
      <c r="I393" t="s">
        <v>12</v>
      </c>
    </row>
    <row r="394" spans="1:9" x14ac:dyDescent="0.3">
      <c r="A394">
        <v>18</v>
      </c>
      <c r="B394">
        <v>1</v>
      </c>
      <c r="C394">
        <v>1</v>
      </c>
      <c r="D394">
        <v>3</v>
      </c>
      <c r="E394" t="s">
        <v>9</v>
      </c>
      <c r="F394" t="s">
        <v>703</v>
      </c>
      <c r="G394" t="s">
        <v>704</v>
      </c>
      <c r="H394">
        <v>2.7669999999999999</v>
      </c>
      <c r="I394" t="s">
        <v>12</v>
      </c>
    </row>
    <row r="395" spans="1:9" x14ac:dyDescent="0.3">
      <c r="A395">
        <v>18</v>
      </c>
      <c r="B395">
        <v>1</v>
      </c>
      <c r="C395">
        <v>1</v>
      </c>
      <c r="D395">
        <v>3</v>
      </c>
      <c r="E395" t="s">
        <v>19</v>
      </c>
      <c r="F395" t="s">
        <v>705</v>
      </c>
      <c r="I395" t="s">
        <v>34</v>
      </c>
    </row>
    <row r="396" spans="1:9" x14ac:dyDescent="0.3">
      <c r="A396">
        <v>18</v>
      </c>
      <c r="B396">
        <v>1</v>
      </c>
      <c r="C396">
        <v>1</v>
      </c>
      <c r="D396">
        <v>3</v>
      </c>
      <c r="E396" t="s">
        <v>19</v>
      </c>
      <c r="F396" t="s">
        <v>706</v>
      </c>
      <c r="I396" t="s">
        <v>34</v>
      </c>
    </row>
    <row r="397" spans="1:9" x14ac:dyDescent="0.3">
      <c r="A397">
        <v>18</v>
      </c>
      <c r="B397">
        <v>1</v>
      </c>
      <c r="C397">
        <v>1</v>
      </c>
      <c r="D397">
        <v>3</v>
      </c>
      <c r="E397" t="s">
        <v>19</v>
      </c>
      <c r="F397" t="s">
        <v>707</v>
      </c>
      <c r="I397" t="s">
        <v>34</v>
      </c>
    </row>
    <row r="398" spans="1:9" x14ac:dyDescent="0.3">
      <c r="A398">
        <v>18</v>
      </c>
      <c r="B398">
        <v>1</v>
      </c>
      <c r="C398">
        <v>1</v>
      </c>
      <c r="D398">
        <v>4</v>
      </c>
      <c r="E398" t="s">
        <v>22</v>
      </c>
      <c r="F398" t="s">
        <v>708</v>
      </c>
      <c r="G398" t="s">
        <v>709</v>
      </c>
      <c r="H398">
        <v>1.2529999999999999</v>
      </c>
      <c r="I398" t="s">
        <v>21</v>
      </c>
    </row>
    <row r="399" spans="1:9" x14ac:dyDescent="0.3">
      <c r="A399">
        <v>18</v>
      </c>
      <c r="B399">
        <v>1</v>
      </c>
      <c r="C399">
        <v>1</v>
      </c>
      <c r="D399">
        <v>4</v>
      </c>
      <c r="E399" t="s">
        <v>19</v>
      </c>
      <c r="F399" t="s">
        <v>710</v>
      </c>
      <c r="I399" t="s">
        <v>34</v>
      </c>
    </row>
    <row r="400" spans="1:9" x14ac:dyDescent="0.3">
      <c r="A400">
        <v>18</v>
      </c>
      <c r="B400">
        <v>1</v>
      </c>
      <c r="C400">
        <v>1</v>
      </c>
      <c r="D400">
        <v>5</v>
      </c>
      <c r="E400" t="s">
        <v>9</v>
      </c>
      <c r="F400" t="s">
        <v>711</v>
      </c>
      <c r="G400" t="s">
        <v>712</v>
      </c>
      <c r="H400">
        <v>2.5859999999999999</v>
      </c>
      <c r="I400" t="s">
        <v>12</v>
      </c>
    </row>
    <row r="401" spans="1:9" x14ac:dyDescent="0.3">
      <c r="A401">
        <v>18</v>
      </c>
      <c r="B401">
        <v>1</v>
      </c>
      <c r="C401">
        <v>1</v>
      </c>
      <c r="D401">
        <v>5</v>
      </c>
      <c r="E401" t="s">
        <v>22</v>
      </c>
      <c r="F401" t="s">
        <v>713</v>
      </c>
      <c r="G401" t="s">
        <v>714</v>
      </c>
      <c r="H401">
        <v>1.286</v>
      </c>
      <c r="I401" t="s">
        <v>21</v>
      </c>
    </row>
    <row r="402" spans="1:9" x14ac:dyDescent="0.3">
      <c r="A402">
        <v>18</v>
      </c>
      <c r="B402">
        <v>1</v>
      </c>
      <c r="C402">
        <v>1</v>
      </c>
      <c r="D402">
        <v>5</v>
      </c>
      <c r="E402" t="s">
        <v>22</v>
      </c>
      <c r="F402" t="s">
        <v>715</v>
      </c>
      <c r="G402" t="s">
        <v>716</v>
      </c>
      <c r="H402">
        <v>1.8009999999999999</v>
      </c>
      <c r="I402" t="s">
        <v>21</v>
      </c>
    </row>
    <row r="403" spans="1:9" x14ac:dyDescent="0.3">
      <c r="A403">
        <v>18</v>
      </c>
      <c r="B403">
        <v>1</v>
      </c>
      <c r="C403">
        <v>1</v>
      </c>
      <c r="D403">
        <v>5</v>
      </c>
      <c r="E403" t="s">
        <v>9</v>
      </c>
      <c r="F403" t="s">
        <v>717</v>
      </c>
      <c r="G403" t="s">
        <v>718</v>
      </c>
      <c r="H403">
        <v>1.734</v>
      </c>
      <c r="I403" t="s">
        <v>12</v>
      </c>
    </row>
    <row r="404" spans="1:9" x14ac:dyDescent="0.3">
      <c r="A404">
        <v>18</v>
      </c>
      <c r="B404">
        <v>1</v>
      </c>
      <c r="C404">
        <v>1</v>
      </c>
      <c r="D404">
        <v>5</v>
      </c>
      <c r="E404" t="s">
        <v>19</v>
      </c>
      <c r="F404" t="s">
        <v>719</v>
      </c>
      <c r="I404" t="s">
        <v>21</v>
      </c>
    </row>
    <row r="405" spans="1:9" x14ac:dyDescent="0.3">
      <c r="A405">
        <v>18</v>
      </c>
      <c r="B405">
        <v>1</v>
      </c>
      <c r="C405">
        <v>1</v>
      </c>
      <c r="D405">
        <v>5</v>
      </c>
      <c r="E405" t="s">
        <v>19</v>
      </c>
      <c r="F405" t="s">
        <v>720</v>
      </c>
      <c r="I405" t="s">
        <v>21</v>
      </c>
    </row>
    <row r="406" spans="1:9" x14ac:dyDescent="0.3">
      <c r="A406">
        <v>18</v>
      </c>
      <c r="B406">
        <v>1</v>
      </c>
      <c r="C406">
        <v>1</v>
      </c>
      <c r="D406">
        <v>5</v>
      </c>
      <c r="E406" t="s">
        <v>19</v>
      </c>
      <c r="F406" t="s">
        <v>721</v>
      </c>
      <c r="I406" t="s">
        <v>21</v>
      </c>
    </row>
    <row r="407" spans="1:9" x14ac:dyDescent="0.3">
      <c r="A407">
        <v>18</v>
      </c>
      <c r="B407">
        <v>1</v>
      </c>
      <c r="C407">
        <v>1</v>
      </c>
      <c r="D407">
        <v>6</v>
      </c>
      <c r="E407" t="s">
        <v>9</v>
      </c>
      <c r="F407" t="s">
        <v>722</v>
      </c>
      <c r="G407" t="s">
        <v>723</v>
      </c>
      <c r="H407">
        <v>0.88600000000000001</v>
      </c>
      <c r="I407" t="s">
        <v>12</v>
      </c>
    </row>
    <row r="408" spans="1:9" x14ac:dyDescent="0.3">
      <c r="A408">
        <v>18</v>
      </c>
      <c r="B408">
        <v>1</v>
      </c>
      <c r="C408">
        <v>1</v>
      </c>
      <c r="D408">
        <v>6</v>
      </c>
      <c r="E408" t="s">
        <v>22</v>
      </c>
      <c r="F408" t="s">
        <v>724</v>
      </c>
      <c r="G408" t="s">
        <v>725</v>
      </c>
      <c r="H408">
        <v>1.2010000000000001</v>
      </c>
      <c r="I408" t="s">
        <v>21</v>
      </c>
    </row>
    <row r="409" spans="1:9" x14ac:dyDescent="0.3">
      <c r="A409">
        <v>18</v>
      </c>
      <c r="B409">
        <v>1</v>
      </c>
      <c r="C409">
        <v>1</v>
      </c>
      <c r="D409">
        <v>6</v>
      </c>
      <c r="E409" t="s">
        <v>22</v>
      </c>
      <c r="F409" t="s">
        <v>726</v>
      </c>
      <c r="G409" t="s">
        <v>727</v>
      </c>
      <c r="H409">
        <v>0.96699999999999997</v>
      </c>
      <c r="I409" t="s">
        <v>21</v>
      </c>
    </row>
    <row r="410" spans="1:9" x14ac:dyDescent="0.3">
      <c r="A410">
        <v>18</v>
      </c>
      <c r="B410">
        <v>1</v>
      </c>
      <c r="C410">
        <v>1</v>
      </c>
      <c r="D410">
        <v>6</v>
      </c>
      <c r="E410" t="s">
        <v>19</v>
      </c>
      <c r="F410" t="s">
        <v>728</v>
      </c>
      <c r="I410" t="s">
        <v>21</v>
      </c>
    </row>
    <row r="411" spans="1:9" x14ac:dyDescent="0.3">
      <c r="A411">
        <v>18</v>
      </c>
      <c r="B411">
        <v>1</v>
      </c>
      <c r="C411">
        <v>1</v>
      </c>
      <c r="D411">
        <v>6</v>
      </c>
      <c r="E411" t="s">
        <v>9</v>
      </c>
      <c r="F411" t="s">
        <v>729</v>
      </c>
      <c r="G411" t="s">
        <v>730</v>
      </c>
      <c r="H411">
        <v>4.1349999999999998</v>
      </c>
      <c r="I411" t="s">
        <v>12</v>
      </c>
    </row>
    <row r="412" spans="1:9" x14ac:dyDescent="0.3">
      <c r="A412">
        <v>18</v>
      </c>
      <c r="B412">
        <v>1</v>
      </c>
      <c r="C412">
        <v>1</v>
      </c>
      <c r="D412">
        <v>6</v>
      </c>
      <c r="E412" t="s">
        <v>19</v>
      </c>
      <c r="F412" t="s">
        <v>731</v>
      </c>
      <c r="I412" t="s">
        <v>21</v>
      </c>
    </row>
    <row r="413" spans="1:9" x14ac:dyDescent="0.3">
      <c r="A413">
        <v>18</v>
      </c>
      <c r="B413">
        <v>1</v>
      </c>
      <c r="C413">
        <v>1</v>
      </c>
      <c r="D413">
        <v>6</v>
      </c>
      <c r="E413" t="s">
        <v>19</v>
      </c>
      <c r="F413" t="s">
        <v>732</v>
      </c>
      <c r="I413" t="s">
        <v>21</v>
      </c>
    </row>
    <row r="414" spans="1:9" x14ac:dyDescent="0.3">
      <c r="A414">
        <v>18</v>
      </c>
      <c r="B414">
        <v>1</v>
      </c>
      <c r="C414">
        <v>1</v>
      </c>
      <c r="D414">
        <v>1</v>
      </c>
      <c r="E414" t="s">
        <v>22</v>
      </c>
      <c r="F414" t="s">
        <v>733</v>
      </c>
      <c r="G414" t="s">
        <v>734</v>
      </c>
      <c r="H414">
        <v>1.2529999999999999</v>
      </c>
      <c r="I414" t="s">
        <v>21</v>
      </c>
    </row>
    <row r="415" spans="1:9" x14ac:dyDescent="0.3">
      <c r="A415">
        <v>18</v>
      </c>
      <c r="B415">
        <v>1</v>
      </c>
      <c r="C415">
        <v>1</v>
      </c>
      <c r="D415">
        <v>2</v>
      </c>
      <c r="E415" t="s">
        <v>9</v>
      </c>
      <c r="F415" t="s">
        <v>735</v>
      </c>
      <c r="G415" t="s">
        <v>736</v>
      </c>
      <c r="H415">
        <v>2.0859999999999999</v>
      </c>
      <c r="I415" t="s">
        <v>12</v>
      </c>
    </row>
    <row r="416" spans="1:9" x14ac:dyDescent="0.3">
      <c r="A416">
        <v>18</v>
      </c>
      <c r="B416">
        <v>1</v>
      </c>
      <c r="C416">
        <v>1</v>
      </c>
      <c r="D416">
        <v>2</v>
      </c>
      <c r="E416" t="s">
        <v>22</v>
      </c>
      <c r="F416" t="s">
        <v>737</v>
      </c>
      <c r="G416" t="s">
        <v>738</v>
      </c>
      <c r="H416">
        <v>1.034</v>
      </c>
      <c r="I416" t="s">
        <v>21</v>
      </c>
    </row>
    <row r="417" spans="1:9" x14ac:dyDescent="0.3">
      <c r="A417">
        <v>18</v>
      </c>
      <c r="B417">
        <v>1</v>
      </c>
      <c r="C417">
        <v>1</v>
      </c>
      <c r="D417">
        <v>2</v>
      </c>
      <c r="E417" t="s">
        <v>22</v>
      </c>
      <c r="F417" t="s">
        <v>739</v>
      </c>
      <c r="G417" t="s">
        <v>740</v>
      </c>
      <c r="H417">
        <v>0.56699999999999995</v>
      </c>
      <c r="I417" t="s">
        <v>21</v>
      </c>
    </row>
    <row r="418" spans="1:9" x14ac:dyDescent="0.3">
      <c r="A418">
        <v>18</v>
      </c>
      <c r="B418">
        <v>1</v>
      </c>
      <c r="C418">
        <v>1</v>
      </c>
      <c r="D418">
        <v>2</v>
      </c>
      <c r="E418" t="s">
        <v>19</v>
      </c>
      <c r="F418" t="s">
        <v>741</v>
      </c>
      <c r="I418" t="s">
        <v>21</v>
      </c>
    </row>
    <row r="419" spans="1:9" x14ac:dyDescent="0.3">
      <c r="A419">
        <v>18</v>
      </c>
      <c r="B419">
        <v>1</v>
      </c>
      <c r="C419">
        <v>1</v>
      </c>
      <c r="D419">
        <v>2</v>
      </c>
      <c r="E419" t="s">
        <v>9</v>
      </c>
      <c r="F419" t="s">
        <v>742</v>
      </c>
      <c r="G419" t="s">
        <v>743</v>
      </c>
      <c r="H419">
        <v>1.101</v>
      </c>
      <c r="I419" t="s">
        <v>12</v>
      </c>
    </row>
    <row r="420" spans="1:9" x14ac:dyDescent="0.3">
      <c r="A420">
        <v>18</v>
      </c>
      <c r="B420">
        <v>1</v>
      </c>
      <c r="C420">
        <v>1</v>
      </c>
      <c r="D420">
        <v>2</v>
      </c>
      <c r="E420" t="s">
        <v>9</v>
      </c>
      <c r="F420" t="s">
        <v>744</v>
      </c>
      <c r="G420" t="s">
        <v>745</v>
      </c>
      <c r="H420">
        <v>0.96899999999999997</v>
      </c>
      <c r="I420" t="s">
        <v>12</v>
      </c>
    </row>
    <row r="421" spans="1:9" x14ac:dyDescent="0.3">
      <c r="A421">
        <v>18</v>
      </c>
      <c r="B421">
        <v>1</v>
      </c>
      <c r="C421">
        <v>1</v>
      </c>
      <c r="D421">
        <v>2</v>
      </c>
      <c r="E421" t="s">
        <v>19</v>
      </c>
      <c r="F421" t="s">
        <v>746</v>
      </c>
      <c r="I421" t="s">
        <v>21</v>
      </c>
    </row>
    <row r="422" spans="1:9" x14ac:dyDescent="0.3">
      <c r="A422">
        <v>18</v>
      </c>
      <c r="B422">
        <v>1</v>
      </c>
      <c r="C422">
        <v>1</v>
      </c>
      <c r="D422">
        <v>2</v>
      </c>
      <c r="E422" t="s">
        <v>9</v>
      </c>
      <c r="F422" t="s">
        <v>747</v>
      </c>
      <c r="G422" t="s">
        <v>748</v>
      </c>
      <c r="H422">
        <v>1.8360000000000001</v>
      </c>
      <c r="I422" t="s">
        <v>12</v>
      </c>
    </row>
    <row r="423" spans="1:9" x14ac:dyDescent="0.3">
      <c r="A423">
        <v>18</v>
      </c>
      <c r="B423">
        <v>1</v>
      </c>
      <c r="C423">
        <v>1</v>
      </c>
      <c r="D423">
        <v>2</v>
      </c>
      <c r="E423" t="s">
        <v>19</v>
      </c>
      <c r="F423" t="s">
        <v>749</v>
      </c>
      <c r="I423" t="s">
        <v>21</v>
      </c>
    </row>
    <row r="424" spans="1:9" x14ac:dyDescent="0.3">
      <c r="A424">
        <v>18</v>
      </c>
      <c r="B424">
        <v>1</v>
      </c>
      <c r="C424">
        <v>2</v>
      </c>
      <c r="D424">
        <v>1</v>
      </c>
      <c r="E424" t="s">
        <v>9</v>
      </c>
      <c r="F424" t="s">
        <v>750</v>
      </c>
      <c r="G424" t="s">
        <v>751</v>
      </c>
      <c r="H424">
        <v>2.5539999999999998</v>
      </c>
      <c r="I424" t="s">
        <v>12</v>
      </c>
    </row>
    <row r="425" spans="1:9" x14ac:dyDescent="0.3">
      <c r="A425">
        <v>18</v>
      </c>
      <c r="B425">
        <v>1</v>
      </c>
      <c r="C425">
        <v>2</v>
      </c>
      <c r="D425">
        <v>1</v>
      </c>
      <c r="E425" t="s">
        <v>9</v>
      </c>
      <c r="F425" t="s">
        <v>752</v>
      </c>
      <c r="G425" t="s">
        <v>753</v>
      </c>
      <c r="H425">
        <v>0.98099999999999998</v>
      </c>
      <c r="I425" t="s">
        <v>12</v>
      </c>
    </row>
    <row r="426" spans="1:9" x14ac:dyDescent="0.3">
      <c r="A426">
        <v>18</v>
      </c>
      <c r="B426">
        <v>1</v>
      </c>
      <c r="C426">
        <v>2</v>
      </c>
      <c r="D426">
        <v>1</v>
      </c>
      <c r="E426" t="s">
        <v>9</v>
      </c>
      <c r="F426" t="s">
        <v>754</v>
      </c>
      <c r="G426" t="s">
        <v>755</v>
      </c>
      <c r="H426">
        <v>1.5349999999999999</v>
      </c>
      <c r="I426" t="s">
        <v>12</v>
      </c>
    </row>
    <row r="427" spans="1:9" x14ac:dyDescent="0.3">
      <c r="A427">
        <v>18</v>
      </c>
      <c r="B427">
        <v>1</v>
      </c>
      <c r="C427">
        <v>2</v>
      </c>
      <c r="D427">
        <v>1</v>
      </c>
      <c r="E427" t="s">
        <v>22</v>
      </c>
      <c r="F427" t="s">
        <v>756</v>
      </c>
      <c r="G427" t="s">
        <v>757</v>
      </c>
      <c r="H427">
        <v>0.83299999999999996</v>
      </c>
      <c r="I427" t="s">
        <v>21</v>
      </c>
    </row>
    <row r="428" spans="1:9" x14ac:dyDescent="0.3">
      <c r="A428">
        <v>18</v>
      </c>
      <c r="B428">
        <v>1</v>
      </c>
      <c r="C428">
        <v>2</v>
      </c>
      <c r="D428">
        <v>1</v>
      </c>
      <c r="E428" t="s">
        <v>19</v>
      </c>
      <c r="F428" t="s">
        <v>758</v>
      </c>
      <c r="I428" t="s">
        <v>21</v>
      </c>
    </row>
    <row r="429" spans="1:9" x14ac:dyDescent="0.3">
      <c r="A429">
        <v>18</v>
      </c>
      <c r="B429">
        <v>1</v>
      </c>
      <c r="C429">
        <v>2</v>
      </c>
      <c r="D429">
        <v>1</v>
      </c>
      <c r="E429" t="s">
        <v>22</v>
      </c>
      <c r="F429" t="s">
        <v>759</v>
      </c>
      <c r="G429" t="s">
        <v>760</v>
      </c>
      <c r="H429">
        <v>2.234</v>
      </c>
      <c r="I429" t="s">
        <v>21</v>
      </c>
    </row>
    <row r="430" spans="1:9" x14ac:dyDescent="0.3">
      <c r="A430">
        <v>18</v>
      </c>
      <c r="B430">
        <v>1</v>
      </c>
      <c r="C430">
        <v>2</v>
      </c>
      <c r="D430">
        <v>1</v>
      </c>
      <c r="E430" t="s">
        <v>9</v>
      </c>
      <c r="F430" t="s">
        <v>761</v>
      </c>
      <c r="G430" t="s">
        <v>762</v>
      </c>
      <c r="H430">
        <v>1.7669999999999999</v>
      </c>
      <c r="I430" t="s">
        <v>12</v>
      </c>
    </row>
    <row r="431" spans="1:9" x14ac:dyDescent="0.3">
      <c r="A431">
        <v>18</v>
      </c>
      <c r="B431">
        <v>1</v>
      </c>
      <c r="C431">
        <v>2</v>
      </c>
      <c r="D431">
        <v>1</v>
      </c>
      <c r="E431" t="s">
        <v>19</v>
      </c>
      <c r="F431" t="s">
        <v>763</v>
      </c>
      <c r="I431" t="s">
        <v>21</v>
      </c>
    </row>
    <row r="432" spans="1:9" x14ac:dyDescent="0.3">
      <c r="A432">
        <v>18</v>
      </c>
      <c r="B432">
        <v>1</v>
      </c>
      <c r="C432">
        <v>3</v>
      </c>
      <c r="D432">
        <v>1</v>
      </c>
      <c r="E432" t="s">
        <v>9</v>
      </c>
      <c r="F432" t="s">
        <v>764</v>
      </c>
      <c r="G432" t="s">
        <v>765</v>
      </c>
      <c r="H432">
        <v>1.22</v>
      </c>
      <c r="I432" t="s">
        <v>12</v>
      </c>
    </row>
    <row r="433" spans="1:9" x14ac:dyDescent="0.3">
      <c r="A433">
        <v>18</v>
      </c>
      <c r="B433">
        <v>1</v>
      </c>
      <c r="C433">
        <v>3</v>
      </c>
      <c r="D433">
        <v>1</v>
      </c>
      <c r="E433" t="s">
        <v>9</v>
      </c>
      <c r="F433" t="s">
        <v>766</v>
      </c>
      <c r="G433" t="s">
        <v>767</v>
      </c>
      <c r="H433">
        <v>1.9670000000000001</v>
      </c>
      <c r="I433" t="s">
        <v>12</v>
      </c>
    </row>
    <row r="434" spans="1:9" x14ac:dyDescent="0.3">
      <c r="A434">
        <v>18</v>
      </c>
      <c r="B434">
        <v>1</v>
      </c>
      <c r="C434">
        <v>3</v>
      </c>
      <c r="D434">
        <v>1</v>
      </c>
      <c r="E434" t="s">
        <v>9</v>
      </c>
      <c r="F434" t="s">
        <v>768</v>
      </c>
      <c r="G434" t="s">
        <v>769</v>
      </c>
      <c r="H434">
        <v>1.4670000000000001</v>
      </c>
      <c r="I434" t="s">
        <v>12</v>
      </c>
    </row>
    <row r="435" spans="1:9" x14ac:dyDescent="0.3">
      <c r="A435">
        <v>18</v>
      </c>
      <c r="B435">
        <v>1</v>
      </c>
      <c r="C435">
        <v>3</v>
      </c>
      <c r="D435">
        <v>1</v>
      </c>
      <c r="E435" t="s">
        <v>9</v>
      </c>
      <c r="F435" t="s">
        <v>770</v>
      </c>
      <c r="G435" t="s">
        <v>771</v>
      </c>
      <c r="H435">
        <v>1.0349999999999999</v>
      </c>
      <c r="I435" t="s">
        <v>12</v>
      </c>
    </row>
    <row r="436" spans="1:9" x14ac:dyDescent="0.3">
      <c r="A436">
        <v>18</v>
      </c>
      <c r="B436">
        <v>1</v>
      </c>
      <c r="C436">
        <v>3</v>
      </c>
      <c r="D436">
        <v>1</v>
      </c>
      <c r="E436" t="s">
        <v>22</v>
      </c>
      <c r="F436" t="s">
        <v>772</v>
      </c>
      <c r="G436" t="s">
        <v>773</v>
      </c>
      <c r="H436">
        <v>1.4</v>
      </c>
      <c r="I436" t="s">
        <v>21</v>
      </c>
    </row>
    <row r="437" spans="1:9" x14ac:dyDescent="0.3">
      <c r="A437">
        <v>18</v>
      </c>
      <c r="B437">
        <v>1</v>
      </c>
      <c r="C437">
        <v>3</v>
      </c>
      <c r="D437">
        <v>1</v>
      </c>
      <c r="E437" t="s">
        <v>19</v>
      </c>
      <c r="F437" t="s">
        <v>774</v>
      </c>
      <c r="I437" t="s">
        <v>34</v>
      </c>
    </row>
    <row r="438" spans="1:9" x14ac:dyDescent="0.3">
      <c r="A438">
        <v>18</v>
      </c>
      <c r="B438">
        <v>1</v>
      </c>
      <c r="C438">
        <v>3</v>
      </c>
      <c r="D438">
        <v>2</v>
      </c>
      <c r="E438" t="s">
        <v>22</v>
      </c>
      <c r="F438" t="s">
        <v>775</v>
      </c>
      <c r="G438" t="s">
        <v>776</v>
      </c>
      <c r="H438">
        <v>1.9139999999999999</v>
      </c>
      <c r="I438" t="s">
        <v>21</v>
      </c>
    </row>
    <row r="439" spans="1:9" x14ac:dyDescent="0.3">
      <c r="A439">
        <v>18</v>
      </c>
      <c r="B439">
        <v>1</v>
      </c>
      <c r="C439">
        <v>3</v>
      </c>
      <c r="D439">
        <v>2</v>
      </c>
      <c r="E439" t="s">
        <v>9</v>
      </c>
      <c r="F439" t="s">
        <v>777</v>
      </c>
      <c r="G439" t="s">
        <v>778</v>
      </c>
      <c r="H439">
        <v>2.105</v>
      </c>
      <c r="I439" t="s">
        <v>12</v>
      </c>
    </row>
    <row r="440" spans="1:9" x14ac:dyDescent="0.3">
      <c r="A440">
        <v>18</v>
      </c>
      <c r="B440">
        <v>1</v>
      </c>
      <c r="C440">
        <v>3</v>
      </c>
      <c r="D440">
        <v>2</v>
      </c>
      <c r="E440" t="s">
        <v>9</v>
      </c>
      <c r="F440" t="s">
        <v>779</v>
      </c>
      <c r="G440" t="s">
        <v>780</v>
      </c>
      <c r="H440">
        <v>1.1339999999999999</v>
      </c>
      <c r="I440" t="s">
        <v>12</v>
      </c>
    </row>
    <row r="441" spans="1:9" x14ac:dyDescent="0.3">
      <c r="A441">
        <v>18</v>
      </c>
      <c r="B441">
        <v>1</v>
      </c>
      <c r="C441">
        <v>3</v>
      </c>
      <c r="D441">
        <v>2</v>
      </c>
      <c r="E441" t="s">
        <v>9</v>
      </c>
      <c r="F441" t="s">
        <v>781</v>
      </c>
      <c r="G441" t="s">
        <v>782</v>
      </c>
      <c r="H441">
        <v>1.8680000000000001</v>
      </c>
      <c r="I441" t="s">
        <v>12</v>
      </c>
    </row>
    <row r="442" spans="1:9" x14ac:dyDescent="0.3">
      <c r="A442">
        <v>18</v>
      </c>
      <c r="B442">
        <v>1</v>
      </c>
      <c r="C442">
        <v>3</v>
      </c>
      <c r="D442">
        <v>2</v>
      </c>
      <c r="E442" t="s">
        <v>9</v>
      </c>
      <c r="F442" t="s">
        <v>783</v>
      </c>
      <c r="G442" t="s">
        <v>784</v>
      </c>
      <c r="H442">
        <v>1.335</v>
      </c>
      <c r="I442" t="s">
        <v>12</v>
      </c>
    </row>
    <row r="443" spans="1:9" x14ac:dyDescent="0.3">
      <c r="A443">
        <v>18</v>
      </c>
      <c r="B443">
        <v>1</v>
      </c>
      <c r="C443">
        <v>3</v>
      </c>
      <c r="D443">
        <v>2</v>
      </c>
      <c r="E443" t="s">
        <v>22</v>
      </c>
      <c r="F443" t="s">
        <v>785</v>
      </c>
      <c r="G443" t="s">
        <v>786</v>
      </c>
      <c r="H443">
        <v>1.869</v>
      </c>
      <c r="I443" t="s">
        <v>21</v>
      </c>
    </row>
    <row r="444" spans="1:9" x14ac:dyDescent="0.3">
      <c r="A444">
        <v>18</v>
      </c>
      <c r="B444">
        <v>1</v>
      </c>
      <c r="C444">
        <v>3</v>
      </c>
      <c r="D444">
        <v>2</v>
      </c>
      <c r="E444" t="s">
        <v>19</v>
      </c>
      <c r="F444" t="s">
        <v>787</v>
      </c>
      <c r="I444" t="s">
        <v>34</v>
      </c>
    </row>
    <row r="445" spans="1:9" x14ac:dyDescent="0.3">
      <c r="A445">
        <v>18</v>
      </c>
      <c r="B445">
        <v>1</v>
      </c>
      <c r="C445">
        <v>3</v>
      </c>
      <c r="D445">
        <v>3</v>
      </c>
      <c r="E445" t="s">
        <v>9</v>
      </c>
      <c r="F445" t="s">
        <v>788</v>
      </c>
      <c r="G445" t="s">
        <v>789</v>
      </c>
      <c r="H445">
        <v>1.6870000000000001</v>
      </c>
      <c r="I445" t="s">
        <v>12</v>
      </c>
    </row>
    <row r="446" spans="1:9" x14ac:dyDescent="0.3">
      <c r="A446">
        <v>18</v>
      </c>
      <c r="B446">
        <v>1</v>
      </c>
      <c r="C446">
        <v>3</v>
      </c>
      <c r="D446">
        <v>3</v>
      </c>
      <c r="E446" t="s">
        <v>9</v>
      </c>
      <c r="F446" t="s">
        <v>790</v>
      </c>
      <c r="G446" t="s">
        <v>791</v>
      </c>
      <c r="H446">
        <v>1.169</v>
      </c>
      <c r="I446" t="s">
        <v>12</v>
      </c>
    </row>
    <row r="447" spans="1:9" x14ac:dyDescent="0.3">
      <c r="A447">
        <v>18</v>
      </c>
      <c r="B447">
        <v>1</v>
      </c>
      <c r="C447">
        <v>3</v>
      </c>
      <c r="D447">
        <v>3</v>
      </c>
      <c r="E447" t="s">
        <v>9</v>
      </c>
      <c r="F447" t="s">
        <v>792</v>
      </c>
      <c r="G447" t="s">
        <v>793</v>
      </c>
      <c r="H447">
        <v>2.4670000000000001</v>
      </c>
      <c r="I447" t="s">
        <v>12</v>
      </c>
    </row>
    <row r="448" spans="1:9" x14ac:dyDescent="0.3">
      <c r="A448">
        <v>18</v>
      </c>
      <c r="B448">
        <v>1</v>
      </c>
      <c r="C448">
        <v>3</v>
      </c>
      <c r="D448">
        <v>3</v>
      </c>
      <c r="E448" t="s">
        <v>9</v>
      </c>
      <c r="F448" t="s">
        <v>794</v>
      </c>
      <c r="G448" t="s">
        <v>795</v>
      </c>
      <c r="H448">
        <v>1.617</v>
      </c>
      <c r="I448" t="s">
        <v>12</v>
      </c>
    </row>
    <row r="449" spans="1:9" x14ac:dyDescent="0.3">
      <c r="A449">
        <v>18</v>
      </c>
      <c r="B449">
        <v>3</v>
      </c>
      <c r="C449">
        <v>1</v>
      </c>
      <c r="D449">
        <v>1</v>
      </c>
      <c r="E449" t="s">
        <v>22</v>
      </c>
      <c r="F449" t="s">
        <v>796</v>
      </c>
      <c r="G449" t="s">
        <v>797</v>
      </c>
      <c r="H449">
        <v>1.407</v>
      </c>
      <c r="I449" t="s">
        <v>21</v>
      </c>
    </row>
    <row r="450" spans="1:9" x14ac:dyDescent="0.3">
      <c r="A450">
        <v>18</v>
      </c>
      <c r="B450">
        <v>3</v>
      </c>
      <c r="C450">
        <v>1</v>
      </c>
      <c r="D450">
        <v>1</v>
      </c>
      <c r="E450" t="s">
        <v>9</v>
      </c>
      <c r="F450" t="s">
        <v>798</v>
      </c>
      <c r="G450" t="s">
        <v>799</v>
      </c>
      <c r="H450">
        <v>0.86799999999999999</v>
      </c>
      <c r="I450" t="s">
        <v>12</v>
      </c>
    </row>
    <row r="451" spans="1:9" x14ac:dyDescent="0.3">
      <c r="A451">
        <v>18</v>
      </c>
      <c r="B451">
        <v>3</v>
      </c>
      <c r="C451">
        <v>1</v>
      </c>
      <c r="D451">
        <v>1</v>
      </c>
      <c r="E451" t="s">
        <v>9</v>
      </c>
      <c r="F451" t="s">
        <v>800</v>
      </c>
      <c r="G451" t="s">
        <v>801</v>
      </c>
      <c r="H451">
        <v>1.1870000000000001</v>
      </c>
      <c r="I451" t="s">
        <v>12</v>
      </c>
    </row>
    <row r="452" spans="1:9" x14ac:dyDescent="0.3">
      <c r="A452">
        <v>18</v>
      </c>
      <c r="B452">
        <v>3</v>
      </c>
      <c r="C452">
        <v>1</v>
      </c>
      <c r="D452">
        <v>1</v>
      </c>
      <c r="E452" t="s">
        <v>22</v>
      </c>
      <c r="F452" t="s">
        <v>802</v>
      </c>
      <c r="G452" t="s">
        <v>803</v>
      </c>
      <c r="H452">
        <v>0.83599999999999997</v>
      </c>
      <c r="I452" t="s">
        <v>21</v>
      </c>
    </row>
    <row r="453" spans="1:9" x14ac:dyDescent="0.3">
      <c r="A453">
        <v>18</v>
      </c>
      <c r="B453">
        <v>3</v>
      </c>
      <c r="C453">
        <v>1</v>
      </c>
      <c r="D453">
        <v>1</v>
      </c>
      <c r="E453" t="s">
        <v>19</v>
      </c>
      <c r="F453" t="s">
        <v>804</v>
      </c>
      <c r="I453" t="s">
        <v>34</v>
      </c>
    </row>
    <row r="454" spans="1:9" x14ac:dyDescent="0.3">
      <c r="A454">
        <v>18</v>
      </c>
      <c r="B454">
        <v>3</v>
      </c>
      <c r="C454">
        <v>1</v>
      </c>
      <c r="D454">
        <v>2</v>
      </c>
      <c r="E454" t="s">
        <v>9</v>
      </c>
      <c r="F454" t="s">
        <v>805</v>
      </c>
      <c r="G454" t="s">
        <v>806</v>
      </c>
      <c r="H454">
        <v>1.42</v>
      </c>
      <c r="I454" t="s">
        <v>12</v>
      </c>
    </row>
    <row r="455" spans="1:9" x14ac:dyDescent="0.3">
      <c r="A455">
        <v>18</v>
      </c>
      <c r="B455">
        <v>3</v>
      </c>
      <c r="C455">
        <v>1</v>
      </c>
      <c r="D455">
        <v>2</v>
      </c>
      <c r="E455" t="s">
        <v>22</v>
      </c>
      <c r="F455" t="s">
        <v>807</v>
      </c>
      <c r="G455" t="s">
        <v>808</v>
      </c>
      <c r="H455">
        <v>1.07</v>
      </c>
      <c r="I455" t="s">
        <v>21</v>
      </c>
    </row>
    <row r="456" spans="1:9" x14ac:dyDescent="0.3">
      <c r="A456">
        <v>18</v>
      </c>
      <c r="B456">
        <v>3</v>
      </c>
      <c r="C456">
        <v>1</v>
      </c>
      <c r="D456">
        <v>2</v>
      </c>
      <c r="E456" t="s">
        <v>9</v>
      </c>
      <c r="F456" t="s">
        <v>809</v>
      </c>
      <c r="G456" t="s">
        <v>810</v>
      </c>
      <c r="H456">
        <v>1.875</v>
      </c>
      <c r="I456" t="s">
        <v>12</v>
      </c>
    </row>
    <row r="457" spans="1:9" x14ac:dyDescent="0.3">
      <c r="A457">
        <v>18</v>
      </c>
      <c r="B457">
        <v>3</v>
      </c>
      <c r="C457">
        <v>1</v>
      </c>
      <c r="D457">
        <v>2</v>
      </c>
      <c r="E457" t="s">
        <v>19</v>
      </c>
      <c r="F457" t="s">
        <v>811</v>
      </c>
      <c r="I457" t="s">
        <v>21</v>
      </c>
    </row>
    <row r="458" spans="1:9" x14ac:dyDescent="0.3">
      <c r="A458">
        <v>18</v>
      </c>
      <c r="B458">
        <v>3</v>
      </c>
      <c r="C458">
        <v>1</v>
      </c>
      <c r="D458">
        <v>2</v>
      </c>
      <c r="E458" t="s">
        <v>9</v>
      </c>
      <c r="F458" t="s">
        <v>812</v>
      </c>
      <c r="G458" t="s">
        <v>813</v>
      </c>
      <c r="H458">
        <v>1.466</v>
      </c>
      <c r="I458" t="s">
        <v>12</v>
      </c>
    </row>
    <row r="459" spans="1:9" x14ac:dyDescent="0.3">
      <c r="A459">
        <v>18</v>
      </c>
      <c r="B459">
        <v>3</v>
      </c>
      <c r="C459">
        <v>1</v>
      </c>
      <c r="D459">
        <v>2</v>
      </c>
      <c r="E459" t="s">
        <v>9</v>
      </c>
      <c r="F459" t="s">
        <v>814</v>
      </c>
      <c r="G459" t="s">
        <v>815</v>
      </c>
      <c r="H459">
        <v>1.3009999999999999</v>
      </c>
      <c r="I459" t="s">
        <v>12</v>
      </c>
    </row>
    <row r="460" spans="1:9" x14ac:dyDescent="0.3">
      <c r="A460">
        <v>18</v>
      </c>
      <c r="B460">
        <v>3</v>
      </c>
      <c r="C460">
        <v>1</v>
      </c>
      <c r="D460">
        <v>2</v>
      </c>
      <c r="E460" t="s">
        <v>22</v>
      </c>
      <c r="F460" t="s">
        <v>816</v>
      </c>
      <c r="G460" t="s">
        <v>817</v>
      </c>
      <c r="H460">
        <v>0.53800000000000003</v>
      </c>
      <c r="I460" t="s">
        <v>21</v>
      </c>
    </row>
    <row r="461" spans="1:9" x14ac:dyDescent="0.3">
      <c r="A461">
        <v>18</v>
      </c>
      <c r="B461">
        <v>3</v>
      </c>
      <c r="C461">
        <v>1</v>
      </c>
      <c r="D461">
        <v>2</v>
      </c>
      <c r="E461" t="s">
        <v>19</v>
      </c>
      <c r="F461" t="s">
        <v>818</v>
      </c>
      <c r="I461" t="s">
        <v>21</v>
      </c>
    </row>
    <row r="462" spans="1:9" x14ac:dyDescent="0.3">
      <c r="A462">
        <v>18</v>
      </c>
      <c r="B462">
        <v>3</v>
      </c>
      <c r="C462">
        <v>1</v>
      </c>
      <c r="D462">
        <v>2</v>
      </c>
      <c r="E462" t="s">
        <v>19</v>
      </c>
      <c r="F462" t="s">
        <v>819</v>
      </c>
      <c r="I462" t="s">
        <v>21</v>
      </c>
    </row>
    <row r="463" spans="1:9" x14ac:dyDescent="0.3">
      <c r="A463">
        <v>18</v>
      </c>
      <c r="B463">
        <v>3</v>
      </c>
      <c r="C463">
        <v>2</v>
      </c>
      <c r="D463">
        <v>1</v>
      </c>
      <c r="E463" t="s">
        <v>9</v>
      </c>
      <c r="F463" t="s">
        <v>820</v>
      </c>
      <c r="G463" t="s">
        <v>821</v>
      </c>
      <c r="H463">
        <v>1.9530000000000001</v>
      </c>
      <c r="I463" t="s">
        <v>12</v>
      </c>
    </row>
    <row r="464" spans="1:9" x14ac:dyDescent="0.3">
      <c r="A464">
        <v>18</v>
      </c>
      <c r="B464">
        <v>3</v>
      </c>
      <c r="C464">
        <v>2</v>
      </c>
      <c r="D464">
        <v>1</v>
      </c>
      <c r="E464" t="s">
        <v>19</v>
      </c>
      <c r="F464" t="s">
        <v>822</v>
      </c>
      <c r="I464" t="s">
        <v>21</v>
      </c>
    </row>
    <row r="465" spans="1:9" x14ac:dyDescent="0.3">
      <c r="A465">
        <v>18</v>
      </c>
      <c r="B465">
        <v>3</v>
      </c>
      <c r="C465">
        <v>2</v>
      </c>
      <c r="D465">
        <v>1</v>
      </c>
      <c r="E465" t="s">
        <v>22</v>
      </c>
      <c r="F465" t="s">
        <v>823</v>
      </c>
      <c r="H465" t="s">
        <v>81</v>
      </c>
      <c r="I465" t="s">
        <v>34</v>
      </c>
    </row>
    <row r="466" spans="1:9" x14ac:dyDescent="0.3">
      <c r="A466">
        <v>18</v>
      </c>
      <c r="B466">
        <v>3</v>
      </c>
      <c r="C466">
        <v>2</v>
      </c>
      <c r="D466">
        <v>1</v>
      </c>
      <c r="E466" t="s">
        <v>9</v>
      </c>
      <c r="F466" t="s">
        <v>824</v>
      </c>
      <c r="G466" t="s">
        <v>825</v>
      </c>
      <c r="H466">
        <v>1.135</v>
      </c>
      <c r="I466" t="s">
        <v>12</v>
      </c>
    </row>
    <row r="467" spans="1:9" x14ac:dyDescent="0.3">
      <c r="A467">
        <v>18</v>
      </c>
      <c r="B467">
        <v>3</v>
      </c>
      <c r="C467">
        <v>2</v>
      </c>
      <c r="D467">
        <v>2</v>
      </c>
      <c r="E467" t="s">
        <v>9</v>
      </c>
      <c r="F467" t="s">
        <v>826</v>
      </c>
      <c r="G467" t="s">
        <v>827</v>
      </c>
      <c r="H467">
        <v>1.2210000000000001</v>
      </c>
      <c r="I467" t="s">
        <v>12</v>
      </c>
    </row>
    <row r="468" spans="1:9" x14ac:dyDescent="0.3">
      <c r="A468">
        <v>18</v>
      </c>
      <c r="B468">
        <v>3</v>
      </c>
      <c r="C468">
        <v>2</v>
      </c>
      <c r="D468">
        <v>2</v>
      </c>
      <c r="E468" t="s">
        <v>19</v>
      </c>
      <c r="F468" t="s">
        <v>828</v>
      </c>
      <c r="I468" t="s">
        <v>21</v>
      </c>
    </row>
    <row r="469" spans="1:9" x14ac:dyDescent="0.3">
      <c r="A469">
        <v>18</v>
      </c>
      <c r="B469">
        <v>3</v>
      </c>
      <c r="C469">
        <v>2</v>
      </c>
      <c r="D469">
        <v>2</v>
      </c>
      <c r="E469" t="s">
        <v>22</v>
      </c>
      <c r="F469" t="s">
        <v>829</v>
      </c>
      <c r="G469" t="s">
        <v>830</v>
      </c>
      <c r="H469">
        <v>1.486</v>
      </c>
      <c r="I469" t="s">
        <v>21</v>
      </c>
    </row>
    <row r="470" spans="1:9" x14ac:dyDescent="0.3">
      <c r="A470">
        <v>18</v>
      </c>
      <c r="B470">
        <v>3</v>
      </c>
      <c r="C470">
        <v>2</v>
      </c>
      <c r="D470">
        <v>2</v>
      </c>
      <c r="E470" t="s">
        <v>9</v>
      </c>
      <c r="F470" t="s">
        <v>831</v>
      </c>
      <c r="G470" t="s">
        <v>832</v>
      </c>
      <c r="H470">
        <v>3.4350000000000001</v>
      </c>
      <c r="I470" t="s">
        <v>12</v>
      </c>
    </row>
    <row r="471" spans="1:9" x14ac:dyDescent="0.3">
      <c r="A471">
        <v>18</v>
      </c>
      <c r="B471">
        <v>3</v>
      </c>
      <c r="C471">
        <v>2</v>
      </c>
      <c r="D471">
        <v>2</v>
      </c>
      <c r="E471" t="s">
        <v>9</v>
      </c>
      <c r="F471" t="s">
        <v>833</v>
      </c>
      <c r="G471" t="s">
        <v>834</v>
      </c>
      <c r="H471">
        <v>1.135</v>
      </c>
      <c r="I471" t="s">
        <v>12</v>
      </c>
    </row>
    <row r="472" spans="1:9" x14ac:dyDescent="0.3">
      <c r="A472">
        <v>18</v>
      </c>
      <c r="B472">
        <v>3</v>
      </c>
      <c r="C472">
        <v>2</v>
      </c>
      <c r="D472">
        <v>2</v>
      </c>
      <c r="E472" t="s">
        <v>22</v>
      </c>
      <c r="F472" t="s">
        <v>835</v>
      </c>
      <c r="G472" t="s">
        <v>836</v>
      </c>
      <c r="H472">
        <v>1.9</v>
      </c>
      <c r="I472" t="s">
        <v>21</v>
      </c>
    </row>
    <row r="473" spans="1:9" x14ac:dyDescent="0.3">
      <c r="A473">
        <v>18</v>
      </c>
      <c r="B473">
        <v>3</v>
      </c>
      <c r="C473">
        <v>2</v>
      </c>
      <c r="D473">
        <v>2</v>
      </c>
      <c r="E473" t="s">
        <v>9</v>
      </c>
      <c r="F473" t="s">
        <v>837</v>
      </c>
      <c r="G473" t="s">
        <v>838</v>
      </c>
      <c r="H473">
        <v>1.2350000000000001</v>
      </c>
      <c r="I473" t="s">
        <v>12</v>
      </c>
    </row>
    <row r="474" spans="1:9" x14ac:dyDescent="0.3">
      <c r="A474">
        <v>18</v>
      </c>
      <c r="B474">
        <v>3</v>
      </c>
      <c r="C474">
        <v>2</v>
      </c>
      <c r="D474">
        <v>2</v>
      </c>
      <c r="E474" t="s">
        <v>19</v>
      </c>
      <c r="F474" t="s">
        <v>839</v>
      </c>
      <c r="I474" t="s">
        <v>21</v>
      </c>
    </row>
    <row r="475" spans="1:9" x14ac:dyDescent="0.3">
      <c r="A475">
        <v>18</v>
      </c>
      <c r="B475">
        <v>3</v>
      </c>
      <c r="C475">
        <v>3</v>
      </c>
      <c r="D475">
        <v>1</v>
      </c>
      <c r="E475" t="s">
        <v>22</v>
      </c>
      <c r="F475" t="s">
        <v>840</v>
      </c>
      <c r="G475" t="s">
        <v>841</v>
      </c>
      <c r="H475">
        <v>1.52</v>
      </c>
      <c r="I475" t="s">
        <v>21</v>
      </c>
    </row>
    <row r="476" spans="1:9" x14ac:dyDescent="0.3">
      <c r="A476">
        <v>18</v>
      </c>
      <c r="B476">
        <v>3</v>
      </c>
      <c r="C476">
        <v>3</v>
      </c>
      <c r="D476">
        <v>1</v>
      </c>
      <c r="E476" t="s">
        <v>9</v>
      </c>
      <c r="F476" t="s">
        <v>842</v>
      </c>
      <c r="G476" t="s">
        <v>843</v>
      </c>
      <c r="H476">
        <v>1.369</v>
      </c>
      <c r="I476" t="s">
        <v>12</v>
      </c>
    </row>
    <row r="477" spans="1:9" x14ac:dyDescent="0.3">
      <c r="A477">
        <v>18</v>
      </c>
      <c r="B477">
        <v>3</v>
      </c>
      <c r="C477">
        <v>3</v>
      </c>
      <c r="D477">
        <v>1</v>
      </c>
      <c r="E477" t="s">
        <v>9</v>
      </c>
      <c r="F477" t="s">
        <v>844</v>
      </c>
      <c r="G477" t="s">
        <v>845</v>
      </c>
      <c r="H477">
        <v>1.8680000000000001</v>
      </c>
      <c r="I477" t="s">
        <v>12</v>
      </c>
    </row>
    <row r="478" spans="1:9" x14ac:dyDescent="0.3">
      <c r="A478">
        <v>18</v>
      </c>
      <c r="B478">
        <v>3</v>
      </c>
      <c r="C478">
        <v>3</v>
      </c>
      <c r="D478">
        <v>1</v>
      </c>
      <c r="E478" t="s">
        <v>9</v>
      </c>
      <c r="F478" t="s">
        <v>846</v>
      </c>
      <c r="G478" t="s">
        <v>847</v>
      </c>
      <c r="H478">
        <v>3.101</v>
      </c>
      <c r="I478" t="s">
        <v>12</v>
      </c>
    </row>
    <row r="479" spans="1:9" x14ac:dyDescent="0.3">
      <c r="A479">
        <v>18</v>
      </c>
      <c r="B479">
        <v>3</v>
      </c>
      <c r="C479">
        <v>3</v>
      </c>
      <c r="D479">
        <v>1</v>
      </c>
      <c r="E479" t="s">
        <v>22</v>
      </c>
      <c r="F479" t="s">
        <v>848</v>
      </c>
      <c r="G479" t="s">
        <v>849</v>
      </c>
      <c r="H479">
        <v>1.9690000000000001</v>
      </c>
      <c r="I479" t="s">
        <v>21</v>
      </c>
    </row>
    <row r="480" spans="1:9" x14ac:dyDescent="0.3">
      <c r="A480">
        <v>18</v>
      </c>
      <c r="B480">
        <v>3</v>
      </c>
      <c r="C480">
        <v>3</v>
      </c>
      <c r="D480">
        <v>1</v>
      </c>
      <c r="E480" t="s">
        <v>19</v>
      </c>
      <c r="F480" t="s">
        <v>850</v>
      </c>
      <c r="I480" t="s">
        <v>34</v>
      </c>
    </row>
    <row r="481" spans="1:9" x14ac:dyDescent="0.3">
      <c r="A481">
        <v>18</v>
      </c>
      <c r="B481">
        <v>3</v>
      </c>
      <c r="C481">
        <v>3</v>
      </c>
      <c r="D481">
        <v>2</v>
      </c>
      <c r="E481" t="s">
        <v>9</v>
      </c>
      <c r="F481" t="s">
        <v>851</v>
      </c>
      <c r="G481" t="s">
        <v>852</v>
      </c>
      <c r="H481">
        <v>2.1890000000000001</v>
      </c>
      <c r="I481" t="s">
        <v>12</v>
      </c>
    </row>
    <row r="482" spans="1:9" x14ac:dyDescent="0.3">
      <c r="A482">
        <v>18</v>
      </c>
      <c r="B482">
        <v>3</v>
      </c>
      <c r="C482">
        <v>3</v>
      </c>
      <c r="D482">
        <v>2</v>
      </c>
      <c r="E482" t="s">
        <v>22</v>
      </c>
      <c r="F482" t="s">
        <v>853</v>
      </c>
      <c r="G482" t="s">
        <v>854</v>
      </c>
      <c r="H482">
        <v>1.097</v>
      </c>
      <c r="I482" t="s">
        <v>21</v>
      </c>
    </row>
    <row r="483" spans="1:9" x14ac:dyDescent="0.3">
      <c r="A483">
        <v>18</v>
      </c>
      <c r="B483">
        <v>3</v>
      </c>
      <c r="C483">
        <v>3</v>
      </c>
      <c r="D483">
        <v>2</v>
      </c>
      <c r="E483" t="s">
        <v>9</v>
      </c>
      <c r="F483" t="s">
        <v>855</v>
      </c>
      <c r="G483" t="s">
        <v>856</v>
      </c>
      <c r="H483">
        <v>1.736</v>
      </c>
      <c r="I483" t="s">
        <v>12</v>
      </c>
    </row>
    <row r="484" spans="1:9" x14ac:dyDescent="0.3">
      <c r="A484">
        <v>18</v>
      </c>
      <c r="B484">
        <v>3</v>
      </c>
      <c r="C484">
        <v>3</v>
      </c>
      <c r="D484">
        <v>2</v>
      </c>
      <c r="E484" t="s">
        <v>9</v>
      </c>
      <c r="F484" t="s">
        <v>857</v>
      </c>
      <c r="G484" t="s">
        <v>858</v>
      </c>
      <c r="H484">
        <v>0.83399999999999996</v>
      </c>
      <c r="I484" t="s">
        <v>12</v>
      </c>
    </row>
    <row r="485" spans="1:9" x14ac:dyDescent="0.3">
      <c r="A485">
        <v>18</v>
      </c>
      <c r="B485">
        <v>3</v>
      </c>
      <c r="C485">
        <v>3</v>
      </c>
      <c r="D485">
        <v>2</v>
      </c>
      <c r="E485" t="s">
        <v>19</v>
      </c>
      <c r="F485" t="s">
        <v>859</v>
      </c>
      <c r="I485" t="s">
        <v>21</v>
      </c>
    </row>
    <row r="486" spans="1:9" x14ac:dyDescent="0.3">
      <c r="A486">
        <v>18</v>
      </c>
      <c r="B486">
        <v>3</v>
      </c>
      <c r="C486">
        <v>3</v>
      </c>
      <c r="D486">
        <v>2</v>
      </c>
      <c r="E486" t="s">
        <v>22</v>
      </c>
      <c r="F486" t="s">
        <v>860</v>
      </c>
      <c r="G486" t="s">
        <v>861</v>
      </c>
      <c r="H486">
        <v>0.53500000000000003</v>
      </c>
      <c r="I486" t="s">
        <v>21</v>
      </c>
    </row>
    <row r="487" spans="1:9" x14ac:dyDescent="0.3">
      <c r="A487">
        <v>18</v>
      </c>
      <c r="B487">
        <v>3</v>
      </c>
      <c r="C487">
        <v>3</v>
      </c>
      <c r="D487">
        <v>2</v>
      </c>
      <c r="E487" t="s">
        <v>9</v>
      </c>
      <c r="F487" t="s">
        <v>862</v>
      </c>
      <c r="G487" t="s">
        <v>863</v>
      </c>
      <c r="H487">
        <v>0.97199999999999998</v>
      </c>
      <c r="I487" t="s">
        <v>12</v>
      </c>
    </row>
    <row r="488" spans="1:9" x14ac:dyDescent="0.3">
      <c r="A488">
        <v>18</v>
      </c>
      <c r="B488">
        <v>3</v>
      </c>
      <c r="C488">
        <v>3</v>
      </c>
      <c r="D488">
        <v>2</v>
      </c>
      <c r="E488" t="s">
        <v>19</v>
      </c>
      <c r="F488" t="s">
        <v>864</v>
      </c>
      <c r="I488" t="s">
        <v>21</v>
      </c>
    </row>
    <row r="489" spans="1:9" x14ac:dyDescent="0.3">
      <c r="A489">
        <v>18</v>
      </c>
      <c r="B489">
        <v>3</v>
      </c>
      <c r="C489">
        <v>3</v>
      </c>
      <c r="D489">
        <v>3</v>
      </c>
      <c r="E489" t="s">
        <v>9</v>
      </c>
      <c r="F489" t="s">
        <v>865</v>
      </c>
      <c r="G489" t="s">
        <v>866</v>
      </c>
      <c r="H489">
        <v>1.02</v>
      </c>
      <c r="I489" t="s">
        <v>12</v>
      </c>
    </row>
    <row r="490" spans="1:9" x14ac:dyDescent="0.3">
      <c r="A490">
        <v>18</v>
      </c>
      <c r="B490">
        <v>3</v>
      </c>
      <c r="C490">
        <v>3</v>
      </c>
      <c r="D490">
        <v>3</v>
      </c>
      <c r="E490" t="s">
        <v>9</v>
      </c>
      <c r="F490" t="s">
        <v>867</v>
      </c>
      <c r="G490" t="s">
        <v>868</v>
      </c>
      <c r="H490">
        <v>1.5189999999999999</v>
      </c>
      <c r="I490" t="s">
        <v>12</v>
      </c>
    </row>
    <row r="491" spans="1:9" x14ac:dyDescent="0.3">
      <c r="A491">
        <v>18</v>
      </c>
      <c r="B491">
        <v>3</v>
      </c>
      <c r="C491">
        <v>3</v>
      </c>
      <c r="D491">
        <v>3</v>
      </c>
      <c r="E491" t="s">
        <v>22</v>
      </c>
      <c r="F491" t="s">
        <v>869</v>
      </c>
      <c r="G491" t="s">
        <v>870</v>
      </c>
      <c r="H491">
        <v>1.6020000000000001</v>
      </c>
      <c r="I491" t="s">
        <v>21</v>
      </c>
    </row>
    <row r="492" spans="1:9" x14ac:dyDescent="0.3">
      <c r="A492">
        <v>18</v>
      </c>
      <c r="B492">
        <v>3</v>
      </c>
      <c r="C492">
        <v>3</v>
      </c>
      <c r="D492">
        <v>3</v>
      </c>
      <c r="E492" t="s">
        <v>22</v>
      </c>
      <c r="F492" t="s">
        <v>871</v>
      </c>
      <c r="G492" t="s">
        <v>872</v>
      </c>
      <c r="H492">
        <v>1.4359999999999999</v>
      </c>
      <c r="I492" t="s">
        <v>21</v>
      </c>
    </row>
    <row r="493" spans="1:9" x14ac:dyDescent="0.3">
      <c r="A493">
        <v>18</v>
      </c>
      <c r="B493">
        <v>3</v>
      </c>
      <c r="C493">
        <v>3</v>
      </c>
      <c r="D493">
        <v>3</v>
      </c>
      <c r="E493" t="s">
        <v>19</v>
      </c>
      <c r="F493" t="s">
        <v>873</v>
      </c>
      <c r="I493" t="s">
        <v>34</v>
      </c>
    </row>
    <row r="494" spans="1:9" x14ac:dyDescent="0.3">
      <c r="A494">
        <v>19</v>
      </c>
      <c r="B494">
        <v>1</v>
      </c>
      <c r="C494">
        <v>1</v>
      </c>
      <c r="D494">
        <v>2</v>
      </c>
      <c r="E494" t="s">
        <v>9</v>
      </c>
      <c r="F494" t="s">
        <v>874</v>
      </c>
      <c r="G494" t="s">
        <v>875</v>
      </c>
      <c r="H494">
        <v>4.0860000000000003</v>
      </c>
      <c r="I494" t="s">
        <v>12</v>
      </c>
    </row>
    <row r="495" spans="1:9" x14ac:dyDescent="0.3">
      <c r="A495">
        <v>19</v>
      </c>
      <c r="B495">
        <v>1</v>
      </c>
      <c r="C495">
        <v>1</v>
      </c>
      <c r="D495">
        <v>2</v>
      </c>
      <c r="E495" t="s">
        <v>9</v>
      </c>
      <c r="F495" t="s">
        <v>876</v>
      </c>
      <c r="G495" t="s">
        <v>877</v>
      </c>
      <c r="H495">
        <v>2.7010000000000001</v>
      </c>
      <c r="I495" t="s">
        <v>12</v>
      </c>
    </row>
    <row r="496" spans="1:9" x14ac:dyDescent="0.3">
      <c r="A496">
        <v>19</v>
      </c>
      <c r="B496">
        <v>1</v>
      </c>
      <c r="C496">
        <v>1</v>
      </c>
      <c r="D496">
        <v>2</v>
      </c>
      <c r="E496" t="s">
        <v>9</v>
      </c>
      <c r="F496" t="s">
        <v>878</v>
      </c>
      <c r="G496" t="s">
        <v>879</v>
      </c>
      <c r="H496">
        <v>3.8860000000000001</v>
      </c>
      <c r="I496" t="s">
        <v>12</v>
      </c>
    </row>
    <row r="497" spans="1:9" x14ac:dyDescent="0.3">
      <c r="A497">
        <v>19</v>
      </c>
      <c r="B497">
        <v>1</v>
      </c>
      <c r="C497">
        <v>1</v>
      </c>
      <c r="D497">
        <v>2</v>
      </c>
      <c r="E497" t="s">
        <v>9</v>
      </c>
      <c r="F497" t="s">
        <v>880</v>
      </c>
      <c r="G497" t="s">
        <v>881</v>
      </c>
      <c r="H497">
        <v>3.6669999999999998</v>
      </c>
      <c r="I497" t="s">
        <v>12</v>
      </c>
    </row>
    <row r="498" spans="1:9" x14ac:dyDescent="0.3">
      <c r="A498">
        <v>19</v>
      </c>
      <c r="B498">
        <v>1</v>
      </c>
      <c r="C498">
        <v>1</v>
      </c>
      <c r="D498">
        <v>2</v>
      </c>
      <c r="E498" t="s">
        <v>22</v>
      </c>
      <c r="F498" t="s">
        <v>882</v>
      </c>
      <c r="G498" t="s">
        <v>883</v>
      </c>
      <c r="H498">
        <v>4.5110000000000001</v>
      </c>
      <c r="I498" t="s">
        <v>21</v>
      </c>
    </row>
    <row r="499" spans="1:9" x14ac:dyDescent="0.3">
      <c r="A499">
        <v>19</v>
      </c>
      <c r="B499">
        <v>1</v>
      </c>
      <c r="C499">
        <v>1</v>
      </c>
      <c r="D499">
        <v>2</v>
      </c>
      <c r="E499" t="s">
        <v>19</v>
      </c>
      <c r="F499" t="s">
        <v>884</v>
      </c>
      <c r="I499" t="s">
        <v>34</v>
      </c>
    </row>
    <row r="500" spans="1:9" x14ac:dyDescent="0.3">
      <c r="A500">
        <v>19</v>
      </c>
      <c r="B500">
        <v>1</v>
      </c>
      <c r="C500">
        <v>1</v>
      </c>
      <c r="D500">
        <v>2</v>
      </c>
      <c r="E500" t="s">
        <v>19</v>
      </c>
      <c r="F500" t="s">
        <v>885</v>
      </c>
      <c r="I500" t="s">
        <v>21</v>
      </c>
    </row>
    <row r="501" spans="1:9" x14ac:dyDescent="0.3">
      <c r="A501">
        <v>19</v>
      </c>
      <c r="B501">
        <v>1</v>
      </c>
      <c r="C501">
        <v>1</v>
      </c>
      <c r="D501">
        <v>2</v>
      </c>
      <c r="E501" t="s">
        <v>22</v>
      </c>
      <c r="F501" t="s">
        <v>886</v>
      </c>
      <c r="G501" t="s">
        <v>887</v>
      </c>
      <c r="H501">
        <v>4.1340000000000003</v>
      </c>
      <c r="I501" t="s">
        <v>34</v>
      </c>
    </row>
    <row r="502" spans="1:9" x14ac:dyDescent="0.3">
      <c r="A502">
        <v>19</v>
      </c>
      <c r="B502">
        <v>1</v>
      </c>
      <c r="C502">
        <v>1</v>
      </c>
      <c r="D502">
        <v>2</v>
      </c>
      <c r="E502" t="s">
        <v>19</v>
      </c>
      <c r="F502" t="s">
        <v>888</v>
      </c>
      <c r="I502" t="s">
        <v>21</v>
      </c>
    </row>
    <row r="503" spans="1:9" x14ac:dyDescent="0.3">
      <c r="A503">
        <v>19</v>
      </c>
      <c r="B503">
        <v>1</v>
      </c>
      <c r="C503">
        <v>1</v>
      </c>
      <c r="D503">
        <v>2</v>
      </c>
      <c r="E503" t="s">
        <v>22</v>
      </c>
      <c r="F503" t="s">
        <v>889</v>
      </c>
      <c r="G503" t="s">
        <v>890</v>
      </c>
      <c r="H503">
        <v>3.7679999999999998</v>
      </c>
      <c r="I503" t="s">
        <v>21</v>
      </c>
    </row>
    <row r="504" spans="1:9" x14ac:dyDescent="0.3">
      <c r="A504">
        <v>19</v>
      </c>
      <c r="B504">
        <v>1</v>
      </c>
      <c r="C504">
        <v>1</v>
      </c>
      <c r="D504">
        <v>2</v>
      </c>
      <c r="E504" t="s">
        <v>19</v>
      </c>
      <c r="F504" t="s">
        <v>891</v>
      </c>
      <c r="I504" t="s">
        <v>34</v>
      </c>
    </row>
    <row r="505" spans="1:9" x14ac:dyDescent="0.3">
      <c r="A505">
        <v>19</v>
      </c>
      <c r="B505">
        <v>1</v>
      </c>
      <c r="C505">
        <v>1</v>
      </c>
      <c r="D505">
        <v>2</v>
      </c>
      <c r="E505" t="s">
        <v>19</v>
      </c>
      <c r="F505" t="s">
        <v>892</v>
      </c>
      <c r="I505" t="s">
        <v>34</v>
      </c>
    </row>
    <row r="506" spans="1:9" x14ac:dyDescent="0.3">
      <c r="A506">
        <v>19</v>
      </c>
      <c r="B506">
        <v>1</v>
      </c>
      <c r="C506">
        <v>1</v>
      </c>
      <c r="D506">
        <v>2</v>
      </c>
      <c r="E506" t="s">
        <v>19</v>
      </c>
      <c r="F506" t="s">
        <v>893</v>
      </c>
      <c r="I506" t="s">
        <v>21</v>
      </c>
    </row>
    <row r="507" spans="1:9" x14ac:dyDescent="0.3">
      <c r="A507">
        <v>19</v>
      </c>
      <c r="B507">
        <v>1</v>
      </c>
      <c r="C507">
        <v>1</v>
      </c>
      <c r="D507">
        <v>2</v>
      </c>
      <c r="E507" t="s">
        <v>22</v>
      </c>
      <c r="F507" t="s">
        <v>894</v>
      </c>
      <c r="G507" t="s">
        <v>895</v>
      </c>
      <c r="H507">
        <v>1.734</v>
      </c>
      <c r="I507" t="s">
        <v>34</v>
      </c>
    </row>
    <row r="508" spans="1:9" x14ac:dyDescent="0.3">
      <c r="A508">
        <v>19</v>
      </c>
      <c r="B508">
        <v>1</v>
      </c>
      <c r="C508">
        <v>1</v>
      </c>
      <c r="D508">
        <v>2</v>
      </c>
      <c r="E508" t="s">
        <v>19</v>
      </c>
      <c r="F508" t="s">
        <v>896</v>
      </c>
      <c r="I508" t="s">
        <v>21</v>
      </c>
    </row>
    <row r="509" spans="1:9" x14ac:dyDescent="0.3">
      <c r="A509">
        <v>19</v>
      </c>
      <c r="B509">
        <v>1</v>
      </c>
      <c r="C509">
        <v>1</v>
      </c>
      <c r="D509">
        <v>2</v>
      </c>
      <c r="E509" t="s">
        <v>22</v>
      </c>
      <c r="F509" t="s">
        <v>897</v>
      </c>
      <c r="G509" t="s">
        <v>898</v>
      </c>
      <c r="H509">
        <v>1.2</v>
      </c>
      <c r="I509" t="s">
        <v>21</v>
      </c>
    </row>
    <row r="510" spans="1:9" x14ac:dyDescent="0.3">
      <c r="A510">
        <v>19</v>
      </c>
      <c r="B510">
        <v>1</v>
      </c>
      <c r="C510">
        <v>1</v>
      </c>
      <c r="D510">
        <v>2</v>
      </c>
      <c r="E510" t="s">
        <v>19</v>
      </c>
      <c r="F510" t="s">
        <v>899</v>
      </c>
      <c r="I510" t="s">
        <v>34</v>
      </c>
    </row>
    <row r="511" spans="1:9" x14ac:dyDescent="0.3">
      <c r="A511">
        <v>19</v>
      </c>
      <c r="B511">
        <v>1</v>
      </c>
      <c r="C511">
        <v>1</v>
      </c>
      <c r="D511">
        <v>2</v>
      </c>
      <c r="E511" t="s">
        <v>19</v>
      </c>
      <c r="F511" t="s">
        <v>899</v>
      </c>
      <c r="I511" t="s">
        <v>34</v>
      </c>
    </row>
    <row r="512" spans="1:9" x14ac:dyDescent="0.3">
      <c r="A512">
        <v>19</v>
      </c>
      <c r="B512">
        <v>1</v>
      </c>
      <c r="C512">
        <v>1</v>
      </c>
      <c r="D512">
        <v>2</v>
      </c>
      <c r="E512" t="s">
        <v>19</v>
      </c>
      <c r="F512" t="s">
        <v>900</v>
      </c>
      <c r="I512" t="s">
        <v>21</v>
      </c>
    </row>
    <row r="513" spans="1:9" x14ac:dyDescent="0.3">
      <c r="A513">
        <v>19</v>
      </c>
      <c r="B513">
        <v>1</v>
      </c>
      <c r="C513">
        <v>1</v>
      </c>
      <c r="D513">
        <v>2</v>
      </c>
      <c r="E513" t="s">
        <v>19</v>
      </c>
      <c r="F513" t="s">
        <v>901</v>
      </c>
      <c r="I513" t="s">
        <v>21</v>
      </c>
    </row>
    <row r="514" spans="1:9" x14ac:dyDescent="0.3">
      <c r="A514">
        <v>19</v>
      </c>
      <c r="B514">
        <v>1</v>
      </c>
      <c r="C514">
        <v>1</v>
      </c>
      <c r="D514">
        <v>3</v>
      </c>
      <c r="E514" t="s">
        <v>22</v>
      </c>
      <c r="F514" t="s">
        <v>902</v>
      </c>
      <c r="G514" t="s">
        <v>903</v>
      </c>
      <c r="H514">
        <v>1.1859999999999999</v>
      </c>
      <c r="I514" t="s">
        <v>21</v>
      </c>
    </row>
    <row r="515" spans="1:9" x14ac:dyDescent="0.3">
      <c r="A515">
        <v>19</v>
      </c>
      <c r="B515">
        <v>1</v>
      </c>
      <c r="C515">
        <v>1</v>
      </c>
      <c r="D515">
        <v>3</v>
      </c>
      <c r="E515" t="s">
        <v>9</v>
      </c>
      <c r="F515" t="s">
        <v>904</v>
      </c>
      <c r="G515" t="s">
        <v>905</v>
      </c>
      <c r="H515">
        <v>1.5449999999999999</v>
      </c>
      <c r="I515" t="s">
        <v>12</v>
      </c>
    </row>
    <row r="516" spans="1:9" x14ac:dyDescent="0.3">
      <c r="A516">
        <v>19</v>
      </c>
      <c r="B516">
        <v>1</v>
      </c>
      <c r="C516">
        <v>1</v>
      </c>
      <c r="D516">
        <v>3</v>
      </c>
      <c r="E516" t="s">
        <v>19</v>
      </c>
      <c r="F516" t="s">
        <v>906</v>
      </c>
      <c r="I516" t="s">
        <v>21</v>
      </c>
    </row>
    <row r="517" spans="1:9" x14ac:dyDescent="0.3">
      <c r="A517">
        <v>19</v>
      </c>
      <c r="B517">
        <v>1</v>
      </c>
      <c r="C517">
        <v>1</v>
      </c>
      <c r="D517">
        <v>3</v>
      </c>
      <c r="E517" t="s">
        <v>9</v>
      </c>
      <c r="F517" t="s">
        <v>907</v>
      </c>
      <c r="G517" t="s">
        <v>908</v>
      </c>
      <c r="H517">
        <v>1.9690000000000001</v>
      </c>
      <c r="I517" t="s">
        <v>12</v>
      </c>
    </row>
    <row r="518" spans="1:9" x14ac:dyDescent="0.3">
      <c r="A518">
        <v>19</v>
      </c>
      <c r="B518">
        <v>1</v>
      </c>
      <c r="C518">
        <v>1</v>
      </c>
      <c r="D518">
        <v>3</v>
      </c>
      <c r="E518" t="s">
        <v>19</v>
      </c>
      <c r="F518" t="s">
        <v>909</v>
      </c>
      <c r="I518" t="s">
        <v>21</v>
      </c>
    </row>
    <row r="519" spans="1:9" x14ac:dyDescent="0.3">
      <c r="A519">
        <v>19</v>
      </c>
      <c r="B519">
        <v>1</v>
      </c>
      <c r="C519">
        <v>1</v>
      </c>
      <c r="D519">
        <v>3</v>
      </c>
      <c r="E519" t="s">
        <v>9</v>
      </c>
      <c r="F519" t="s">
        <v>910</v>
      </c>
      <c r="G519" t="s">
        <v>911</v>
      </c>
      <c r="H519">
        <v>2.3010000000000002</v>
      </c>
      <c r="I519" t="s">
        <v>12</v>
      </c>
    </row>
    <row r="520" spans="1:9" x14ac:dyDescent="0.3">
      <c r="A520">
        <v>19</v>
      </c>
      <c r="B520">
        <v>1</v>
      </c>
      <c r="C520">
        <v>1</v>
      </c>
      <c r="D520">
        <v>3</v>
      </c>
      <c r="E520" t="s">
        <v>19</v>
      </c>
      <c r="F520" t="s">
        <v>912</v>
      </c>
      <c r="I520" t="s">
        <v>21</v>
      </c>
    </row>
    <row r="521" spans="1:9" x14ac:dyDescent="0.3">
      <c r="A521">
        <v>19</v>
      </c>
      <c r="B521">
        <v>1</v>
      </c>
      <c r="C521">
        <v>1</v>
      </c>
      <c r="D521">
        <v>3</v>
      </c>
      <c r="E521" t="s">
        <v>19</v>
      </c>
      <c r="F521" t="s">
        <v>913</v>
      </c>
      <c r="I521" t="s">
        <v>21</v>
      </c>
    </row>
    <row r="522" spans="1:9" x14ac:dyDescent="0.3">
      <c r="A522">
        <v>19</v>
      </c>
      <c r="B522">
        <v>1</v>
      </c>
      <c r="C522">
        <v>1</v>
      </c>
      <c r="D522">
        <v>3</v>
      </c>
      <c r="E522" t="s">
        <v>9</v>
      </c>
      <c r="F522" t="s">
        <v>914</v>
      </c>
      <c r="G522" t="s">
        <v>915</v>
      </c>
      <c r="H522">
        <v>1.167</v>
      </c>
      <c r="I522" t="s">
        <v>12</v>
      </c>
    </row>
    <row r="523" spans="1:9" x14ac:dyDescent="0.3">
      <c r="A523">
        <v>19</v>
      </c>
      <c r="B523">
        <v>1</v>
      </c>
      <c r="C523">
        <v>1</v>
      </c>
      <c r="D523">
        <v>3</v>
      </c>
      <c r="E523" t="s">
        <v>19</v>
      </c>
      <c r="F523" t="s">
        <v>916</v>
      </c>
      <c r="I523" t="s">
        <v>21</v>
      </c>
    </row>
    <row r="524" spans="1:9" x14ac:dyDescent="0.3">
      <c r="A524">
        <v>19</v>
      </c>
      <c r="B524">
        <v>1</v>
      </c>
      <c r="C524">
        <v>1</v>
      </c>
      <c r="D524">
        <v>4</v>
      </c>
      <c r="E524" t="s">
        <v>9</v>
      </c>
      <c r="F524" t="s">
        <v>917</v>
      </c>
      <c r="G524" t="s">
        <v>918</v>
      </c>
      <c r="H524">
        <v>1.2809999999999999</v>
      </c>
      <c r="I524" t="s">
        <v>12</v>
      </c>
    </row>
    <row r="525" spans="1:9" x14ac:dyDescent="0.3">
      <c r="A525">
        <v>19</v>
      </c>
      <c r="B525">
        <v>1</v>
      </c>
      <c r="C525">
        <v>1</v>
      </c>
      <c r="D525">
        <v>4</v>
      </c>
      <c r="E525" t="s">
        <v>9</v>
      </c>
      <c r="F525" t="s">
        <v>919</v>
      </c>
      <c r="G525" t="s">
        <v>920</v>
      </c>
      <c r="H525">
        <v>1.0189999999999999</v>
      </c>
      <c r="I525" t="s">
        <v>12</v>
      </c>
    </row>
    <row r="526" spans="1:9" x14ac:dyDescent="0.3">
      <c r="A526">
        <v>19</v>
      </c>
      <c r="B526">
        <v>1</v>
      </c>
      <c r="C526">
        <v>1</v>
      </c>
      <c r="D526">
        <v>4</v>
      </c>
      <c r="E526" t="s">
        <v>9</v>
      </c>
      <c r="F526" t="s">
        <v>921</v>
      </c>
      <c r="G526" t="s">
        <v>922</v>
      </c>
      <c r="H526">
        <v>1.0009999999999999</v>
      </c>
      <c r="I526" t="s">
        <v>12</v>
      </c>
    </row>
    <row r="527" spans="1:9" x14ac:dyDescent="0.3">
      <c r="A527">
        <v>19</v>
      </c>
      <c r="B527">
        <v>1</v>
      </c>
      <c r="C527">
        <v>1</v>
      </c>
      <c r="D527">
        <v>4</v>
      </c>
      <c r="E527" t="s">
        <v>22</v>
      </c>
      <c r="F527" t="s">
        <v>923</v>
      </c>
      <c r="G527" t="s">
        <v>924</v>
      </c>
      <c r="H527">
        <v>0.66800000000000004</v>
      </c>
      <c r="I527" t="s">
        <v>21</v>
      </c>
    </row>
    <row r="528" spans="1:9" x14ac:dyDescent="0.3">
      <c r="A528">
        <v>19</v>
      </c>
      <c r="B528">
        <v>1</v>
      </c>
      <c r="C528">
        <v>1</v>
      </c>
      <c r="D528">
        <v>4</v>
      </c>
      <c r="E528" t="s">
        <v>22</v>
      </c>
      <c r="F528" t="s">
        <v>925</v>
      </c>
      <c r="G528" t="s">
        <v>926</v>
      </c>
      <c r="H528">
        <v>1.5669999999999999</v>
      </c>
      <c r="I528" t="s">
        <v>21</v>
      </c>
    </row>
    <row r="529" spans="1:9" x14ac:dyDescent="0.3">
      <c r="A529">
        <v>19</v>
      </c>
      <c r="B529">
        <v>1</v>
      </c>
      <c r="C529">
        <v>1</v>
      </c>
      <c r="D529">
        <v>4</v>
      </c>
      <c r="E529" t="s">
        <v>19</v>
      </c>
      <c r="F529" t="s">
        <v>927</v>
      </c>
      <c r="I529" t="s">
        <v>34</v>
      </c>
    </row>
    <row r="530" spans="1:9" x14ac:dyDescent="0.3">
      <c r="A530">
        <v>19</v>
      </c>
      <c r="B530">
        <v>1</v>
      </c>
      <c r="C530">
        <v>1</v>
      </c>
      <c r="D530">
        <v>4</v>
      </c>
      <c r="E530" t="s">
        <v>19</v>
      </c>
      <c r="F530" t="s">
        <v>928</v>
      </c>
      <c r="I530" t="s">
        <v>21</v>
      </c>
    </row>
    <row r="531" spans="1:9" x14ac:dyDescent="0.3">
      <c r="A531">
        <v>19</v>
      </c>
      <c r="B531">
        <v>1</v>
      </c>
      <c r="C531">
        <v>1</v>
      </c>
      <c r="D531">
        <v>4</v>
      </c>
      <c r="E531" t="s">
        <v>9</v>
      </c>
      <c r="F531" t="s">
        <v>929</v>
      </c>
      <c r="G531" t="s">
        <v>930</v>
      </c>
      <c r="H531">
        <v>2.9340000000000002</v>
      </c>
      <c r="I531" t="s">
        <v>12</v>
      </c>
    </row>
    <row r="532" spans="1:9" x14ac:dyDescent="0.3">
      <c r="A532">
        <v>19</v>
      </c>
      <c r="B532">
        <v>1</v>
      </c>
      <c r="C532">
        <v>1</v>
      </c>
      <c r="D532">
        <v>4</v>
      </c>
      <c r="E532" t="s">
        <v>19</v>
      </c>
      <c r="F532" t="s">
        <v>931</v>
      </c>
      <c r="I532" t="s">
        <v>21</v>
      </c>
    </row>
    <row r="533" spans="1:9" x14ac:dyDescent="0.3">
      <c r="A533">
        <v>19</v>
      </c>
      <c r="B533">
        <v>1</v>
      </c>
      <c r="C533">
        <v>1</v>
      </c>
      <c r="D533">
        <v>4</v>
      </c>
      <c r="E533" t="s">
        <v>19</v>
      </c>
      <c r="F533" t="s">
        <v>932</v>
      </c>
      <c r="I533" t="s">
        <v>21</v>
      </c>
    </row>
    <row r="534" spans="1:9" x14ac:dyDescent="0.3">
      <c r="A534">
        <v>19</v>
      </c>
      <c r="B534">
        <v>1</v>
      </c>
      <c r="C534">
        <v>1</v>
      </c>
      <c r="D534">
        <v>4</v>
      </c>
      <c r="E534" t="s">
        <v>19</v>
      </c>
      <c r="F534" t="s">
        <v>933</v>
      </c>
      <c r="I534" t="s">
        <v>21</v>
      </c>
    </row>
    <row r="535" spans="1:9" x14ac:dyDescent="0.3">
      <c r="A535">
        <v>19</v>
      </c>
      <c r="B535">
        <v>1</v>
      </c>
      <c r="C535">
        <v>1</v>
      </c>
      <c r="D535">
        <v>5</v>
      </c>
      <c r="E535" t="s">
        <v>22</v>
      </c>
      <c r="F535" t="s">
        <v>934</v>
      </c>
      <c r="G535" t="s">
        <v>935</v>
      </c>
      <c r="H535">
        <v>0.81799999999999995</v>
      </c>
      <c r="I535" t="s">
        <v>21</v>
      </c>
    </row>
    <row r="536" spans="1:9" x14ac:dyDescent="0.3">
      <c r="A536">
        <v>19</v>
      </c>
      <c r="B536">
        <v>1</v>
      </c>
      <c r="C536">
        <v>1</v>
      </c>
      <c r="D536">
        <v>5</v>
      </c>
      <c r="E536" t="s">
        <v>9</v>
      </c>
      <c r="F536" t="s">
        <v>936</v>
      </c>
      <c r="G536" t="s">
        <v>937</v>
      </c>
      <c r="H536">
        <v>1.385</v>
      </c>
      <c r="I536" t="s">
        <v>12</v>
      </c>
    </row>
    <row r="537" spans="1:9" x14ac:dyDescent="0.3">
      <c r="A537">
        <v>19</v>
      </c>
      <c r="B537">
        <v>1</v>
      </c>
      <c r="C537">
        <v>1</v>
      </c>
      <c r="D537">
        <v>5</v>
      </c>
      <c r="E537" t="s">
        <v>22</v>
      </c>
      <c r="F537" t="s">
        <v>938</v>
      </c>
      <c r="G537" t="s">
        <v>939</v>
      </c>
      <c r="H537">
        <v>0.501</v>
      </c>
      <c r="I537" t="s">
        <v>21</v>
      </c>
    </row>
    <row r="538" spans="1:9" x14ac:dyDescent="0.3">
      <c r="A538">
        <v>19</v>
      </c>
      <c r="B538">
        <v>1</v>
      </c>
      <c r="C538">
        <v>1</v>
      </c>
      <c r="D538">
        <v>5</v>
      </c>
      <c r="E538" t="s">
        <v>19</v>
      </c>
      <c r="F538" t="s">
        <v>940</v>
      </c>
      <c r="I538" t="s">
        <v>34</v>
      </c>
    </row>
    <row r="539" spans="1:9" x14ac:dyDescent="0.3">
      <c r="A539">
        <v>19</v>
      </c>
      <c r="B539">
        <v>1</v>
      </c>
      <c r="C539">
        <v>1</v>
      </c>
      <c r="D539">
        <v>6</v>
      </c>
      <c r="E539" t="s">
        <v>22</v>
      </c>
      <c r="F539" t="s">
        <v>941</v>
      </c>
      <c r="G539" t="s">
        <v>942</v>
      </c>
      <c r="H539">
        <v>1.0189999999999999</v>
      </c>
      <c r="I539" t="s">
        <v>21</v>
      </c>
    </row>
    <row r="540" spans="1:9" x14ac:dyDescent="0.3">
      <c r="A540">
        <v>19</v>
      </c>
      <c r="B540">
        <v>1</v>
      </c>
      <c r="C540">
        <v>1</v>
      </c>
      <c r="D540">
        <v>6</v>
      </c>
      <c r="E540" t="s">
        <v>22</v>
      </c>
      <c r="F540" t="s">
        <v>943</v>
      </c>
      <c r="G540" t="s">
        <v>944</v>
      </c>
      <c r="H540">
        <v>0.73299999999999998</v>
      </c>
      <c r="I540" t="s">
        <v>21</v>
      </c>
    </row>
    <row r="541" spans="1:9" x14ac:dyDescent="0.3">
      <c r="A541">
        <v>19</v>
      </c>
      <c r="B541">
        <v>1</v>
      </c>
      <c r="C541">
        <v>1</v>
      </c>
      <c r="D541">
        <v>6</v>
      </c>
      <c r="E541" t="s">
        <v>19</v>
      </c>
      <c r="F541" t="s">
        <v>945</v>
      </c>
      <c r="I541" t="s">
        <v>21</v>
      </c>
    </row>
    <row r="542" spans="1:9" x14ac:dyDescent="0.3">
      <c r="A542">
        <v>19</v>
      </c>
      <c r="B542">
        <v>1</v>
      </c>
      <c r="C542">
        <v>1</v>
      </c>
      <c r="D542">
        <v>6</v>
      </c>
      <c r="E542" t="s">
        <v>9</v>
      </c>
      <c r="F542" t="s">
        <v>946</v>
      </c>
      <c r="G542" t="s">
        <v>947</v>
      </c>
      <c r="H542">
        <v>1.3340000000000001</v>
      </c>
      <c r="I542" t="s">
        <v>12</v>
      </c>
    </row>
    <row r="543" spans="1:9" x14ac:dyDescent="0.3">
      <c r="A543">
        <v>19</v>
      </c>
      <c r="B543">
        <v>1</v>
      </c>
      <c r="C543">
        <v>1</v>
      </c>
      <c r="D543">
        <v>6</v>
      </c>
      <c r="E543" t="s">
        <v>9</v>
      </c>
      <c r="F543" t="s">
        <v>948</v>
      </c>
      <c r="G543" t="s">
        <v>949</v>
      </c>
      <c r="H543">
        <v>1.3009999999999999</v>
      </c>
      <c r="I543" t="s">
        <v>12</v>
      </c>
    </row>
    <row r="544" spans="1:9" x14ac:dyDescent="0.3">
      <c r="A544">
        <v>19</v>
      </c>
      <c r="B544">
        <v>1</v>
      </c>
      <c r="C544">
        <v>1</v>
      </c>
      <c r="D544">
        <v>6</v>
      </c>
      <c r="E544" t="s">
        <v>9</v>
      </c>
      <c r="F544" t="s">
        <v>950</v>
      </c>
      <c r="G544" t="s">
        <v>951</v>
      </c>
      <c r="H544">
        <v>0.96799999999999997</v>
      </c>
      <c r="I544" t="s">
        <v>12</v>
      </c>
    </row>
    <row r="545" spans="1:9" x14ac:dyDescent="0.3">
      <c r="A545">
        <v>19</v>
      </c>
      <c r="B545">
        <v>1</v>
      </c>
      <c r="C545">
        <v>1</v>
      </c>
      <c r="D545">
        <v>6</v>
      </c>
      <c r="E545" t="s">
        <v>19</v>
      </c>
      <c r="F545" t="s">
        <v>952</v>
      </c>
      <c r="I545" t="s">
        <v>21</v>
      </c>
    </row>
    <row r="546" spans="1:9" x14ac:dyDescent="0.3">
      <c r="A546">
        <v>19</v>
      </c>
      <c r="B546">
        <v>1</v>
      </c>
      <c r="C546">
        <v>1</v>
      </c>
      <c r="D546">
        <v>6</v>
      </c>
      <c r="E546" t="s">
        <v>9</v>
      </c>
      <c r="F546" t="s">
        <v>953</v>
      </c>
      <c r="G546" t="s">
        <v>954</v>
      </c>
      <c r="H546">
        <v>1.653</v>
      </c>
      <c r="I546" t="s">
        <v>12</v>
      </c>
    </row>
    <row r="547" spans="1:9" x14ac:dyDescent="0.3">
      <c r="A547">
        <v>19</v>
      </c>
      <c r="B547">
        <v>1</v>
      </c>
      <c r="C547">
        <v>1</v>
      </c>
      <c r="D547">
        <v>6</v>
      </c>
      <c r="E547" t="s">
        <v>19</v>
      </c>
      <c r="F547" t="s">
        <v>955</v>
      </c>
      <c r="I547" t="s">
        <v>21</v>
      </c>
    </row>
    <row r="548" spans="1:9" x14ac:dyDescent="0.3">
      <c r="A548">
        <v>19</v>
      </c>
      <c r="B548">
        <v>1</v>
      </c>
      <c r="C548">
        <v>1</v>
      </c>
      <c r="D548">
        <v>6</v>
      </c>
      <c r="E548" t="s">
        <v>19</v>
      </c>
      <c r="F548" t="s">
        <v>956</v>
      </c>
      <c r="I548" t="s">
        <v>21</v>
      </c>
    </row>
    <row r="549" spans="1:9" x14ac:dyDescent="0.3">
      <c r="A549">
        <v>19</v>
      </c>
      <c r="B549">
        <v>1</v>
      </c>
      <c r="C549">
        <v>1</v>
      </c>
      <c r="D549">
        <v>6</v>
      </c>
      <c r="E549" t="s">
        <v>19</v>
      </c>
      <c r="F549" t="s">
        <v>957</v>
      </c>
      <c r="I549" t="s">
        <v>21</v>
      </c>
    </row>
    <row r="550" spans="1:9" x14ac:dyDescent="0.3">
      <c r="A550">
        <v>19</v>
      </c>
      <c r="B550">
        <v>1</v>
      </c>
      <c r="C550">
        <v>2</v>
      </c>
      <c r="D550">
        <v>1</v>
      </c>
      <c r="E550" t="s">
        <v>9</v>
      </c>
      <c r="F550" t="s">
        <v>958</v>
      </c>
      <c r="G550" t="s">
        <v>959</v>
      </c>
      <c r="H550">
        <v>1.016</v>
      </c>
      <c r="I550" t="s">
        <v>12</v>
      </c>
    </row>
    <row r="551" spans="1:9" x14ac:dyDescent="0.3">
      <c r="A551">
        <v>19</v>
      </c>
      <c r="B551">
        <v>1</v>
      </c>
      <c r="C551">
        <v>2</v>
      </c>
      <c r="D551">
        <v>1</v>
      </c>
      <c r="E551" t="s">
        <v>19</v>
      </c>
      <c r="F551" t="s">
        <v>960</v>
      </c>
      <c r="I551" t="s">
        <v>21</v>
      </c>
    </row>
    <row r="552" spans="1:9" x14ac:dyDescent="0.3">
      <c r="A552">
        <v>19</v>
      </c>
      <c r="B552">
        <v>1</v>
      </c>
      <c r="C552">
        <v>2</v>
      </c>
      <c r="D552">
        <v>1</v>
      </c>
      <c r="E552" t="s">
        <v>9</v>
      </c>
      <c r="F552" t="s">
        <v>961</v>
      </c>
      <c r="G552" t="s">
        <v>962</v>
      </c>
      <c r="H552">
        <v>1.052</v>
      </c>
      <c r="I552" t="s">
        <v>12</v>
      </c>
    </row>
    <row r="553" spans="1:9" x14ac:dyDescent="0.3">
      <c r="A553">
        <v>19</v>
      </c>
      <c r="B553">
        <v>1</v>
      </c>
      <c r="C553">
        <v>2</v>
      </c>
      <c r="D553">
        <v>1</v>
      </c>
      <c r="E553" t="s">
        <v>9</v>
      </c>
      <c r="F553" t="s">
        <v>963</v>
      </c>
      <c r="G553" t="s">
        <v>964</v>
      </c>
      <c r="H553">
        <v>1.734</v>
      </c>
      <c r="I553" t="s">
        <v>12</v>
      </c>
    </row>
    <row r="554" spans="1:9" x14ac:dyDescent="0.3">
      <c r="A554">
        <v>19</v>
      </c>
      <c r="B554">
        <v>1</v>
      </c>
      <c r="C554">
        <v>2</v>
      </c>
      <c r="D554">
        <v>1</v>
      </c>
      <c r="E554" t="s">
        <v>19</v>
      </c>
      <c r="F554" t="s">
        <v>965</v>
      </c>
      <c r="I554" t="s">
        <v>21</v>
      </c>
    </row>
    <row r="555" spans="1:9" x14ac:dyDescent="0.3">
      <c r="A555">
        <v>19</v>
      </c>
      <c r="B555">
        <v>1</v>
      </c>
      <c r="C555">
        <v>2</v>
      </c>
      <c r="D555">
        <v>1</v>
      </c>
      <c r="E555" t="s">
        <v>9</v>
      </c>
      <c r="F555" t="s">
        <v>966</v>
      </c>
      <c r="G555" t="s">
        <v>967</v>
      </c>
      <c r="H555">
        <v>0.93400000000000005</v>
      </c>
      <c r="I555" t="s">
        <v>12</v>
      </c>
    </row>
    <row r="556" spans="1:9" x14ac:dyDescent="0.3">
      <c r="A556">
        <v>19</v>
      </c>
      <c r="B556">
        <v>1</v>
      </c>
      <c r="C556">
        <v>2</v>
      </c>
      <c r="D556">
        <v>1</v>
      </c>
      <c r="E556" t="s">
        <v>22</v>
      </c>
      <c r="F556" t="s">
        <v>968</v>
      </c>
      <c r="G556" t="s">
        <v>969</v>
      </c>
      <c r="H556">
        <v>1.5009999999999999</v>
      </c>
      <c r="I556" t="s">
        <v>21</v>
      </c>
    </row>
    <row r="557" spans="1:9" x14ac:dyDescent="0.3">
      <c r="A557">
        <v>19</v>
      </c>
      <c r="B557">
        <v>1</v>
      </c>
      <c r="C557">
        <v>2</v>
      </c>
      <c r="D557">
        <v>1</v>
      </c>
      <c r="E557" t="s">
        <v>22</v>
      </c>
      <c r="F557" t="s">
        <v>970</v>
      </c>
      <c r="G557" t="s">
        <v>971</v>
      </c>
      <c r="H557">
        <v>0.66700000000000004</v>
      </c>
      <c r="I557" t="s">
        <v>21</v>
      </c>
    </row>
    <row r="558" spans="1:9" x14ac:dyDescent="0.3">
      <c r="A558">
        <v>19</v>
      </c>
      <c r="B558">
        <v>1</v>
      </c>
      <c r="C558">
        <v>2</v>
      </c>
      <c r="D558">
        <v>1</v>
      </c>
      <c r="E558" t="s">
        <v>19</v>
      </c>
      <c r="F558" t="s">
        <v>972</v>
      </c>
      <c r="I558" t="s">
        <v>21</v>
      </c>
    </row>
    <row r="559" spans="1:9" x14ac:dyDescent="0.3">
      <c r="A559">
        <v>19</v>
      </c>
      <c r="B559">
        <v>1</v>
      </c>
      <c r="C559">
        <v>3</v>
      </c>
      <c r="D559">
        <v>1</v>
      </c>
      <c r="E559" t="s">
        <v>9</v>
      </c>
      <c r="F559" t="s">
        <v>973</v>
      </c>
      <c r="G559" t="s">
        <v>974</v>
      </c>
      <c r="H559">
        <v>1.0860000000000001</v>
      </c>
      <c r="I559" t="s">
        <v>12</v>
      </c>
    </row>
    <row r="560" spans="1:9" x14ac:dyDescent="0.3">
      <c r="A560">
        <v>19</v>
      </c>
      <c r="B560">
        <v>1</v>
      </c>
      <c r="C560">
        <v>3</v>
      </c>
      <c r="D560">
        <v>1</v>
      </c>
      <c r="E560" t="s">
        <v>9</v>
      </c>
      <c r="F560" t="s">
        <v>975</v>
      </c>
      <c r="G560" t="s">
        <v>976</v>
      </c>
      <c r="H560">
        <v>0.98499999999999999</v>
      </c>
      <c r="I560" t="s">
        <v>12</v>
      </c>
    </row>
    <row r="561" spans="1:9" x14ac:dyDescent="0.3">
      <c r="A561">
        <v>19</v>
      </c>
      <c r="B561">
        <v>1</v>
      </c>
      <c r="C561">
        <v>3</v>
      </c>
      <c r="D561">
        <v>1</v>
      </c>
      <c r="E561" t="s">
        <v>9</v>
      </c>
      <c r="F561" t="s">
        <v>977</v>
      </c>
      <c r="G561" t="s">
        <v>978</v>
      </c>
      <c r="H561">
        <v>0.86799999999999999</v>
      </c>
      <c r="I561" t="s">
        <v>12</v>
      </c>
    </row>
    <row r="562" spans="1:9" x14ac:dyDescent="0.3">
      <c r="A562">
        <v>19</v>
      </c>
      <c r="B562">
        <v>1</v>
      </c>
      <c r="C562">
        <v>3</v>
      </c>
      <c r="D562">
        <v>1</v>
      </c>
      <c r="E562" t="s">
        <v>9</v>
      </c>
      <c r="F562" t="s">
        <v>979</v>
      </c>
      <c r="G562" t="s">
        <v>980</v>
      </c>
      <c r="H562">
        <v>1.0009999999999999</v>
      </c>
      <c r="I562" t="s">
        <v>12</v>
      </c>
    </row>
    <row r="563" spans="1:9" x14ac:dyDescent="0.3">
      <c r="A563">
        <v>19</v>
      </c>
      <c r="B563">
        <v>1</v>
      </c>
      <c r="C563">
        <v>3</v>
      </c>
      <c r="D563">
        <v>1</v>
      </c>
      <c r="E563" t="s">
        <v>19</v>
      </c>
      <c r="F563" t="s">
        <v>981</v>
      </c>
      <c r="I563" t="s">
        <v>21</v>
      </c>
    </row>
    <row r="564" spans="1:9" x14ac:dyDescent="0.3">
      <c r="A564">
        <v>19</v>
      </c>
      <c r="B564">
        <v>1</v>
      </c>
      <c r="C564">
        <v>3</v>
      </c>
      <c r="D564">
        <v>1</v>
      </c>
      <c r="E564" t="s">
        <v>22</v>
      </c>
      <c r="F564" t="s">
        <v>982</v>
      </c>
      <c r="G564" t="s">
        <v>983</v>
      </c>
      <c r="H564">
        <v>0.9</v>
      </c>
      <c r="I564" t="s">
        <v>21</v>
      </c>
    </row>
    <row r="565" spans="1:9" x14ac:dyDescent="0.3">
      <c r="A565">
        <v>19</v>
      </c>
      <c r="B565">
        <v>1</v>
      </c>
      <c r="C565">
        <v>3</v>
      </c>
      <c r="D565">
        <v>1</v>
      </c>
      <c r="E565" t="s">
        <v>19</v>
      </c>
      <c r="F565" t="s">
        <v>984</v>
      </c>
      <c r="I565" t="s">
        <v>21</v>
      </c>
    </row>
    <row r="566" spans="1:9" x14ac:dyDescent="0.3">
      <c r="A566">
        <v>19</v>
      </c>
      <c r="B566">
        <v>1</v>
      </c>
      <c r="C566">
        <v>3</v>
      </c>
      <c r="D566">
        <v>1</v>
      </c>
      <c r="E566" t="s">
        <v>22</v>
      </c>
      <c r="F566" t="s">
        <v>985</v>
      </c>
      <c r="G566" t="s">
        <v>986</v>
      </c>
      <c r="H566">
        <v>0.83399999999999996</v>
      </c>
      <c r="I566" t="s">
        <v>21</v>
      </c>
    </row>
    <row r="567" spans="1:9" x14ac:dyDescent="0.3">
      <c r="A567">
        <v>19</v>
      </c>
      <c r="B567">
        <v>3</v>
      </c>
      <c r="C567">
        <v>1</v>
      </c>
      <c r="D567">
        <v>1</v>
      </c>
      <c r="E567" t="s">
        <v>22</v>
      </c>
      <c r="F567" t="s">
        <v>987</v>
      </c>
      <c r="G567" t="s">
        <v>988</v>
      </c>
      <c r="H567">
        <v>1.0189999999999999</v>
      </c>
      <c r="I567" t="s">
        <v>21</v>
      </c>
    </row>
    <row r="568" spans="1:9" x14ac:dyDescent="0.3">
      <c r="A568">
        <v>19</v>
      </c>
      <c r="B568">
        <v>3</v>
      </c>
      <c r="C568">
        <v>1</v>
      </c>
      <c r="D568">
        <v>1</v>
      </c>
      <c r="E568" t="s">
        <v>9</v>
      </c>
      <c r="F568" t="s">
        <v>989</v>
      </c>
      <c r="G568" t="s">
        <v>990</v>
      </c>
      <c r="H568">
        <v>1.5009999999999999</v>
      </c>
      <c r="I568" t="s">
        <v>12</v>
      </c>
    </row>
    <row r="569" spans="1:9" x14ac:dyDescent="0.3">
      <c r="A569">
        <v>19</v>
      </c>
      <c r="B569">
        <v>3</v>
      </c>
      <c r="C569">
        <v>1</v>
      </c>
      <c r="D569">
        <v>1</v>
      </c>
      <c r="E569" t="s">
        <v>22</v>
      </c>
      <c r="F569" t="s">
        <v>991</v>
      </c>
      <c r="G569" t="s">
        <v>992</v>
      </c>
      <c r="H569">
        <v>0.80100000000000005</v>
      </c>
      <c r="I569" t="s">
        <v>21</v>
      </c>
    </row>
    <row r="570" spans="1:9" x14ac:dyDescent="0.3">
      <c r="A570">
        <v>19</v>
      </c>
      <c r="B570">
        <v>3</v>
      </c>
      <c r="C570">
        <v>1</v>
      </c>
      <c r="D570">
        <v>1</v>
      </c>
      <c r="E570" t="s">
        <v>19</v>
      </c>
      <c r="F570" t="s">
        <v>993</v>
      </c>
      <c r="I570" t="s">
        <v>21</v>
      </c>
    </row>
    <row r="571" spans="1:9" x14ac:dyDescent="0.3">
      <c r="A571">
        <v>19</v>
      </c>
      <c r="B571">
        <v>3</v>
      </c>
      <c r="C571">
        <v>1</v>
      </c>
      <c r="D571">
        <v>1</v>
      </c>
      <c r="E571" t="s">
        <v>9</v>
      </c>
      <c r="F571" t="s">
        <v>994</v>
      </c>
      <c r="G571" t="s">
        <v>995</v>
      </c>
      <c r="H571">
        <v>1.0529999999999999</v>
      </c>
      <c r="I571" t="s">
        <v>12</v>
      </c>
    </row>
    <row r="572" spans="1:9" x14ac:dyDescent="0.3">
      <c r="A572">
        <v>19</v>
      </c>
      <c r="B572">
        <v>3</v>
      </c>
      <c r="C572">
        <v>1</v>
      </c>
      <c r="D572">
        <v>1</v>
      </c>
      <c r="E572" t="s">
        <v>19</v>
      </c>
      <c r="F572" t="s">
        <v>996</v>
      </c>
      <c r="I572" t="s">
        <v>21</v>
      </c>
    </row>
    <row r="573" spans="1:9" x14ac:dyDescent="0.3">
      <c r="A573">
        <v>19</v>
      </c>
      <c r="B573">
        <v>3</v>
      </c>
      <c r="C573">
        <v>1</v>
      </c>
      <c r="D573">
        <v>1</v>
      </c>
      <c r="E573" t="s">
        <v>9</v>
      </c>
      <c r="F573" t="s">
        <v>997</v>
      </c>
      <c r="G573" t="s">
        <v>998</v>
      </c>
      <c r="H573">
        <v>1</v>
      </c>
      <c r="I573" t="s">
        <v>12</v>
      </c>
    </row>
    <row r="574" spans="1:9" x14ac:dyDescent="0.3">
      <c r="A574">
        <v>19</v>
      </c>
      <c r="B574">
        <v>3</v>
      </c>
      <c r="C574">
        <v>1</v>
      </c>
      <c r="D574">
        <v>1</v>
      </c>
      <c r="E574" t="s">
        <v>9</v>
      </c>
      <c r="F574" t="s">
        <v>999</v>
      </c>
      <c r="G574" t="s">
        <v>1000</v>
      </c>
      <c r="H574">
        <v>1.9339999999999999</v>
      </c>
      <c r="I574" t="s">
        <v>12</v>
      </c>
    </row>
    <row r="575" spans="1:9" x14ac:dyDescent="0.3">
      <c r="A575">
        <v>19</v>
      </c>
      <c r="B575">
        <v>3</v>
      </c>
      <c r="C575">
        <v>1</v>
      </c>
      <c r="D575">
        <v>1</v>
      </c>
      <c r="E575" t="s">
        <v>19</v>
      </c>
      <c r="F575" t="s">
        <v>1001</v>
      </c>
      <c r="I575" t="s">
        <v>21</v>
      </c>
    </row>
    <row r="576" spans="1:9" x14ac:dyDescent="0.3">
      <c r="A576">
        <v>19</v>
      </c>
      <c r="B576">
        <v>3</v>
      </c>
      <c r="C576">
        <v>1</v>
      </c>
      <c r="D576">
        <v>1</v>
      </c>
      <c r="E576" t="s">
        <v>19</v>
      </c>
      <c r="F576" t="s">
        <v>1002</v>
      </c>
      <c r="I576" t="s">
        <v>21</v>
      </c>
    </row>
    <row r="577" spans="1:9" x14ac:dyDescent="0.3">
      <c r="A577">
        <v>19</v>
      </c>
      <c r="B577">
        <v>3</v>
      </c>
      <c r="C577">
        <v>1</v>
      </c>
      <c r="D577">
        <v>1</v>
      </c>
      <c r="E577" t="s">
        <v>19</v>
      </c>
      <c r="F577" t="s">
        <v>1003</v>
      </c>
      <c r="I577" t="s">
        <v>21</v>
      </c>
    </row>
    <row r="578" spans="1:9" x14ac:dyDescent="0.3">
      <c r="A578">
        <v>19</v>
      </c>
      <c r="B578">
        <v>3</v>
      </c>
      <c r="C578">
        <v>1</v>
      </c>
      <c r="D578">
        <v>1</v>
      </c>
      <c r="E578" t="s">
        <v>19</v>
      </c>
      <c r="F578" t="s">
        <v>1004</v>
      </c>
      <c r="I578" t="s">
        <v>21</v>
      </c>
    </row>
    <row r="579" spans="1:9" x14ac:dyDescent="0.3">
      <c r="A579">
        <v>19</v>
      </c>
      <c r="B579">
        <v>3</v>
      </c>
      <c r="C579">
        <v>2</v>
      </c>
      <c r="D579">
        <v>2</v>
      </c>
      <c r="E579" t="s">
        <v>9</v>
      </c>
      <c r="F579" t="s">
        <v>1005</v>
      </c>
      <c r="G579" t="s">
        <v>1006</v>
      </c>
      <c r="H579">
        <v>0.85199999999999998</v>
      </c>
      <c r="I579" t="s">
        <v>12</v>
      </c>
    </row>
    <row r="580" spans="1:9" x14ac:dyDescent="0.3">
      <c r="A580">
        <v>19</v>
      </c>
      <c r="B580">
        <v>3</v>
      </c>
      <c r="C580">
        <v>2</v>
      </c>
      <c r="D580">
        <v>2</v>
      </c>
      <c r="E580" t="s">
        <v>22</v>
      </c>
      <c r="F580" t="s">
        <v>1007</v>
      </c>
      <c r="G580" t="s">
        <v>1008</v>
      </c>
      <c r="H580">
        <v>1.6339999999999999</v>
      </c>
      <c r="I580" t="s">
        <v>21</v>
      </c>
    </row>
    <row r="581" spans="1:9" x14ac:dyDescent="0.3">
      <c r="A581">
        <v>19</v>
      </c>
      <c r="B581">
        <v>3</v>
      </c>
      <c r="C581">
        <v>2</v>
      </c>
      <c r="D581">
        <v>2</v>
      </c>
      <c r="E581" t="s">
        <v>9</v>
      </c>
      <c r="F581" t="s">
        <v>1009</v>
      </c>
      <c r="G581" t="s">
        <v>1010</v>
      </c>
      <c r="H581">
        <v>1.502</v>
      </c>
      <c r="I581" t="s">
        <v>12</v>
      </c>
    </row>
    <row r="582" spans="1:9" x14ac:dyDescent="0.3">
      <c r="A582">
        <v>19</v>
      </c>
      <c r="B582">
        <v>3</v>
      </c>
      <c r="C582">
        <v>2</v>
      </c>
      <c r="D582">
        <v>2</v>
      </c>
      <c r="E582" t="s">
        <v>22</v>
      </c>
      <c r="F582" t="s">
        <v>1011</v>
      </c>
      <c r="G582" t="s">
        <v>1012</v>
      </c>
      <c r="H582">
        <v>0.93400000000000005</v>
      </c>
      <c r="I582" t="s">
        <v>21</v>
      </c>
    </row>
    <row r="583" spans="1:9" x14ac:dyDescent="0.3">
      <c r="A583">
        <v>19</v>
      </c>
      <c r="B583">
        <v>3</v>
      </c>
      <c r="C583">
        <v>2</v>
      </c>
      <c r="D583">
        <v>2</v>
      </c>
      <c r="E583" t="s">
        <v>19</v>
      </c>
      <c r="F583" t="s">
        <v>1013</v>
      </c>
      <c r="I583" t="s">
        <v>21</v>
      </c>
    </row>
    <row r="584" spans="1:9" x14ac:dyDescent="0.3">
      <c r="A584">
        <v>19</v>
      </c>
      <c r="B584">
        <v>3</v>
      </c>
      <c r="C584">
        <v>2</v>
      </c>
      <c r="D584">
        <v>2</v>
      </c>
      <c r="E584" t="s">
        <v>9</v>
      </c>
      <c r="F584" t="s">
        <v>1014</v>
      </c>
      <c r="G584" t="s">
        <v>1015</v>
      </c>
      <c r="H584">
        <v>1.5860000000000001</v>
      </c>
      <c r="I584" t="s">
        <v>12</v>
      </c>
    </row>
    <row r="585" spans="1:9" x14ac:dyDescent="0.3">
      <c r="A585">
        <v>19</v>
      </c>
      <c r="B585">
        <v>3</v>
      </c>
      <c r="C585">
        <v>2</v>
      </c>
      <c r="D585">
        <v>2</v>
      </c>
      <c r="E585" t="s">
        <v>9</v>
      </c>
      <c r="F585" t="s">
        <v>1016</v>
      </c>
      <c r="G585" t="s">
        <v>1017</v>
      </c>
      <c r="H585">
        <v>1.101</v>
      </c>
      <c r="I585" t="s">
        <v>12</v>
      </c>
    </row>
    <row r="586" spans="1:9" x14ac:dyDescent="0.3">
      <c r="A586">
        <v>19</v>
      </c>
      <c r="B586">
        <v>3</v>
      </c>
      <c r="C586">
        <v>2</v>
      </c>
      <c r="D586">
        <v>2</v>
      </c>
      <c r="E586" t="s">
        <v>19</v>
      </c>
      <c r="F586" t="s">
        <v>1018</v>
      </c>
      <c r="I586" t="s">
        <v>21</v>
      </c>
    </row>
    <row r="587" spans="1:9" x14ac:dyDescent="0.3">
      <c r="A587">
        <v>19</v>
      </c>
      <c r="B587">
        <v>3</v>
      </c>
      <c r="C587">
        <v>2</v>
      </c>
      <c r="D587">
        <v>2</v>
      </c>
      <c r="E587" t="s">
        <v>19</v>
      </c>
      <c r="F587" t="s">
        <v>1019</v>
      </c>
      <c r="I587" t="s">
        <v>21</v>
      </c>
    </row>
    <row r="588" spans="1:9" x14ac:dyDescent="0.3">
      <c r="A588">
        <v>19</v>
      </c>
      <c r="B588">
        <v>3</v>
      </c>
      <c r="C588">
        <v>3</v>
      </c>
      <c r="D588">
        <v>1</v>
      </c>
      <c r="E588" t="s">
        <v>22</v>
      </c>
      <c r="F588" t="s">
        <v>1020</v>
      </c>
      <c r="G588" t="s">
        <v>1021</v>
      </c>
      <c r="H588">
        <v>1.0189999999999999</v>
      </c>
      <c r="I588" t="s">
        <v>21</v>
      </c>
    </row>
    <row r="589" spans="1:9" x14ac:dyDescent="0.3">
      <c r="A589">
        <v>19</v>
      </c>
      <c r="B589">
        <v>3</v>
      </c>
      <c r="C589">
        <v>3</v>
      </c>
      <c r="D589">
        <v>1</v>
      </c>
      <c r="E589" t="s">
        <v>9</v>
      </c>
      <c r="F589" t="s">
        <v>1022</v>
      </c>
      <c r="G589" t="s">
        <v>1023</v>
      </c>
      <c r="H589">
        <v>1.367</v>
      </c>
      <c r="I589" t="s">
        <v>12</v>
      </c>
    </row>
    <row r="590" spans="1:9" x14ac:dyDescent="0.3">
      <c r="A590">
        <v>19</v>
      </c>
      <c r="B590">
        <v>3</v>
      </c>
      <c r="C590">
        <v>3</v>
      </c>
      <c r="D590">
        <v>1</v>
      </c>
      <c r="E590" t="s">
        <v>9</v>
      </c>
      <c r="F590" t="s">
        <v>1024</v>
      </c>
      <c r="G590" t="s">
        <v>1025</v>
      </c>
      <c r="H590">
        <v>0.92</v>
      </c>
      <c r="I590" t="s">
        <v>12</v>
      </c>
    </row>
    <row r="591" spans="1:9" x14ac:dyDescent="0.3">
      <c r="A591">
        <v>19</v>
      </c>
      <c r="B591">
        <v>3</v>
      </c>
      <c r="C591">
        <v>3</v>
      </c>
      <c r="D591">
        <v>1</v>
      </c>
      <c r="E591" t="s">
        <v>19</v>
      </c>
      <c r="F591" t="s">
        <v>1026</v>
      </c>
      <c r="I591" t="s">
        <v>21</v>
      </c>
    </row>
    <row r="592" spans="1:9" x14ac:dyDescent="0.3">
      <c r="A592">
        <v>19</v>
      </c>
      <c r="B592">
        <v>3</v>
      </c>
      <c r="C592">
        <v>3</v>
      </c>
      <c r="D592">
        <v>1</v>
      </c>
      <c r="E592" t="s">
        <v>9</v>
      </c>
      <c r="F592" t="s">
        <v>1027</v>
      </c>
      <c r="G592" t="s">
        <v>1028</v>
      </c>
      <c r="H592">
        <v>2.7010000000000001</v>
      </c>
      <c r="I592" t="s">
        <v>12</v>
      </c>
    </row>
    <row r="593" spans="1:9" x14ac:dyDescent="0.3">
      <c r="A593">
        <v>19</v>
      </c>
      <c r="B593">
        <v>3</v>
      </c>
      <c r="C593">
        <v>3</v>
      </c>
      <c r="D593">
        <v>1</v>
      </c>
      <c r="E593" t="s">
        <v>9</v>
      </c>
      <c r="F593" t="s">
        <v>1029</v>
      </c>
      <c r="G593" t="s">
        <v>1030</v>
      </c>
      <c r="H593">
        <v>1</v>
      </c>
      <c r="I593" t="s">
        <v>12</v>
      </c>
    </row>
    <row r="594" spans="1:9" x14ac:dyDescent="0.3">
      <c r="A594">
        <v>19</v>
      </c>
      <c r="B594">
        <v>3</v>
      </c>
      <c r="C594">
        <v>3</v>
      </c>
      <c r="D594">
        <v>1</v>
      </c>
      <c r="E594" t="s">
        <v>19</v>
      </c>
      <c r="F594" t="s">
        <v>1031</v>
      </c>
      <c r="I594" t="s">
        <v>34</v>
      </c>
    </row>
    <row r="595" spans="1:9" x14ac:dyDescent="0.3">
      <c r="A595">
        <v>19</v>
      </c>
      <c r="B595">
        <v>3</v>
      </c>
      <c r="C595">
        <v>3</v>
      </c>
      <c r="D595">
        <v>1</v>
      </c>
      <c r="E595" t="s">
        <v>19</v>
      </c>
      <c r="F595" t="s">
        <v>1032</v>
      </c>
      <c r="I595" t="s">
        <v>34</v>
      </c>
    </row>
    <row r="596" spans="1:9" x14ac:dyDescent="0.3">
      <c r="A596">
        <v>19</v>
      </c>
      <c r="B596">
        <v>3</v>
      </c>
      <c r="C596">
        <v>3</v>
      </c>
      <c r="D596">
        <v>1</v>
      </c>
      <c r="E596" t="s">
        <v>19</v>
      </c>
      <c r="F596" t="s">
        <v>1033</v>
      </c>
      <c r="I596" t="s">
        <v>21</v>
      </c>
    </row>
    <row r="597" spans="1:9" x14ac:dyDescent="0.3">
      <c r="A597">
        <v>19</v>
      </c>
      <c r="B597">
        <v>3</v>
      </c>
      <c r="C597">
        <v>3</v>
      </c>
      <c r="D597">
        <v>2</v>
      </c>
      <c r="E597" t="s">
        <v>22</v>
      </c>
      <c r="F597" t="s">
        <v>1034</v>
      </c>
      <c r="G597" t="s">
        <v>1035</v>
      </c>
      <c r="H597">
        <v>1.246</v>
      </c>
      <c r="I597" t="s">
        <v>21</v>
      </c>
    </row>
    <row r="598" spans="1:9" x14ac:dyDescent="0.3">
      <c r="A598">
        <v>19</v>
      </c>
      <c r="B598">
        <v>3</v>
      </c>
      <c r="C598">
        <v>3</v>
      </c>
      <c r="D598">
        <v>2</v>
      </c>
      <c r="E598" t="s">
        <v>9</v>
      </c>
      <c r="F598" t="s">
        <v>1036</v>
      </c>
      <c r="G598" t="s">
        <v>1037</v>
      </c>
      <c r="H598">
        <v>0.81799999999999995</v>
      </c>
      <c r="I598" t="s">
        <v>12</v>
      </c>
    </row>
    <row r="599" spans="1:9" x14ac:dyDescent="0.3">
      <c r="A599">
        <v>19</v>
      </c>
      <c r="B599">
        <v>3</v>
      </c>
      <c r="C599">
        <v>3</v>
      </c>
      <c r="D599">
        <v>2</v>
      </c>
      <c r="E599" t="s">
        <v>9</v>
      </c>
      <c r="F599" t="s">
        <v>1038</v>
      </c>
      <c r="G599" t="s">
        <v>1039</v>
      </c>
      <c r="H599">
        <v>1.8340000000000001</v>
      </c>
      <c r="I599" t="s">
        <v>12</v>
      </c>
    </row>
    <row r="600" spans="1:9" x14ac:dyDescent="0.3">
      <c r="A600">
        <v>19</v>
      </c>
      <c r="B600">
        <v>3</v>
      </c>
      <c r="C600">
        <v>3</v>
      </c>
      <c r="D600">
        <v>2</v>
      </c>
      <c r="E600" t="s">
        <v>9</v>
      </c>
      <c r="F600" t="s">
        <v>1040</v>
      </c>
      <c r="G600" t="s">
        <v>1041</v>
      </c>
      <c r="H600">
        <v>0.56699999999999995</v>
      </c>
      <c r="I600" t="s">
        <v>12</v>
      </c>
    </row>
    <row r="601" spans="1:9" x14ac:dyDescent="0.3">
      <c r="A601">
        <v>19</v>
      </c>
      <c r="B601">
        <v>3</v>
      </c>
      <c r="C601">
        <v>3</v>
      </c>
      <c r="D601">
        <v>2</v>
      </c>
      <c r="E601" t="s">
        <v>19</v>
      </c>
      <c r="F601" t="s">
        <v>1042</v>
      </c>
      <c r="I601" t="s">
        <v>21</v>
      </c>
    </row>
    <row r="602" spans="1:9" x14ac:dyDescent="0.3">
      <c r="A602">
        <v>19</v>
      </c>
      <c r="B602">
        <v>3</v>
      </c>
      <c r="C602">
        <v>3</v>
      </c>
      <c r="D602">
        <v>2</v>
      </c>
      <c r="E602" t="s">
        <v>9</v>
      </c>
      <c r="F602" t="s">
        <v>1043</v>
      </c>
      <c r="G602" t="s">
        <v>1044</v>
      </c>
      <c r="H602">
        <v>0.83399999999999996</v>
      </c>
      <c r="I602" t="s">
        <v>12</v>
      </c>
    </row>
    <row r="603" spans="1:9" x14ac:dyDescent="0.3">
      <c r="A603">
        <v>19</v>
      </c>
      <c r="B603">
        <v>3</v>
      </c>
      <c r="C603">
        <v>3</v>
      </c>
      <c r="D603">
        <v>2</v>
      </c>
      <c r="E603" t="s">
        <v>19</v>
      </c>
      <c r="F603" t="s">
        <v>1045</v>
      </c>
      <c r="I603" t="s">
        <v>21</v>
      </c>
    </row>
    <row r="604" spans="1:9" x14ac:dyDescent="0.3">
      <c r="A604">
        <v>19</v>
      </c>
      <c r="B604">
        <v>3</v>
      </c>
      <c r="C604">
        <v>3</v>
      </c>
      <c r="D604">
        <v>2</v>
      </c>
      <c r="E604" t="s">
        <v>19</v>
      </c>
      <c r="F604" t="s">
        <v>1046</v>
      </c>
      <c r="I604" t="s">
        <v>21</v>
      </c>
    </row>
    <row r="605" spans="1:9" x14ac:dyDescent="0.3">
      <c r="A605">
        <v>19</v>
      </c>
      <c r="B605">
        <v>3</v>
      </c>
      <c r="C605">
        <v>3</v>
      </c>
      <c r="D605">
        <v>2</v>
      </c>
      <c r="E605" t="s">
        <v>19</v>
      </c>
      <c r="F605" t="s">
        <v>1047</v>
      </c>
      <c r="I605" t="s">
        <v>21</v>
      </c>
    </row>
    <row r="606" spans="1:9" x14ac:dyDescent="0.3">
      <c r="A606">
        <v>19</v>
      </c>
      <c r="B606">
        <v>3</v>
      </c>
      <c r="C606">
        <v>3</v>
      </c>
      <c r="D606">
        <v>2</v>
      </c>
      <c r="E606" t="s">
        <v>19</v>
      </c>
      <c r="F606" t="s">
        <v>1048</v>
      </c>
      <c r="I606" t="s">
        <v>21</v>
      </c>
    </row>
    <row r="607" spans="1:9" x14ac:dyDescent="0.3">
      <c r="A607">
        <v>19</v>
      </c>
      <c r="B607">
        <v>3</v>
      </c>
      <c r="C607">
        <v>3</v>
      </c>
      <c r="D607">
        <v>2</v>
      </c>
      <c r="E607" t="s">
        <v>19</v>
      </c>
      <c r="F607" t="s">
        <v>1049</v>
      </c>
      <c r="I607" t="s">
        <v>21</v>
      </c>
    </row>
    <row r="608" spans="1:9" x14ac:dyDescent="0.3">
      <c r="A608">
        <v>19</v>
      </c>
      <c r="B608">
        <v>3</v>
      </c>
      <c r="C608">
        <v>3</v>
      </c>
      <c r="D608">
        <v>2</v>
      </c>
      <c r="E608" t="s">
        <v>22</v>
      </c>
      <c r="F608" t="s">
        <v>1050</v>
      </c>
      <c r="G608" t="s">
        <v>1051</v>
      </c>
      <c r="H608">
        <v>1.0009999999999999</v>
      </c>
      <c r="I608" t="s">
        <v>21</v>
      </c>
    </row>
    <row r="609" spans="1:9" x14ac:dyDescent="0.3">
      <c r="A609">
        <v>19</v>
      </c>
      <c r="B609">
        <v>3</v>
      </c>
      <c r="C609">
        <v>3</v>
      </c>
      <c r="D609">
        <v>2</v>
      </c>
      <c r="E609" t="s">
        <v>19</v>
      </c>
      <c r="F609" t="s">
        <v>1052</v>
      </c>
      <c r="I609" t="s">
        <v>21</v>
      </c>
    </row>
    <row r="610" spans="1:9" x14ac:dyDescent="0.3">
      <c r="A610">
        <v>1</v>
      </c>
      <c r="B610">
        <v>2</v>
      </c>
      <c r="C610">
        <v>1</v>
      </c>
      <c r="D610">
        <v>1</v>
      </c>
      <c r="E610" t="s">
        <v>9</v>
      </c>
      <c r="F610" t="s">
        <v>1053</v>
      </c>
      <c r="G610" t="s">
        <v>1054</v>
      </c>
      <c r="H610">
        <v>6.218</v>
      </c>
      <c r="I610" t="s">
        <v>12</v>
      </c>
    </row>
    <row r="611" spans="1:9" x14ac:dyDescent="0.3">
      <c r="A611">
        <v>21</v>
      </c>
      <c r="B611">
        <v>1</v>
      </c>
      <c r="C611">
        <v>1</v>
      </c>
      <c r="D611">
        <v>1</v>
      </c>
      <c r="E611" t="s">
        <v>9</v>
      </c>
      <c r="F611" t="s">
        <v>1055</v>
      </c>
      <c r="G611" t="s">
        <v>1056</v>
      </c>
      <c r="H611">
        <v>5.62</v>
      </c>
      <c r="I611" t="s">
        <v>12</v>
      </c>
    </row>
    <row r="612" spans="1:9" x14ac:dyDescent="0.3">
      <c r="A612">
        <v>21</v>
      </c>
      <c r="B612">
        <v>1</v>
      </c>
      <c r="C612">
        <v>1</v>
      </c>
      <c r="D612">
        <v>2</v>
      </c>
      <c r="E612" t="s">
        <v>9</v>
      </c>
      <c r="F612" t="s">
        <v>1057</v>
      </c>
      <c r="G612" t="s">
        <v>1058</v>
      </c>
      <c r="H612">
        <v>2.7189999999999999</v>
      </c>
      <c r="I612" t="s">
        <v>12</v>
      </c>
    </row>
    <row r="613" spans="1:9" x14ac:dyDescent="0.3">
      <c r="A613">
        <v>21</v>
      </c>
      <c r="B613">
        <v>1</v>
      </c>
      <c r="C613">
        <v>1</v>
      </c>
      <c r="D613">
        <v>3</v>
      </c>
      <c r="E613" t="s">
        <v>9</v>
      </c>
      <c r="F613" t="s">
        <v>1059</v>
      </c>
      <c r="G613" t="s">
        <v>1060</v>
      </c>
      <c r="H613">
        <v>1.653</v>
      </c>
      <c r="I613" t="s">
        <v>12</v>
      </c>
    </row>
    <row r="614" spans="1:9" x14ac:dyDescent="0.3">
      <c r="A614">
        <v>21</v>
      </c>
      <c r="B614">
        <v>1</v>
      </c>
      <c r="C614">
        <v>1</v>
      </c>
      <c r="D614">
        <v>3</v>
      </c>
      <c r="E614" t="s">
        <v>9</v>
      </c>
      <c r="F614" t="s">
        <v>1061</v>
      </c>
      <c r="G614" t="s">
        <v>1062</v>
      </c>
      <c r="H614">
        <v>3.552</v>
      </c>
      <c r="I614" t="s">
        <v>12</v>
      </c>
    </row>
    <row r="615" spans="1:9" x14ac:dyDescent="0.3">
      <c r="A615">
        <v>21</v>
      </c>
      <c r="B615">
        <v>1</v>
      </c>
      <c r="C615">
        <v>1</v>
      </c>
      <c r="D615">
        <v>3</v>
      </c>
      <c r="E615" t="s">
        <v>22</v>
      </c>
      <c r="F615" t="s">
        <v>1063</v>
      </c>
      <c r="G615" t="s">
        <v>1064</v>
      </c>
      <c r="H615">
        <v>2.7669999999999999</v>
      </c>
      <c r="I615" t="s">
        <v>21</v>
      </c>
    </row>
    <row r="616" spans="1:9" x14ac:dyDescent="0.3">
      <c r="A616">
        <v>21</v>
      </c>
      <c r="B616">
        <v>1</v>
      </c>
      <c r="C616">
        <v>1</v>
      </c>
      <c r="D616">
        <v>4</v>
      </c>
      <c r="E616" t="s">
        <v>9</v>
      </c>
      <c r="F616" t="s">
        <v>1065</v>
      </c>
      <c r="G616" t="s">
        <v>1066</v>
      </c>
      <c r="H616">
        <v>2.8519999999999999</v>
      </c>
      <c r="I616" t="s">
        <v>12</v>
      </c>
    </row>
    <row r="617" spans="1:9" x14ac:dyDescent="0.3">
      <c r="A617">
        <v>21</v>
      </c>
      <c r="B617">
        <v>1</v>
      </c>
      <c r="C617">
        <v>1</v>
      </c>
      <c r="D617">
        <v>4</v>
      </c>
      <c r="E617" t="s">
        <v>9</v>
      </c>
      <c r="F617" t="s">
        <v>1067</v>
      </c>
      <c r="G617" t="s">
        <v>1068</v>
      </c>
      <c r="H617">
        <v>4.0679999999999996</v>
      </c>
      <c r="I617" t="s">
        <v>12</v>
      </c>
    </row>
    <row r="618" spans="1:9" x14ac:dyDescent="0.3">
      <c r="A618">
        <v>21</v>
      </c>
      <c r="B618">
        <v>1</v>
      </c>
      <c r="C618">
        <v>1</v>
      </c>
      <c r="D618">
        <v>4</v>
      </c>
      <c r="E618" t="s">
        <v>22</v>
      </c>
      <c r="F618" t="s">
        <v>1069</v>
      </c>
      <c r="G618" t="s">
        <v>1070</v>
      </c>
      <c r="H618">
        <v>1.8340000000000001</v>
      </c>
      <c r="I618" t="s">
        <v>21</v>
      </c>
    </row>
    <row r="619" spans="1:9" x14ac:dyDescent="0.3">
      <c r="A619">
        <v>21</v>
      </c>
      <c r="B619">
        <v>1</v>
      </c>
      <c r="C619">
        <v>1</v>
      </c>
      <c r="D619">
        <v>4</v>
      </c>
      <c r="E619" t="s">
        <v>19</v>
      </c>
      <c r="F619" t="s">
        <v>1071</v>
      </c>
      <c r="I619" t="s">
        <v>21</v>
      </c>
    </row>
    <row r="620" spans="1:9" x14ac:dyDescent="0.3">
      <c r="A620">
        <v>21</v>
      </c>
      <c r="B620">
        <v>1</v>
      </c>
      <c r="C620">
        <v>1</v>
      </c>
      <c r="D620">
        <v>5</v>
      </c>
      <c r="E620" t="s">
        <v>9</v>
      </c>
      <c r="F620" t="s">
        <v>1072</v>
      </c>
      <c r="G620" t="s">
        <v>1073</v>
      </c>
      <c r="H620">
        <v>1.419</v>
      </c>
      <c r="I620" t="s">
        <v>12</v>
      </c>
    </row>
    <row r="621" spans="1:9" x14ac:dyDescent="0.3">
      <c r="A621">
        <v>21</v>
      </c>
      <c r="B621">
        <v>1</v>
      </c>
      <c r="C621">
        <v>1</v>
      </c>
      <c r="D621">
        <v>5</v>
      </c>
      <c r="E621" t="s">
        <v>9</v>
      </c>
      <c r="F621" t="s">
        <v>1074</v>
      </c>
      <c r="G621" t="s">
        <v>1075</v>
      </c>
      <c r="H621">
        <v>2.2530000000000001</v>
      </c>
      <c r="I621" t="s">
        <v>12</v>
      </c>
    </row>
    <row r="622" spans="1:9" x14ac:dyDescent="0.3">
      <c r="A622">
        <v>21</v>
      </c>
      <c r="B622">
        <v>1</v>
      </c>
      <c r="C622">
        <v>1</v>
      </c>
      <c r="D622">
        <v>5</v>
      </c>
      <c r="E622" t="s">
        <v>22</v>
      </c>
      <c r="F622" t="s">
        <v>1076</v>
      </c>
      <c r="G622" t="s">
        <v>1077</v>
      </c>
      <c r="H622">
        <v>2.0009999999999999</v>
      </c>
      <c r="I622" t="s">
        <v>21</v>
      </c>
    </row>
    <row r="623" spans="1:9" x14ac:dyDescent="0.3">
      <c r="A623">
        <v>21</v>
      </c>
      <c r="B623">
        <v>1</v>
      </c>
      <c r="C623">
        <v>1</v>
      </c>
      <c r="D623">
        <v>5</v>
      </c>
      <c r="E623" t="s">
        <v>19</v>
      </c>
      <c r="F623" t="s">
        <v>1078</v>
      </c>
      <c r="I623" t="s">
        <v>21</v>
      </c>
    </row>
    <row r="624" spans="1:9" x14ac:dyDescent="0.3">
      <c r="A624">
        <v>21</v>
      </c>
      <c r="B624">
        <v>1</v>
      </c>
      <c r="C624">
        <v>1</v>
      </c>
      <c r="D624">
        <v>5</v>
      </c>
      <c r="E624" t="s">
        <v>19</v>
      </c>
      <c r="F624" t="s">
        <v>1079</v>
      </c>
      <c r="I624" t="s">
        <v>21</v>
      </c>
    </row>
    <row r="625" spans="1:9" x14ac:dyDescent="0.3">
      <c r="A625">
        <v>21</v>
      </c>
      <c r="B625">
        <v>1</v>
      </c>
      <c r="C625">
        <v>2</v>
      </c>
      <c r="D625">
        <v>1</v>
      </c>
      <c r="E625" t="s">
        <v>9</v>
      </c>
      <c r="F625" t="s">
        <v>1080</v>
      </c>
      <c r="G625" t="s">
        <v>1081</v>
      </c>
      <c r="H625">
        <v>1.3859999999999999</v>
      </c>
      <c r="I625" t="s">
        <v>12</v>
      </c>
    </row>
    <row r="626" spans="1:9" x14ac:dyDescent="0.3">
      <c r="A626">
        <v>21</v>
      </c>
      <c r="B626">
        <v>1</v>
      </c>
      <c r="C626">
        <v>2</v>
      </c>
      <c r="D626">
        <v>1</v>
      </c>
      <c r="E626" t="s">
        <v>9</v>
      </c>
      <c r="F626" t="s">
        <v>1082</v>
      </c>
      <c r="G626" t="s">
        <v>1083</v>
      </c>
      <c r="H626">
        <v>2.5859999999999999</v>
      </c>
      <c r="I626" t="s">
        <v>12</v>
      </c>
    </row>
    <row r="627" spans="1:9" x14ac:dyDescent="0.3">
      <c r="A627">
        <v>21</v>
      </c>
      <c r="B627">
        <v>1</v>
      </c>
      <c r="C627">
        <v>2</v>
      </c>
      <c r="D627">
        <v>1</v>
      </c>
      <c r="E627" t="s">
        <v>22</v>
      </c>
      <c r="F627" t="s">
        <v>1084</v>
      </c>
      <c r="G627" t="s">
        <v>1085</v>
      </c>
      <c r="H627">
        <v>1.429</v>
      </c>
      <c r="I627" t="s">
        <v>21</v>
      </c>
    </row>
    <row r="628" spans="1:9" x14ac:dyDescent="0.3">
      <c r="A628">
        <v>21</v>
      </c>
      <c r="B628">
        <v>1</v>
      </c>
      <c r="C628">
        <v>2</v>
      </c>
      <c r="D628">
        <v>1</v>
      </c>
      <c r="E628" t="s">
        <v>22</v>
      </c>
      <c r="F628" t="s">
        <v>1086</v>
      </c>
      <c r="G628" t="s">
        <v>1087</v>
      </c>
      <c r="H628">
        <v>2.0339999999999998</v>
      </c>
      <c r="I628" t="s">
        <v>21</v>
      </c>
    </row>
    <row r="629" spans="1:9" x14ac:dyDescent="0.3">
      <c r="A629">
        <v>21</v>
      </c>
      <c r="B629">
        <v>1</v>
      </c>
      <c r="C629">
        <v>2</v>
      </c>
      <c r="D629">
        <v>1</v>
      </c>
      <c r="E629" t="s">
        <v>19</v>
      </c>
      <c r="F629" t="s">
        <v>1088</v>
      </c>
      <c r="I629" t="s">
        <v>34</v>
      </c>
    </row>
    <row r="630" spans="1:9" x14ac:dyDescent="0.3">
      <c r="A630">
        <v>21</v>
      </c>
      <c r="B630">
        <v>1</v>
      </c>
      <c r="C630">
        <v>2</v>
      </c>
      <c r="D630">
        <v>1</v>
      </c>
      <c r="E630" t="s">
        <v>9</v>
      </c>
      <c r="F630" t="s">
        <v>1089</v>
      </c>
      <c r="G630" t="s">
        <v>1090</v>
      </c>
      <c r="H630">
        <v>2.1339999999999999</v>
      </c>
      <c r="I630" t="s">
        <v>12</v>
      </c>
    </row>
    <row r="631" spans="1:9" x14ac:dyDescent="0.3">
      <c r="A631">
        <v>21</v>
      </c>
      <c r="B631">
        <v>1</v>
      </c>
      <c r="C631">
        <v>2</v>
      </c>
      <c r="D631">
        <v>1</v>
      </c>
      <c r="E631" t="s">
        <v>9</v>
      </c>
      <c r="F631" t="s">
        <v>1091</v>
      </c>
      <c r="G631" t="s">
        <v>1092</v>
      </c>
      <c r="H631">
        <v>2.0339999999999998</v>
      </c>
      <c r="I631" t="s">
        <v>12</v>
      </c>
    </row>
    <row r="632" spans="1:9" x14ac:dyDescent="0.3">
      <c r="A632">
        <v>21</v>
      </c>
      <c r="B632">
        <v>1</v>
      </c>
      <c r="C632">
        <v>2</v>
      </c>
      <c r="D632">
        <v>1</v>
      </c>
      <c r="E632" t="s">
        <v>19</v>
      </c>
      <c r="F632" t="s">
        <v>1093</v>
      </c>
      <c r="I632" t="s">
        <v>21</v>
      </c>
    </row>
    <row r="633" spans="1:9" x14ac:dyDescent="0.3">
      <c r="A633">
        <v>21</v>
      </c>
      <c r="B633">
        <v>1</v>
      </c>
      <c r="C633">
        <v>3</v>
      </c>
      <c r="D633">
        <v>1</v>
      </c>
      <c r="E633" t="s">
        <v>9</v>
      </c>
      <c r="F633" t="s">
        <v>1094</v>
      </c>
      <c r="G633" t="s">
        <v>1095</v>
      </c>
      <c r="H633">
        <v>1.4530000000000001</v>
      </c>
      <c r="I633" t="s">
        <v>12</v>
      </c>
    </row>
    <row r="634" spans="1:9" x14ac:dyDescent="0.3">
      <c r="A634">
        <v>21</v>
      </c>
      <c r="B634">
        <v>1</v>
      </c>
      <c r="C634">
        <v>3</v>
      </c>
      <c r="D634">
        <v>1</v>
      </c>
      <c r="E634" t="s">
        <v>9</v>
      </c>
      <c r="F634" t="s">
        <v>1096</v>
      </c>
      <c r="G634" t="s">
        <v>1097</v>
      </c>
      <c r="H634">
        <v>1.3009999999999999</v>
      </c>
      <c r="I634" t="s">
        <v>12</v>
      </c>
    </row>
    <row r="635" spans="1:9" x14ac:dyDescent="0.3">
      <c r="A635">
        <v>21</v>
      </c>
      <c r="B635">
        <v>1</v>
      </c>
      <c r="C635">
        <v>3</v>
      </c>
      <c r="D635">
        <v>1</v>
      </c>
      <c r="E635" t="s">
        <v>22</v>
      </c>
      <c r="F635" t="s">
        <v>1098</v>
      </c>
      <c r="G635" t="s">
        <v>1099</v>
      </c>
      <c r="H635">
        <v>4.3339999999999996</v>
      </c>
      <c r="I635" t="s">
        <v>21</v>
      </c>
    </row>
    <row r="636" spans="1:9" x14ac:dyDescent="0.3">
      <c r="A636">
        <v>21</v>
      </c>
      <c r="B636">
        <v>1</v>
      </c>
      <c r="C636">
        <v>3</v>
      </c>
      <c r="D636">
        <v>1</v>
      </c>
      <c r="E636" t="s">
        <v>22</v>
      </c>
      <c r="F636" t="s">
        <v>1100</v>
      </c>
      <c r="G636" t="s">
        <v>1101</v>
      </c>
      <c r="H636">
        <v>1.234</v>
      </c>
      <c r="I636" t="s">
        <v>21</v>
      </c>
    </row>
    <row r="637" spans="1:9" x14ac:dyDescent="0.3">
      <c r="A637">
        <v>21</v>
      </c>
      <c r="B637">
        <v>1</v>
      </c>
      <c r="C637">
        <v>3</v>
      </c>
      <c r="D637">
        <v>1</v>
      </c>
      <c r="E637" t="s">
        <v>19</v>
      </c>
      <c r="F637" t="s">
        <v>1102</v>
      </c>
      <c r="I637" t="s">
        <v>21</v>
      </c>
    </row>
    <row r="638" spans="1:9" x14ac:dyDescent="0.3">
      <c r="A638">
        <v>21</v>
      </c>
      <c r="B638">
        <v>1</v>
      </c>
      <c r="C638">
        <v>3</v>
      </c>
      <c r="D638">
        <v>1</v>
      </c>
      <c r="E638" t="s">
        <v>9</v>
      </c>
      <c r="F638" t="s">
        <v>1103</v>
      </c>
      <c r="G638" t="s">
        <v>1104</v>
      </c>
      <c r="H638">
        <v>4.2859999999999996</v>
      </c>
      <c r="I638" t="s">
        <v>12</v>
      </c>
    </row>
    <row r="639" spans="1:9" x14ac:dyDescent="0.3">
      <c r="A639">
        <v>21</v>
      </c>
      <c r="B639">
        <v>1</v>
      </c>
      <c r="C639">
        <v>3</v>
      </c>
      <c r="D639">
        <v>1</v>
      </c>
      <c r="E639" t="s">
        <v>19</v>
      </c>
      <c r="F639" t="s">
        <v>1105</v>
      </c>
      <c r="I639" t="s">
        <v>21</v>
      </c>
    </row>
    <row r="640" spans="1:9" x14ac:dyDescent="0.3">
      <c r="A640">
        <v>21</v>
      </c>
      <c r="B640">
        <v>1</v>
      </c>
      <c r="C640">
        <v>3</v>
      </c>
      <c r="D640">
        <v>1</v>
      </c>
      <c r="E640" t="s">
        <v>9</v>
      </c>
      <c r="F640" t="s">
        <v>1106</v>
      </c>
      <c r="G640" t="s">
        <v>1107</v>
      </c>
      <c r="H640">
        <v>1.9</v>
      </c>
      <c r="I640" t="s">
        <v>12</v>
      </c>
    </row>
    <row r="641" spans="1:9" x14ac:dyDescent="0.3">
      <c r="A641">
        <v>21</v>
      </c>
      <c r="B641">
        <v>1</v>
      </c>
      <c r="C641">
        <v>3</v>
      </c>
      <c r="D641">
        <v>1</v>
      </c>
      <c r="E641" t="s">
        <v>19</v>
      </c>
      <c r="F641" t="s">
        <v>1108</v>
      </c>
      <c r="I641" t="s">
        <v>21</v>
      </c>
    </row>
    <row r="642" spans="1:9" x14ac:dyDescent="0.3">
      <c r="A642">
        <v>21</v>
      </c>
      <c r="B642">
        <v>1</v>
      </c>
      <c r="C642">
        <v>3</v>
      </c>
      <c r="D642">
        <v>2</v>
      </c>
      <c r="E642" t="s">
        <v>9</v>
      </c>
      <c r="F642" t="s">
        <v>1109</v>
      </c>
      <c r="G642" t="s">
        <v>1110</v>
      </c>
      <c r="H642">
        <v>1.32</v>
      </c>
      <c r="I642" t="s">
        <v>12</v>
      </c>
    </row>
    <row r="643" spans="1:9" x14ac:dyDescent="0.3">
      <c r="A643">
        <v>21</v>
      </c>
      <c r="B643">
        <v>1</v>
      </c>
      <c r="C643">
        <v>3</v>
      </c>
      <c r="D643">
        <v>2</v>
      </c>
      <c r="E643" t="s">
        <v>9</v>
      </c>
      <c r="F643" t="s">
        <v>1111</v>
      </c>
      <c r="G643" t="s">
        <v>1112</v>
      </c>
      <c r="H643">
        <v>1.52</v>
      </c>
      <c r="I643" t="s">
        <v>12</v>
      </c>
    </row>
    <row r="644" spans="1:9" x14ac:dyDescent="0.3">
      <c r="A644">
        <v>21</v>
      </c>
      <c r="B644">
        <v>1</v>
      </c>
      <c r="C644">
        <v>3</v>
      </c>
      <c r="D644">
        <v>2</v>
      </c>
      <c r="E644" t="s">
        <v>22</v>
      </c>
      <c r="F644" t="s">
        <v>1113</v>
      </c>
      <c r="G644" t="s">
        <v>1114</v>
      </c>
      <c r="H644">
        <v>1.2010000000000001</v>
      </c>
      <c r="I644" t="s">
        <v>21</v>
      </c>
    </row>
    <row r="645" spans="1:9" x14ac:dyDescent="0.3">
      <c r="A645">
        <v>21</v>
      </c>
      <c r="B645">
        <v>1</v>
      </c>
      <c r="C645">
        <v>3</v>
      </c>
      <c r="D645">
        <v>2</v>
      </c>
      <c r="E645" t="s">
        <v>22</v>
      </c>
      <c r="F645" t="s">
        <v>1115</v>
      </c>
      <c r="G645" t="s">
        <v>1116</v>
      </c>
      <c r="H645">
        <v>1.5669999999999999</v>
      </c>
      <c r="I645" t="s">
        <v>21</v>
      </c>
    </row>
    <row r="646" spans="1:9" x14ac:dyDescent="0.3">
      <c r="A646">
        <v>21</v>
      </c>
      <c r="B646">
        <v>1</v>
      </c>
      <c r="C646">
        <v>3</v>
      </c>
      <c r="D646">
        <v>2</v>
      </c>
      <c r="E646" t="s">
        <v>19</v>
      </c>
      <c r="F646" t="s">
        <v>1117</v>
      </c>
      <c r="I646" t="s">
        <v>34</v>
      </c>
    </row>
    <row r="647" spans="1:9" x14ac:dyDescent="0.3">
      <c r="A647">
        <v>21</v>
      </c>
      <c r="B647">
        <v>1</v>
      </c>
      <c r="C647">
        <v>3</v>
      </c>
      <c r="D647">
        <v>2</v>
      </c>
      <c r="E647" t="s">
        <v>19</v>
      </c>
      <c r="F647" t="s">
        <v>1118</v>
      </c>
      <c r="I647" t="s">
        <v>21</v>
      </c>
    </row>
    <row r="648" spans="1:9" x14ac:dyDescent="0.3">
      <c r="A648">
        <v>21</v>
      </c>
      <c r="B648">
        <v>1</v>
      </c>
      <c r="C648">
        <v>3</v>
      </c>
      <c r="D648">
        <v>2</v>
      </c>
      <c r="E648" t="s">
        <v>9</v>
      </c>
      <c r="F648" t="s">
        <v>1119</v>
      </c>
      <c r="G648" t="s">
        <v>1120</v>
      </c>
      <c r="H648">
        <v>11.467000000000001</v>
      </c>
      <c r="I648" t="s">
        <v>12</v>
      </c>
    </row>
    <row r="649" spans="1:9" x14ac:dyDescent="0.3">
      <c r="A649">
        <v>21</v>
      </c>
      <c r="B649">
        <v>1</v>
      </c>
      <c r="C649">
        <v>3</v>
      </c>
      <c r="D649">
        <v>2</v>
      </c>
      <c r="E649" t="s">
        <v>9</v>
      </c>
      <c r="F649" t="s">
        <v>1121</v>
      </c>
      <c r="G649" t="s">
        <v>1122</v>
      </c>
      <c r="H649">
        <v>1.367</v>
      </c>
      <c r="I649" t="s">
        <v>12</v>
      </c>
    </row>
    <row r="650" spans="1:9" x14ac:dyDescent="0.3">
      <c r="A650">
        <v>21</v>
      </c>
      <c r="B650">
        <v>1</v>
      </c>
      <c r="C650">
        <v>3</v>
      </c>
      <c r="D650">
        <v>2</v>
      </c>
      <c r="E650" t="s">
        <v>19</v>
      </c>
      <c r="F650" t="s">
        <v>1123</v>
      </c>
      <c r="I650" t="s">
        <v>21</v>
      </c>
    </row>
    <row r="651" spans="1:9" x14ac:dyDescent="0.3">
      <c r="A651">
        <v>21</v>
      </c>
      <c r="B651">
        <v>1</v>
      </c>
      <c r="C651">
        <v>3</v>
      </c>
      <c r="D651">
        <v>2</v>
      </c>
      <c r="E651" t="s">
        <v>19</v>
      </c>
      <c r="F651" t="s">
        <v>1124</v>
      </c>
      <c r="I651" t="s">
        <v>21</v>
      </c>
    </row>
    <row r="652" spans="1:9" x14ac:dyDescent="0.3">
      <c r="A652">
        <v>21</v>
      </c>
      <c r="B652">
        <v>1</v>
      </c>
      <c r="C652">
        <v>3</v>
      </c>
      <c r="D652">
        <v>3</v>
      </c>
      <c r="E652" t="s">
        <v>9</v>
      </c>
      <c r="F652" t="s">
        <v>1125</v>
      </c>
      <c r="G652" t="s">
        <v>1126</v>
      </c>
      <c r="H652">
        <v>1.2529999999999999</v>
      </c>
      <c r="I652" t="s">
        <v>12</v>
      </c>
    </row>
    <row r="653" spans="1:9" x14ac:dyDescent="0.3">
      <c r="A653">
        <v>21</v>
      </c>
      <c r="B653">
        <v>1</v>
      </c>
      <c r="C653">
        <v>3</v>
      </c>
      <c r="D653">
        <v>3</v>
      </c>
      <c r="E653" t="s">
        <v>9</v>
      </c>
      <c r="F653" t="s">
        <v>1127</v>
      </c>
      <c r="G653" t="s">
        <v>1128</v>
      </c>
      <c r="H653">
        <v>1.5669999999999999</v>
      </c>
      <c r="I653" t="s">
        <v>12</v>
      </c>
    </row>
    <row r="654" spans="1:9" x14ac:dyDescent="0.3">
      <c r="A654">
        <v>21</v>
      </c>
      <c r="B654">
        <v>1</v>
      </c>
      <c r="C654">
        <v>3</v>
      </c>
      <c r="D654">
        <v>3</v>
      </c>
      <c r="E654" t="s">
        <v>9</v>
      </c>
      <c r="F654" t="s">
        <v>1129</v>
      </c>
      <c r="G654" t="s">
        <v>1130</v>
      </c>
      <c r="H654">
        <v>1.401</v>
      </c>
      <c r="I654" t="s">
        <v>12</v>
      </c>
    </row>
    <row r="655" spans="1:9" x14ac:dyDescent="0.3">
      <c r="A655">
        <v>21</v>
      </c>
      <c r="B655">
        <v>1</v>
      </c>
      <c r="C655">
        <v>3</v>
      </c>
      <c r="D655">
        <v>3</v>
      </c>
      <c r="E655" t="s">
        <v>22</v>
      </c>
      <c r="F655" t="s">
        <v>1131</v>
      </c>
      <c r="G655" t="s">
        <v>1132</v>
      </c>
      <c r="H655">
        <v>1.3680000000000001</v>
      </c>
      <c r="I655" t="s">
        <v>21</v>
      </c>
    </row>
    <row r="656" spans="1:9" x14ac:dyDescent="0.3">
      <c r="A656">
        <v>21</v>
      </c>
      <c r="B656">
        <v>1</v>
      </c>
      <c r="C656">
        <v>3</v>
      </c>
      <c r="D656">
        <v>3</v>
      </c>
      <c r="E656" t="s">
        <v>22</v>
      </c>
      <c r="F656" t="s">
        <v>1133</v>
      </c>
      <c r="G656" t="s">
        <v>1134</v>
      </c>
      <c r="H656">
        <v>1.2350000000000001</v>
      </c>
      <c r="I656" t="s">
        <v>21</v>
      </c>
    </row>
    <row r="657" spans="1:9" x14ac:dyDescent="0.3">
      <c r="A657">
        <v>21</v>
      </c>
      <c r="B657">
        <v>1</v>
      </c>
      <c r="C657">
        <v>3</v>
      </c>
      <c r="D657">
        <v>3</v>
      </c>
      <c r="E657" t="s">
        <v>19</v>
      </c>
      <c r="F657" t="s">
        <v>1135</v>
      </c>
      <c r="I657" t="s">
        <v>34</v>
      </c>
    </row>
    <row r="658" spans="1:9" x14ac:dyDescent="0.3">
      <c r="A658">
        <v>21</v>
      </c>
      <c r="B658">
        <v>1</v>
      </c>
      <c r="C658">
        <v>3</v>
      </c>
      <c r="D658">
        <v>3</v>
      </c>
      <c r="E658" t="s">
        <v>19</v>
      </c>
      <c r="F658" t="s">
        <v>1136</v>
      </c>
      <c r="I658" t="s">
        <v>21</v>
      </c>
    </row>
    <row r="659" spans="1:9" x14ac:dyDescent="0.3">
      <c r="A659">
        <v>21</v>
      </c>
      <c r="B659">
        <v>1</v>
      </c>
      <c r="C659">
        <v>3</v>
      </c>
      <c r="D659">
        <v>3</v>
      </c>
      <c r="E659" t="s">
        <v>9</v>
      </c>
      <c r="F659" t="s">
        <v>1137</v>
      </c>
      <c r="G659" t="s">
        <v>1138</v>
      </c>
      <c r="H659">
        <v>1.119</v>
      </c>
      <c r="I659" t="s">
        <v>12</v>
      </c>
    </row>
    <row r="660" spans="1:9" x14ac:dyDescent="0.3">
      <c r="A660">
        <v>21</v>
      </c>
      <c r="B660">
        <v>1</v>
      </c>
      <c r="C660">
        <v>3</v>
      </c>
      <c r="D660">
        <v>3</v>
      </c>
      <c r="E660" t="s">
        <v>19</v>
      </c>
      <c r="F660" t="s">
        <v>1139</v>
      </c>
      <c r="I660" t="s">
        <v>21</v>
      </c>
    </row>
    <row r="661" spans="1:9" x14ac:dyDescent="0.3">
      <c r="A661">
        <v>21</v>
      </c>
      <c r="B661">
        <v>1</v>
      </c>
      <c r="C661">
        <v>3</v>
      </c>
      <c r="D661">
        <v>3</v>
      </c>
      <c r="E661" t="s">
        <v>19</v>
      </c>
      <c r="F661" t="s">
        <v>1140</v>
      </c>
      <c r="I661" t="s">
        <v>21</v>
      </c>
    </row>
    <row r="662" spans="1:9" x14ac:dyDescent="0.3">
      <c r="A662">
        <v>21</v>
      </c>
      <c r="B662">
        <v>1</v>
      </c>
      <c r="C662">
        <v>3</v>
      </c>
      <c r="D662">
        <v>4</v>
      </c>
      <c r="E662" t="s">
        <v>9</v>
      </c>
      <c r="F662" t="s">
        <v>1141</v>
      </c>
      <c r="G662" t="s">
        <v>1142</v>
      </c>
      <c r="H662">
        <v>1.32</v>
      </c>
      <c r="I662" t="s">
        <v>12</v>
      </c>
    </row>
    <row r="663" spans="1:9" x14ac:dyDescent="0.3">
      <c r="A663">
        <v>21</v>
      </c>
      <c r="B663">
        <v>1</v>
      </c>
      <c r="C663">
        <v>3</v>
      </c>
      <c r="D663">
        <v>4</v>
      </c>
      <c r="E663" t="s">
        <v>9</v>
      </c>
      <c r="F663" t="s">
        <v>1143</v>
      </c>
      <c r="G663" t="s">
        <v>1144</v>
      </c>
      <c r="H663">
        <v>1.9019999999999999</v>
      </c>
      <c r="I663" t="s">
        <v>12</v>
      </c>
    </row>
    <row r="664" spans="1:9" x14ac:dyDescent="0.3">
      <c r="A664">
        <v>21</v>
      </c>
      <c r="B664">
        <v>1</v>
      </c>
      <c r="C664">
        <v>3</v>
      </c>
      <c r="D664">
        <v>4</v>
      </c>
      <c r="E664" t="s">
        <v>22</v>
      </c>
      <c r="F664" t="s">
        <v>1145</v>
      </c>
      <c r="G664" t="s">
        <v>1146</v>
      </c>
      <c r="H664">
        <v>1.367</v>
      </c>
      <c r="I664" t="s">
        <v>21</v>
      </c>
    </row>
    <row r="665" spans="1:9" x14ac:dyDescent="0.3">
      <c r="A665">
        <v>21</v>
      </c>
      <c r="B665">
        <v>1</v>
      </c>
      <c r="C665">
        <v>3</v>
      </c>
      <c r="D665">
        <v>4</v>
      </c>
      <c r="E665" t="s">
        <v>9</v>
      </c>
      <c r="F665" t="s">
        <v>1147</v>
      </c>
      <c r="G665" t="s">
        <v>1148</v>
      </c>
      <c r="H665">
        <v>1.234</v>
      </c>
      <c r="I665" t="s">
        <v>12</v>
      </c>
    </row>
    <row r="666" spans="1:9" x14ac:dyDescent="0.3">
      <c r="A666">
        <v>21</v>
      </c>
      <c r="B666">
        <v>1</v>
      </c>
      <c r="C666">
        <v>3</v>
      </c>
      <c r="D666">
        <v>4</v>
      </c>
      <c r="E666" t="s">
        <v>9</v>
      </c>
      <c r="F666" t="s">
        <v>1149</v>
      </c>
      <c r="G666" t="s">
        <v>1150</v>
      </c>
      <c r="H666">
        <v>1.667</v>
      </c>
      <c r="I666" t="s">
        <v>12</v>
      </c>
    </row>
    <row r="667" spans="1:9" x14ac:dyDescent="0.3">
      <c r="A667">
        <v>21</v>
      </c>
      <c r="B667">
        <v>1</v>
      </c>
      <c r="C667">
        <v>3</v>
      </c>
      <c r="D667">
        <v>4</v>
      </c>
      <c r="E667" t="s">
        <v>19</v>
      </c>
      <c r="F667" t="s">
        <v>1151</v>
      </c>
      <c r="I667" t="s">
        <v>21</v>
      </c>
    </row>
    <row r="668" spans="1:9" x14ac:dyDescent="0.3">
      <c r="A668">
        <v>21</v>
      </c>
      <c r="B668">
        <v>1</v>
      </c>
      <c r="C668">
        <v>3</v>
      </c>
      <c r="D668">
        <v>4</v>
      </c>
      <c r="E668" t="s">
        <v>19</v>
      </c>
      <c r="F668" t="s">
        <v>1152</v>
      </c>
      <c r="I668" t="s">
        <v>21</v>
      </c>
    </row>
    <row r="669" spans="1:9" x14ac:dyDescent="0.3">
      <c r="A669">
        <v>21</v>
      </c>
      <c r="B669">
        <v>1</v>
      </c>
      <c r="C669">
        <v>3</v>
      </c>
      <c r="D669">
        <v>4</v>
      </c>
      <c r="E669" t="s">
        <v>19</v>
      </c>
      <c r="F669" t="s">
        <v>1153</v>
      </c>
      <c r="I669" t="s">
        <v>21</v>
      </c>
    </row>
    <row r="670" spans="1:9" x14ac:dyDescent="0.3">
      <c r="A670">
        <v>21</v>
      </c>
      <c r="B670">
        <v>3</v>
      </c>
      <c r="C670">
        <v>1</v>
      </c>
      <c r="D670">
        <v>1</v>
      </c>
      <c r="E670" t="s">
        <v>9</v>
      </c>
      <c r="F670" t="s">
        <v>1154</v>
      </c>
      <c r="G670" t="s">
        <v>1155</v>
      </c>
      <c r="H670">
        <v>1.081</v>
      </c>
      <c r="I670" t="s">
        <v>12</v>
      </c>
    </row>
    <row r="671" spans="1:9" x14ac:dyDescent="0.3">
      <c r="A671">
        <v>21</v>
      </c>
      <c r="B671">
        <v>3</v>
      </c>
      <c r="C671">
        <v>1</v>
      </c>
      <c r="D671">
        <v>1</v>
      </c>
      <c r="E671" t="s">
        <v>9</v>
      </c>
      <c r="F671" t="s">
        <v>1156</v>
      </c>
      <c r="G671" t="s">
        <v>1157</v>
      </c>
      <c r="H671">
        <v>1.3540000000000001</v>
      </c>
      <c r="I671" t="s">
        <v>12</v>
      </c>
    </row>
    <row r="672" spans="1:9" x14ac:dyDescent="0.3">
      <c r="A672">
        <v>21</v>
      </c>
      <c r="B672">
        <v>3</v>
      </c>
      <c r="C672">
        <v>1</v>
      </c>
      <c r="D672">
        <v>1</v>
      </c>
      <c r="E672" t="s">
        <v>9</v>
      </c>
      <c r="F672" t="s">
        <v>1158</v>
      </c>
      <c r="G672" t="s">
        <v>1159</v>
      </c>
      <c r="H672">
        <v>1.369</v>
      </c>
      <c r="I672" t="s">
        <v>12</v>
      </c>
    </row>
    <row r="673" spans="1:9" x14ac:dyDescent="0.3">
      <c r="A673">
        <v>21</v>
      </c>
      <c r="B673">
        <v>3</v>
      </c>
      <c r="C673">
        <v>1</v>
      </c>
      <c r="D673">
        <v>1</v>
      </c>
      <c r="E673" t="s">
        <v>9</v>
      </c>
      <c r="F673" t="s">
        <v>1160</v>
      </c>
      <c r="G673" t="s">
        <v>1161</v>
      </c>
      <c r="H673">
        <v>1.2669999999999999</v>
      </c>
      <c r="I673" t="s">
        <v>12</v>
      </c>
    </row>
    <row r="674" spans="1:9" x14ac:dyDescent="0.3">
      <c r="A674">
        <v>21</v>
      </c>
      <c r="B674">
        <v>3</v>
      </c>
      <c r="C674">
        <v>1</v>
      </c>
      <c r="D674">
        <v>1</v>
      </c>
      <c r="E674" t="s">
        <v>22</v>
      </c>
      <c r="F674" t="s">
        <v>1162</v>
      </c>
      <c r="G674" t="s">
        <v>1163</v>
      </c>
      <c r="H674">
        <v>1.1339999999999999</v>
      </c>
      <c r="I674" t="s">
        <v>21</v>
      </c>
    </row>
    <row r="675" spans="1:9" x14ac:dyDescent="0.3">
      <c r="A675">
        <v>21</v>
      </c>
      <c r="B675">
        <v>3</v>
      </c>
      <c r="C675">
        <v>1</v>
      </c>
      <c r="D675">
        <v>1</v>
      </c>
      <c r="E675" t="s">
        <v>19</v>
      </c>
      <c r="F675" t="s">
        <v>1164</v>
      </c>
      <c r="I675" t="s">
        <v>21</v>
      </c>
    </row>
    <row r="676" spans="1:9" x14ac:dyDescent="0.3">
      <c r="A676">
        <v>21</v>
      </c>
      <c r="B676">
        <v>3</v>
      </c>
      <c r="C676">
        <v>1</v>
      </c>
      <c r="D676">
        <v>1</v>
      </c>
      <c r="E676" t="s">
        <v>19</v>
      </c>
      <c r="F676" t="s">
        <v>1165</v>
      </c>
      <c r="I676" t="s">
        <v>21</v>
      </c>
    </row>
    <row r="677" spans="1:9" x14ac:dyDescent="0.3">
      <c r="A677">
        <v>21</v>
      </c>
      <c r="B677">
        <v>3</v>
      </c>
      <c r="C677">
        <v>1</v>
      </c>
      <c r="D677">
        <v>1</v>
      </c>
      <c r="E677" t="s">
        <v>19</v>
      </c>
      <c r="F677" t="s">
        <v>1166</v>
      </c>
      <c r="I677" t="s">
        <v>21</v>
      </c>
    </row>
    <row r="678" spans="1:9" x14ac:dyDescent="0.3">
      <c r="A678">
        <v>21</v>
      </c>
      <c r="B678">
        <v>3</v>
      </c>
      <c r="C678">
        <v>1</v>
      </c>
      <c r="D678">
        <v>2</v>
      </c>
      <c r="E678" t="s">
        <v>9</v>
      </c>
      <c r="F678" t="s">
        <v>1167</v>
      </c>
      <c r="G678" t="s">
        <v>1168</v>
      </c>
      <c r="H678">
        <v>1.1850000000000001</v>
      </c>
      <c r="I678" t="s">
        <v>12</v>
      </c>
    </row>
    <row r="679" spans="1:9" x14ac:dyDescent="0.3">
      <c r="A679">
        <v>21</v>
      </c>
      <c r="B679">
        <v>3</v>
      </c>
      <c r="C679">
        <v>1</v>
      </c>
      <c r="D679">
        <v>2</v>
      </c>
      <c r="E679" t="s">
        <v>9</v>
      </c>
      <c r="F679" t="s">
        <v>1169</v>
      </c>
      <c r="G679" t="s">
        <v>1170</v>
      </c>
      <c r="H679">
        <v>1.052</v>
      </c>
      <c r="I679" t="s">
        <v>12</v>
      </c>
    </row>
    <row r="680" spans="1:9" x14ac:dyDescent="0.3">
      <c r="A680">
        <v>21</v>
      </c>
      <c r="B680">
        <v>3</v>
      </c>
      <c r="C680">
        <v>1</v>
      </c>
      <c r="D680">
        <v>2</v>
      </c>
      <c r="E680" t="s">
        <v>9</v>
      </c>
      <c r="F680" t="s">
        <v>1171</v>
      </c>
      <c r="G680" t="s">
        <v>1172</v>
      </c>
      <c r="H680">
        <v>1.468</v>
      </c>
      <c r="I680" t="s">
        <v>12</v>
      </c>
    </row>
    <row r="681" spans="1:9" x14ac:dyDescent="0.3">
      <c r="A681">
        <v>21</v>
      </c>
      <c r="B681">
        <v>3</v>
      </c>
      <c r="C681">
        <v>1</v>
      </c>
      <c r="D681">
        <v>2</v>
      </c>
      <c r="E681" t="s">
        <v>9</v>
      </c>
      <c r="F681" t="s">
        <v>1173</v>
      </c>
      <c r="G681" t="s">
        <v>1174</v>
      </c>
      <c r="H681">
        <v>1.268</v>
      </c>
      <c r="I681" t="s">
        <v>12</v>
      </c>
    </row>
    <row r="682" spans="1:9" x14ac:dyDescent="0.3">
      <c r="A682">
        <v>21</v>
      </c>
      <c r="B682">
        <v>3</v>
      </c>
      <c r="C682">
        <v>1</v>
      </c>
      <c r="D682">
        <v>2</v>
      </c>
      <c r="E682" t="s">
        <v>22</v>
      </c>
      <c r="F682" t="s">
        <v>1175</v>
      </c>
      <c r="G682" t="s">
        <v>1176</v>
      </c>
      <c r="H682">
        <v>1.466</v>
      </c>
      <c r="I682" t="s">
        <v>21</v>
      </c>
    </row>
    <row r="683" spans="1:9" x14ac:dyDescent="0.3">
      <c r="A683">
        <v>21</v>
      </c>
      <c r="B683">
        <v>3</v>
      </c>
      <c r="C683">
        <v>1</v>
      </c>
      <c r="D683">
        <v>2</v>
      </c>
      <c r="E683" t="s">
        <v>19</v>
      </c>
      <c r="F683" t="s">
        <v>1177</v>
      </c>
      <c r="I683" t="s">
        <v>21</v>
      </c>
    </row>
    <row r="684" spans="1:9" x14ac:dyDescent="0.3">
      <c r="A684">
        <v>21</v>
      </c>
      <c r="B684">
        <v>3</v>
      </c>
      <c r="C684">
        <v>1</v>
      </c>
      <c r="D684">
        <v>2</v>
      </c>
      <c r="E684" t="s">
        <v>19</v>
      </c>
      <c r="F684" t="s">
        <v>1178</v>
      </c>
      <c r="I684" t="s">
        <v>21</v>
      </c>
    </row>
    <row r="685" spans="1:9" x14ac:dyDescent="0.3">
      <c r="A685">
        <v>21</v>
      </c>
      <c r="B685">
        <v>3</v>
      </c>
      <c r="C685">
        <v>1</v>
      </c>
      <c r="D685">
        <v>2</v>
      </c>
      <c r="E685" t="s">
        <v>19</v>
      </c>
      <c r="F685" t="s">
        <v>1179</v>
      </c>
      <c r="I685" t="s">
        <v>21</v>
      </c>
    </row>
    <row r="686" spans="1:9" x14ac:dyDescent="0.3">
      <c r="A686">
        <v>21</v>
      </c>
      <c r="B686">
        <v>3</v>
      </c>
      <c r="C686">
        <v>1</v>
      </c>
      <c r="D686">
        <v>3</v>
      </c>
      <c r="E686" t="s">
        <v>9</v>
      </c>
      <c r="F686" t="s">
        <v>1180</v>
      </c>
      <c r="G686" t="s">
        <v>1181</v>
      </c>
      <c r="H686">
        <v>1.3069999999999999</v>
      </c>
      <c r="I686" t="s">
        <v>12</v>
      </c>
    </row>
    <row r="687" spans="1:9" x14ac:dyDescent="0.3">
      <c r="A687">
        <v>21</v>
      </c>
      <c r="B687">
        <v>3</v>
      </c>
      <c r="C687">
        <v>1</v>
      </c>
      <c r="D687">
        <v>3</v>
      </c>
      <c r="E687" t="s">
        <v>9</v>
      </c>
      <c r="F687" t="s">
        <v>1182</v>
      </c>
      <c r="G687" t="s">
        <v>1183</v>
      </c>
      <c r="H687">
        <v>1.7949999999999999</v>
      </c>
      <c r="I687" t="s">
        <v>12</v>
      </c>
    </row>
    <row r="688" spans="1:9" x14ac:dyDescent="0.3">
      <c r="A688">
        <v>21</v>
      </c>
      <c r="B688">
        <v>3</v>
      </c>
      <c r="C688">
        <v>1</v>
      </c>
      <c r="D688">
        <v>3</v>
      </c>
      <c r="E688" t="s">
        <v>22</v>
      </c>
      <c r="F688" t="s">
        <v>1184</v>
      </c>
      <c r="G688" t="s">
        <v>1185</v>
      </c>
      <c r="H688">
        <v>1.3009999999999999</v>
      </c>
      <c r="I688" t="s">
        <v>21</v>
      </c>
    </row>
    <row r="689" spans="1:9" x14ac:dyDescent="0.3">
      <c r="A689">
        <v>21</v>
      </c>
      <c r="B689">
        <v>3</v>
      </c>
      <c r="C689">
        <v>1</v>
      </c>
      <c r="D689">
        <v>3</v>
      </c>
      <c r="E689" t="s">
        <v>9</v>
      </c>
      <c r="F689" t="s">
        <v>1186</v>
      </c>
      <c r="G689" t="s">
        <v>1187</v>
      </c>
      <c r="H689">
        <v>1.1850000000000001</v>
      </c>
      <c r="I689" t="s">
        <v>12</v>
      </c>
    </row>
    <row r="690" spans="1:9" x14ac:dyDescent="0.3">
      <c r="A690">
        <v>21</v>
      </c>
      <c r="B690">
        <v>3</v>
      </c>
      <c r="C690">
        <v>1</v>
      </c>
      <c r="D690">
        <v>3</v>
      </c>
      <c r="E690" t="s">
        <v>22</v>
      </c>
      <c r="F690" t="s">
        <v>1188</v>
      </c>
      <c r="G690" t="s">
        <v>1189</v>
      </c>
      <c r="H690">
        <v>1.635</v>
      </c>
      <c r="I690" t="s">
        <v>21</v>
      </c>
    </row>
    <row r="691" spans="1:9" x14ac:dyDescent="0.3">
      <c r="A691">
        <v>21</v>
      </c>
      <c r="B691">
        <v>3</v>
      </c>
      <c r="C691">
        <v>1</v>
      </c>
      <c r="D691">
        <v>3</v>
      </c>
      <c r="E691" t="s">
        <v>19</v>
      </c>
      <c r="F691" t="s">
        <v>1190</v>
      </c>
      <c r="I691" t="s">
        <v>21</v>
      </c>
    </row>
    <row r="692" spans="1:9" x14ac:dyDescent="0.3">
      <c r="A692">
        <v>21</v>
      </c>
      <c r="B692">
        <v>3</v>
      </c>
      <c r="C692">
        <v>1</v>
      </c>
      <c r="D692">
        <v>3</v>
      </c>
      <c r="E692" t="s">
        <v>9</v>
      </c>
      <c r="F692" t="s">
        <v>1191</v>
      </c>
      <c r="G692" t="s">
        <v>1192</v>
      </c>
      <c r="H692">
        <v>2.1669999999999998</v>
      </c>
      <c r="I692" t="s">
        <v>12</v>
      </c>
    </row>
    <row r="693" spans="1:9" x14ac:dyDescent="0.3">
      <c r="A693">
        <v>21</v>
      </c>
      <c r="B693">
        <v>3</v>
      </c>
      <c r="C693">
        <v>1</v>
      </c>
      <c r="D693">
        <v>3</v>
      </c>
      <c r="E693" t="s">
        <v>19</v>
      </c>
      <c r="F693" t="s">
        <v>1193</v>
      </c>
      <c r="I693" t="s">
        <v>21</v>
      </c>
    </row>
    <row r="694" spans="1:9" x14ac:dyDescent="0.3">
      <c r="A694">
        <v>21</v>
      </c>
      <c r="B694">
        <v>3</v>
      </c>
      <c r="C694">
        <v>1</v>
      </c>
      <c r="D694">
        <v>3</v>
      </c>
      <c r="E694" t="s">
        <v>19</v>
      </c>
      <c r="F694" t="s">
        <v>1194</v>
      </c>
      <c r="I694" t="s">
        <v>21</v>
      </c>
    </row>
    <row r="695" spans="1:9" x14ac:dyDescent="0.3">
      <c r="A695">
        <v>21</v>
      </c>
      <c r="B695">
        <v>3</v>
      </c>
      <c r="C695">
        <v>1</v>
      </c>
      <c r="D695">
        <v>3</v>
      </c>
      <c r="E695" t="s">
        <v>19</v>
      </c>
      <c r="F695" t="s">
        <v>1195</v>
      </c>
      <c r="I695" t="s">
        <v>21</v>
      </c>
    </row>
    <row r="696" spans="1:9" x14ac:dyDescent="0.3">
      <c r="A696">
        <v>21</v>
      </c>
      <c r="B696">
        <v>3</v>
      </c>
      <c r="C696">
        <v>2</v>
      </c>
      <c r="D696">
        <v>1</v>
      </c>
      <c r="E696" t="s">
        <v>9</v>
      </c>
      <c r="F696" t="s">
        <v>1196</v>
      </c>
      <c r="G696" t="s">
        <v>1197</v>
      </c>
      <c r="H696">
        <v>4.6559999999999997</v>
      </c>
      <c r="I696" t="s">
        <v>12</v>
      </c>
    </row>
    <row r="697" spans="1:9" x14ac:dyDescent="0.3">
      <c r="A697">
        <v>21</v>
      </c>
      <c r="B697">
        <v>3</v>
      </c>
      <c r="C697">
        <v>2</v>
      </c>
      <c r="D697">
        <v>1</v>
      </c>
      <c r="E697" t="s">
        <v>9</v>
      </c>
      <c r="F697" t="s">
        <v>1198</v>
      </c>
      <c r="G697" t="s">
        <v>1199</v>
      </c>
      <c r="H697">
        <v>1.3009999999999999</v>
      </c>
      <c r="I697" t="s">
        <v>12</v>
      </c>
    </row>
    <row r="698" spans="1:9" x14ac:dyDescent="0.3">
      <c r="A698">
        <v>21</v>
      </c>
      <c r="B698">
        <v>3</v>
      </c>
      <c r="C698">
        <v>2</v>
      </c>
      <c r="D698">
        <v>1</v>
      </c>
      <c r="E698" t="s">
        <v>9</v>
      </c>
      <c r="F698" t="s">
        <v>1200</v>
      </c>
      <c r="G698" t="s">
        <v>1201</v>
      </c>
      <c r="H698">
        <v>3.6509999999999998</v>
      </c>
      <c r="I698" t="s">
        <v>12</v>
      </c>
    </row>
    <row r="699" spans="1:9" x14ac:dyDescent="0.3">
      <c r="A699">
        <v>21</v>
      </c>
      <c r="B699">
        <v>3</v>
      </c>
      <c r="C699">
        <v>2</v>
      </c>
      <c r="D699">
        <v>1</v>
      </c>
      <c r="E699" t="s">
        <v>19</v>
      </c>
      <c r="F699" t="s">
        <v>1202</v>
      </c>
      <c r="I699" t="s">
        <v>21</v>
      </c>
    </row>
    <row r="700" spans="1:9" x14ac:dyDescent="0.3">
      <c r="A700">
        <v>21</v>
      </c>
      <c r="B700">
        <v>3</v>
      </c>
      <c r="C700">
        <v>2</v>
      </c>
      <c r="D700">
        <v>1</v>
      </c>
      <c r="E700" t="s">
        <v>9</v>
      </c>
      <c r="F700" t="s">
        <v>1203</v>
      </c>
      <c r="G700" t="s">
        <v>1204</v>
      </c>
      <c r="H700">
        <v>2.0960000000000001</v>
      </c>
      <c r="I700" t="s">
        <v>12</v>
      </c>
    </row>
    <row r="701" spans="1:9" x14ac:dyDescent="0.3">
      <c r="A701">
        <v>21</v>
      </c>
      <c r="B701">
        <v>3</v>
      </c>
      <c r="C701">
        <v>2</v>
      </c>
      <c r="D701">
        <v>1</v>
      </c>
      <c r="E701" t="s">
        <v>22</v>
      </c>
      <c r="F701" t="s">
        <v>1205</v>
      </c>
      <c r="G701" t="s">
        <v>1206</v>
      </c>
      <c r="H701">
        <v>1.601</v>
      </c>
      <c r="I701" t="s">
        <v>21</v>
      </c>
    </row>
    <row r="702" spans="1:9" x14ac:dyDescent="0.3">
      <c r="A702">
        <v>21</v>
      </c>
      <c r="B702">
        <v>3</v>
      </c>
      <c r="C702">
        <v>2</v>
      </c>
      <c r="D702">
        <v>1</v>
      </c>
      <c r="E702" t="s">
        <v>22</v>
      </c>
      <c r="F702" t="s">
        <v>1207</v>
      </c>
      <c r="G702" t="s">
        <v>1208</v>
      </c>
      <c r="H702">
        <v>1.234</v>
      </c>
      <c r="I702" t="s">
        <v>21</v>
      </c>
    </row>
    <row r="703" spans="1:9" x14ac:dyDescent="0.3">
      <c r="A703">
        <v>21</v>
      </c>
      <c r="B703">
        <v>3</v>
      </c>
      <c r="C703">
        <v>2</v>
      </c>
      <c r="D703">
        <v>1</v>
      </c>
      <c r="E703" t="s">
        <v>22</v>
      </c>
      <c r="F703" t="s">
        <v>1209</v>
      </c>
      <c r="H703" t="s">
        <v>81</v>
      </c>
      <c r="I703" t="s">
        <v>34</v>
      </c>
    </row>
    <row r="704" spans="1:9" x14ac:dyDescent="0.3">
      <c r="A704">
        <v>21</v>
      </c>
      <c r="B704">
        <v>3</v>
      </c>
      <c r="C704">
        <v>2</v>
      </c>
      <c r="D704">
        <v>1</v>
      </c>
      <c r="E704" t="s">
        <v>19</v>
      </c>
      <c r="F704" t="s">
        <v>1210</v>
      </c>
      <c r="I704" t="s">
        <v>21</v>
      </c>
    </row>
    <row r="705" spans="1:9" x14ac:dyDescent="0.3">
      <c r="A705">
        <v>21</v>
      </c>
      <c r="B705">
        <v>3</v>
      </c>
      <c r="C705">
        <v>2</v>
      </c>
      <c r="D705">
        <v>2</v>
      </c>
      <c r="E705" t="s">
        <v>9</v>
      </c>
      <c r="F705" t="s">
        <v>1211</v>
      </c>
      <c r="G705" t="s">
        <v>1212</v>
      </c>
      <c r="H705">
        <v>1.2849999999999999</v>
      </c>
      <c r="I705" t="s">
        <v>12</v>
      </c>
    </row>
    <row r="706" spans="1:9" x14ac:dyDescent="0.3">
      <c r="A706">
        <v>21</v>
      </c>
      <c r="B706">
        <v>3</v>
      </c>
      <c r="C706">
        <v>2</v>
      </c>
      <c r="D706">
        <v>2</v>
      </c>
      <c r="E706" t="s">
        <v>9</v>
      </c>
      <c r="F706" t="s">
        <v>1213</v>
      </c>
      <c r="G706" t="s">
        <v>1214</v>
      </c>
      <c r="H706">
        <v>1.018</v>
      </c>
      <c r="I706" t="s">
        <v>12</v>
      </c>
    </row>
    <row r="707" spans="1:9" x14ac:dyDescent="0.3">
      <c r="A707">
        <v>21</v>
      </c>
      <c r="B707">
        <v>3</v>
      </c>
      <c r="C707">
        <v>2</v>
      </c>
      <c r="D707">
        <v>2</v>
      </c>
      <c r="E707" t="s">
        <v>9</v>
      </c>
      <c r="F707" t="s">
        <v>1215</v>
      </c>
      <c r="G707" t="s">
        <v>1216</v>
      </c>
      <c r="H707">
        <v>1.268</v>
      </c>
      <c r="I707" t="s">
        <v>12</v>
      </c>
    </row>
    <row r="708" spans="1:9" x14ac:dyDescent="0.3">
      <c r="A708">
        <v>21</v>
      </c>
      <c r="B708">
        <v>3</v>
      </c>
      <c r="C708">
        <v>2</v>
      </c>
      <c r="D708">
        <v>2</v>
      </c>
      <c r="E708" t="s">
        <v>19</v>
      </c>
      <c r="F708" t="s">
        <v>1217</v>
      </c>
      <c r="I708" t="s">
        <v>21</v>
      </c>
    </row>
    <row r="709" spans="1:9" x14ac:dyDescent="0.3">
      <c r="A709">
        <v>21</v>
      </c>
      <c r="B709">
        <v>3</v>
      </c>
      <c r="C709">
        <v>2</v>
      </c>
      <c r="D709">
        <v>2</v>
      </c>
      <c r="E709" t="s">
        <v>9</v>
      </c>
      <c r="F709" t="s">
        <v>1218</v>
      </c>
      <c r="G709" t="s">
        <v>1219</v>
      </c>
      <c r="H709">
        <v>4.4669999999999996</v>
      </c>
      <c r="I709" t="s">
        <v>12</v>
      </c>
    </row>
    <row r="710" spans="1:9" x14ac:dyDescent="0.3">
      <c r="A710">
        <v>21</v>
      </c>
      <c r="B710">
        <v>3</v>
      </c>
      <c r="C710">
        <v>2</v>
      </c>
      <c r="D710">
        <v>2</v>
      </c>
      <c r="E710" t="s">
        <v>22</v>
      </c>
      <c r="F710" t="s">
        <v>1220</v>
      </c>
      <c r="G710" t="s">
        <v>1221</v>
      </c>
      <c r="H710">
        <v>2.4</v>
      </c>
      <c r="I710" t="s">
        <v>21</v>
      </c>
    </row>
    <row r="711" spans="1:9" x14ac:dyDescent="0.3">
      <c r="A711">
        <v>21</v>
      </c>
      <c r="B711">
        <v>3</v>
      </c>
      <c r="C711">
        <v>2</v>
      </c>
      <c r="D711">
        <v>2</v>
      </c>
      <c r="E711" t="s">
        <v>22</v>
      </c>
      <c r="F711" t="s">
        <v>1222</v>
      </c>
      <c r="G711" t="s">
        <v>1223</v>
      </c>
      <c r="H711">
        <v>2.3340000000000001</v>
      </c>
      <c r="I711" t="s">
        <v>21</v>
      </c>
    </row>
    <row r="712" spans="1:9" x14ac:dyDescent="0.3">
      <c r="A712">
        <v>21</v>
      </c>
      <c r="B712">
        <v>3</v>
      </c>
      <c r="C712">
        <v>2</v>
      </c>
      <c r="D712">
        <v>2</v>
      </c>
      <c r="E712" t="s">
        <v>22</v>
      </c>
      <c r="F712" t="s">
        <v>1224</v>
      </c>
      <c r="G712" t="s">
        <v>1225</v>
      </c>
      <c r="H712">
        <v>2.2669999999999999</v>
      </c>
      <c r="I712" t="s">
        <v>21</v>
      </c>
    </row>
    <row r="713" spans="1:9" x14ac:dyDescent="0.3">
      <c r="A713">
        <v>21</v>
      </c>
      <c r="B713">
        <v>3</v>
      </c>
      <c r="C713">
        <v>2</v>
      </c>
      <c r="D713">
        <v>2</v>
      </c>
      <c r="E713" t="s">
        <v>19</v>
      </c>
      <c r="F713" t="s">
        <v>1226</v>
      </c>
      <c r="I713" t="s">
        <v>34</v>
      </c>
    </row>
    <row r="714" spans="1:9" x14ac:dyDescent="0.3">
      <c r="A714">
        <v>21</v>
      </c>
      <c r="B714">
        <v>3</v>
      </c>
      <c r="C714">
        <v>2</v>
      </c>
      <c r="D714">
        <v>3</v>
      </c>
      <c r="E714" t="s">
        <v>9</v>
      </c>
      <c r="F714" t="s">
        <v>1227</v>
      </c>
      <c r="G714" t="s">
        <v>1228</v>
      </c>
      <c r="H714">
        <v>1.581</v>
      </c>
      <c r="I714" t="s">
        <v>12</v>
      </c>
    </row>
    <row r="715" spans="1:9" x14ac:dyDescent="0.3">
      <c r="A715">
        <v>21</v>
      </c>
      <c r="B715">
        <v>3</v>
      </c>
      <c r="C715">
        <v>2</v>
      </c>
      <c r="D715">
        <v>3</v>
      </c>
      <c r="E715" t="s">
        <v>9</v>
      </c>
      <c r="F715" t="s">
        <v>1229</v>
      </c>
      <c r="G715" t="s">
        <v>1230</v>
      </c>
      <c r="H715">
        <v>1.4239999999999999</v>
      </c>
      <c r="I715" t="s">
        <v>12</v>
      </c>
    </row>
    <row r="716" spans="1:9" x14ac:dyDescent="0.3">
      <c r="A716">
        <v>21</v>
      </c>
      <c r="B716">
        <v>3</v>
      </c>
      <c r="C716">
        <v>2</v>
      </c>
      <c r="D716">
        <v>3</v>
      </c>
      <c r="E716" t="s">
        <v>9</v>
      </c>
      <c r="F716" t="s">
        <v>1231</v>
      </c>
      <c r="G716" t="s">
        <v>1232</v>
      </c>
      <c r="H716">
        <v>1.8009999999999999</v>
      </c>
      <c r="I716" t="s">
        <v>12</v>
      </c>
    </row>
    <row r="717" spans="1:9" x14ac:dyDescent="0.3">
      <c r="A717">
        <v>21</v>
      </c>
      <c r="B717">
        <v>3</v>
      </c>
      <c r="C717">
        <v>2</v>
      </c>
      <c r="D717">
        <v>3</v>
      </c>
      <c r="E717" t="s">
        <v>22</v>
      </c>
      <c r="F717" t="s">
        <v>1233</v>
      </c>
      <c r="G717" t="s">
        <v>1234</v>
      </c>
      <c r="H717">
        <v>0.70099999999999996</v>
      </c>
      <c r="I717" t="s">
        <v>21</v>
      </c>
    </row>
    <row r="718" spans="1:9" x14ac:dyDescent="0.3">
      <c r="A718">
        <v>21</v>
      </c>
      <c r="B718">
        <v>3</v>
      </c>
      <c r="C718">
        <v>2</v>
      </c>
      <c r="D718">
        <v>3</v>
      </c>
      <c r="E718" t="s">
        <v>9</v>
      </c>
      <c r="F718" t="s">
        <v>1235</v>
      </c>
      <c r="G718" t="s">
        <v>1236</v>
      </c>
      <c r="H718">
        <v>1.2829999999999999</v>
      </c>
      <c r="I718" t="s">
        <v>12</v>
      </c>
    </row>
    <row r="719" spans="1:9" x14ac:dyDescent="0.3">
      <c r="A719">
        <v>21</v>
      </c>
      <c r="B719">
        <v>3</v>
      </c>
      <c r="C719">
        <v>2</v>
      </c>
      <c r="D719">
        <v>3</v>
      </c>
      <c r="E719" t="s">
        <v>22</v>
      </c>
      <c r="F719" t="s">
        <v>1237</v>
      </c>
      <c r="G719" t="s">
        <v>1238</v>
      </c>
      <c r="H719">
        <v>1.2010000000000001</v>
      </c>
      <c r="I719" t="s">
        <v>21</v>
      </c>
    </row>
    <row r="720" spans="1:9" x14ac:dyDescent="0.3">
      <c r="A720">
        <v>21</v>
      </c>
      <c r="B720">
        <v>3</v>
      </c>
      <c r="C720">
        <v>2</v>
      </c>
      <c r="D720">
        <v>3</v>
      </c>
      <c r="E720" t="s">
        <v>22</v>
      </c>
      <c r="F720" t="s">
        <v>1239</v>
      </c>
      <c r="G720" t="s">
        <v>1240</v>
      </c>
      <c r="H720">
        <v>2.2679999999999998</v>
      </c>
      <c r="I720" t="s">
        <v>21</v>
      </c>
    </row>
    <row r="721" spans="1:9" x14ac:dyDescent="0.3">
      <c r="A721">
        <v>21</v>
      </c>
      <c r="B721">
        <v>3</v>
      </c>
      <c r="C721">
        <v>2</v>
      </c>
      <c r="D721">
        <v>3</v>
      </c>
      <c r="E721" t="s">
        <v>19</v>
      </c>
      <c r="F721" t="s">
        <v>1241</v>
      </c>
      <c r="I721" t="s">
        <v>21</v>
      </c>
    </row>
    <row r="722" spans="1:9" x14ac:dyDescent="0.3">
      <c r="A722">
        <v>21</v>
      </c>
      <c r="B722">
        <v>3</v>
      </c>
      <c r="C722">
        <v>2</v>
      </c>
      <c r="D722">
        <v>3</v>
      </c>
      <c r="E722" t="s">
        <v>19</v>
      </c>
      <c r="F722" t="s">
        <v>1242</v>
      </c>
      <c r="I722" t="s">
        <v>21</v>
      </c>
    </row>
    <row r="723" spans="1:9" x14ac:dyDescent="0.3">
      <c r="A723">
        <v>21</v>
      </c>
      <c r="B723">
        <v>3</v>
      </c>
      <c r="C723">
        <v>3</v>
      </c>
      <c r="D723">
        <v>1</v>
      </c>
      <c r="E723" t="s">
        <v>22</v>
      </c>
      <c r="F723" t="s">
        <v>1243</v>
      </c>
      <c r="G723" t="s">
        <v>1244</v>
      </c>
      <c r="H723">
        <v>2.9580000000000002</v>
      </c>
      <c r="I723" t="s">
        <v>21</v>
      </c>
    </row>
    <row r="724" spans="1:9" x14ac:dyDescent="0.3">
      <c r="A724">
        <v>21</v>
      </c>
      <c r="B724">
        <v>3</v>
      </c>
      <c r="C724">
        <v>3</v>
      </c>
      <c r="D724">
        <v>2</v>
      </c>
      <c r="E724" t="s">
        <v>9</v>
      </c>
      <c r="F724" t="s">
        <v>1245</v>
      </c>
      <c r="G724" t="s">
        <v>1246</v>
      </c>
      <c r="H724">
        <v>1.619</v>
      </c>
      <c r="I724" t="s">
        <v>12</v>
      </c>
    </row>
    <row r="725" spans="1:9" x14ac:dyDescent="0.3">
      <c r="A725">
        <v>21</v>
      </c>
      <c r="B725">
        <v>3</v>
      </c>
      <c r="C725">
        <v>3</v>
      </c>
      <c r="D725">
        <v>2</v>
      </c>
      <c r="E725" t="s">
        <v>9</v>
      </c>
      <c r="F725" t="s">
        <v>1247</v>
      </c>
      <c r="G725" t="s">
        <v>1248</v>
      </c>
      <c r="H725">
        <v>1.419</v>
      </c>
      <c r="I725" t="s">
        <v>12</v>
      </c>
    </row>
    <row r="726" spans="1:9" x14ac:dyDescent="0.3">
      <c r="A726">
        <v>21</v>
      </c>
      <c r="B726">
        <v>3</v>
      </c>
      <c r="C726">
        <v>3</v>
      </c>
      <c r="D726">
        <v>2</v>
      </c>
      <c r="E726" t="s">
        <v>9</v>
      </c>
      <c r="F726" t="s">
        <v>1249</v>
      </c>
      <c r="G726" t="s">
        <v>1250</v>
      </c>
      <c r="H726">
        <v>2.073</v>
      </c>
      <c r="I726" t="s">
        <v>12</v>
      </c>
    </row>
    <row r="727" spans="1:9" x14ac:dyDescent="0.3">
      <c r="A727">
        <v>21</v>
      </c>
      <c r="B727">
        <v>3</v>
      </c>
      <c r="C727">
        <v>3</v>
      </c>
      <c r="D727">
        <v>2</v>
      </c>
      <c r="E727" t="s">
        <v>22</v>
      </c>
      <c r="F727" t="s">
        <v>1251</v>
      </c>
      <c r="G727" t="s">
        <v>1252</v>
      </c>
      <c r="H727">
        <v>1.901</v>
      </c>
      <c r="I727" t="s">
        <v>21</v>
      </c>
    </row>
    <row r="728" spans="1:9" x14ac:dyDescent="0.3">
      <c r="A728">
        <v>21</v>
      </c>
      <c r="B728">
        <v>3</v>
      </c>
      <c r="C728">
        <v>3</v>
      </c>
      <c r="D728">
        <v>2</v>
      </c>
      <c r="E728" t="s">
        <v>9</v>
      </c>
      <c r="F728" t="s">
        <v>1253</v>
      </c>
      <c r="G728" t="s">
        <v>1254</v>
      </c>
      <c r="H728">
        <v>1.2330000000000001</v>
      </c>
      <c r="I728" t="s">
        <v>12</v>
      </c>
    </row>
    <row r="729" spans="1:9" x14ac:dyDescent="0.3">
      <c r="A729">
        <v>21</v>
      </c>
      <c r="B729">
        <v>3</v>
      </c>
      <c r="C729">
        <v>3</v>
      </c>
      <c r="D729">
        <v>2</v>
      </c>
      <c r="E729" t="s">
        <v>22</v>
      </c>
      <c r="F729" t="s">
        <v>1255</v>
      </c>
      <c r="G729" t="s">
        <v>1256</v>
      </c>
      <c r="H729">
        <v>1.5</v>
      </c>
      <c r="I729" t="s">
        <v>21</v>
      </c>
    </row>
    <row r="730" spans="1:9" x14ac:dyDescent="0.3">
      <c r="A730">
        <v>21</v>
      </c>
      <c r="B730">
        <v>3</v>
      </c>
      <c r="C730">
        <v>3</v>
      </c>
      <c r="D730">
        <v>2</v>
      </c>
      <c r="E730" t="s">
        <v>19</v>
      </c>
      <c r="F730" t="s">
        <v>1257</v>
      </c>
      <c r="I730" t="s">
        <v>21</v>
      </c>
    </row>
    <row r="731" spans="1:9" x14ac:dyDescent="0.3">
      <c r="A731">
        <v>21</v>
      </c>
      <c r="B731">
        <v>3</v>
      </c>
      <c r="C731">
        <v>3</v>
      </c>
      <c r="D731">
        <v>2</v>
      </c>
      <c r="E731" t="s">
        <v>19</v>
      </c>
      <c r="F731" t="s">
        <v>1258</v>
      </c>
      <c r="I731" t="s">
        <v>21</v>
      </c>
    </row>
    <row r="732" spans="1:9" x14ac:dyDescent="0.3">
      <c r="A732">
        <v>21</v>
      </c>
      <c r="B732">
        <v>3</v>
      </c>
      <c r="C732">
        <v>3</v>
      </c>
      <c r="D732">
        <v>2</v>
      </c>
      <c r="E732" t="s">
        <v>19</v>
      </c>
      <c r="F732" t="s">
        <v>1259</v>
      </c>
      <c r="I732" t="s">
        <v>21</v>
      </c>
    </row>
    <row r="733" spans="1:9" x14ac:dyDescent="0.3">
      <c r="A733">
        <v>21</v>
      </c>
      <c r="B733">
        <v>3</v>
      </c>
      <c r="C733">
        <v>3</v>
      </c>
      <c r="D733">
        <v>3</v>
      </c>
      <c r="E733" t="s">
        <v>9</v>
      </c>
      <c r="F733" t="s">
        <v>1260</v>
      </c>
      <c r="G733" t="s">
        <v>1261</v>
      </c>
      <c r="H733">
        <v>3.0510000000000002</v>
      </c>
      <c r="I733" t="s">
        <v>12</v>
      </c>
    </row>
    <row r="734" spans="1:9" x14ac:dyDescent="0.3">
      <c r="A734">
        <v>21</v>
      </c>
      <c r="B734">
        <v>3</v>
      </c>
      <c r="C734">
        <v>3</v>
      </c>
      <c r="D734">
        <v>4</v>
      </c>
      <c r="E734" t="s">
        <v>9</v>
      </c>
      <c r="F734" t="s">
        <v>1262</v>
      </c>
      <c r="G734" t="s">
        <v>1263</v>
      </c>
      <c r="H734">
        <v>1.7190000000000001</v>
      </c>
      <c r="I734" t="s">
        <v>12</v>
      </c>
    </row>
    <row r="735" spans="1:9" x14ac:dyDescent="0.3">
      <c r="A735">
        <v>21</v>
      </c>
      <c r="B735">
        <v>3</v>
      </c>
      <c r="C735">
        <v>3</v>
      </c>
      <c r="D735">
        <v>4</v>
      </c>
      <c r="E735" t="s">
        <v>9</v>
      </c>
      <c r="F735" t="s">
        <v>1264</v>
      </c>
      <c r="G735" t="s">
        <v>1265</v>
      </c>
      <c r="H735">
        <v>1.9570000000000001</v>
      </c>
      <c r="I735" t="s">
        <v>12</v>
      </c>
    </row>
    <row r="736" spans="1:9" x14ac:dyDescent="0.3">
      <c r="A736">
        <v>21</v>
      </c>
      <c r="B736">
        <v>3</v>
      </c>
      <c r="C736">
        <v>3</v>
      </c>
      <c r="D736">
        <v>4</v>
      </c>
      <c r="E736" t="s">
        <v>9</v>
      </c>
      <c r="F736" t="s">
        <v>1266</v>
      </c>
      <c r="G736" t="s">
        <v>1267</v>
      </c>
      <c r="H736">
        <v>1.534</v>
      </c>
      <c r="I736" t="s">
        <v>12</v>
      </c>
    </row>
    <row r="737" spans="1:9" x14ac:dyDescent="0.3">
      <c r="A737">
        <v>21</v>
      </c>
      <c r="B737">
        <v>3</v>
      </c>
      <c r="C737">
        <v>3</v>
      </c>
      <c r="D737">
        <v>4</v>
      </c>
      <c r="E737" t="s">
        <v>22</v>
      </c>
      <c r="F737" t="s">
        <v>1268</v>
      </c>
      <c r="G737" t="s">
        <v>1269</v>
      </c>
      <c r="H737">
        <v>3.367</v>
      </c>
      <c r="I737" t="s">
        <v>21</v>
      </c>
    </row>
    <row r="738" spans="1:9" x14ac:dyDescent="0.3">
      <c r="A738">
        <v>21</v>
      </c>
      <c r="B738">
        <v>3</v>
      </c>
      <c r="C738">
        <v>3</v>
      </c>
      <c r="D738">
        <v>4</v>
      </c>
      <c r="E738" t="s">
        <v>22</v>
      </c>
      <c r="F738" t="s">
        <v>1270</v>
      </c>
      <c r="G738" t="s">
        <v>1271</v>
      </c>
      <c r="H738">
        <v>1.401</v>
      </c>
      <c r="I738" t="s">
        <v>21</v>
      </c>
    </row>
    <row r="739" spans="1:9" x14ac:dyDescent="0.3">
      <c r="A739">
        <v>21</v>
      </c>
      <c r="B739">
        <v>3</v>
      </c>
      <c r="C739">
        <v>3</v>
      </c>
      <c r="D739">
        <v>4</v>
      </c>
      <c r="E739" t="s">
        <v>19</v>
      </c>
      <c r="F739" t="s">
        <v>1272</v>
      </c>
      <c r="I739" t="s">
        <v>34</v>
      </c>
    </row>
    <row r="740" spans="1:9" x14ac:dyDescent="0.3">
      <c r="A740">
        <v>21</v>
      </c>
      <c r="B740">
        <v>3</v>
      </c>
      <c r="C740">
        <v>3</v>
      </c>
      <c r="D740">
        <v>4</v>
      </c>
      <c r="E740" t="s">
        <v>19</v>
      </c>
      <c r="F740" t="s">
        <v>1273</v>
      </c>
      <c r="I740" t="s">
        <v>21</v>
      </c>
    </row>
    <row r="741" spans="1:9" x14ac:dyDescent="0.3">
      <c r="A741">
        <v>21</v>
      </c>
      <c r="B741">
        <v>3</v>
      </c>
      <c r="C741">
        <v>3</v>
      </c>
      <c r="D741">
        <v>5</v>
      </c>
      <c r="E741" t="s">
        <v>22</v>
      </c>
      <c r="F741" t="s">
        <v>1274</v>
      </c>
      <c r="G741" t="s">
        <v>1275</v>
      </c>
      <c r="H741">
        <v>2.1179999999999999</v>
      </c>
      <c r="I741" t="s">
        <v>21</v>
      </c>
    </row>
    <row r="742" spans="1:9" x14ac:dyDescent="0.3">
      <c r="A742">
        <v>21</v>
      </c>
      <c r="B742">
        <v>3</v>
      </c>
      <c r="C742">
        <v>3</v>
      </c>
      <c r="D742">
        <v>5</v>
      </c>
      <c r="E742" t="s">
        <v>9</v>
      </c>
      <c r="F742" t="s">
        <v>1276</v>
      </c>
      <c r="G742" t="s">
        <v>1277</v>
      </c>
      <c r="H742">
        <v>1.0860000000000001</v>
      </c>
      <c r="I742" t="s">
        <v>12</v>
      </c>
    </row>
    <row r="743" spans="1:9" x14ac:dyDescent="0.3">
      <c r="A743">
        <v>21</v>
      </c>
      <c r="B743">
        <v>3</v>
      </c>
      <c r="C743">
        <v>3</v>
      </c>
      <c r="D743">
        <v>5</v>
      </c>
      <c r="E743" t="s">
        <v>9</v>
      </c>
      <c r="F743" t="s">
        <v>1278</v>
      </c>
      <c r="G743" t="s">
        <v>1279</v>
      </c>
      <c r="H743">
        <v>3.0670000000000002</v>
      </c>
      <c r="I743" t="s">
        <v>12</v>
      </c>
    </row>
    <row r="744" spans="1:9" x14ac:dyDescent="0.3">
      <c r="A744">
        <v>21</v>
      </c>
      <c r="B744">
        <v>3</v>
      </c>
      <c r="C744">
        <v>3</v>
      </c>
      <c r="D744">
        <v>5</v>
      </c>
      <c r="E744" t="s">
        <v>19</v>
      </c>
      <c r="F744" t="s">
        <v>1280</v>
      </c>
      <c r="I744" t="s">
        <v>21</v>
      </c>
    </row>
    <row r="745" spans="1:9" x14ac:dyDescent="0.3">
      <c r="A745">
        <v>21</v>
      </c>
      <c r="B745">
        <v>3</v>
      </c>
      <c r="C745">
        <v>3</v>
      </c>
      <c r="D745">
        <v>5</v>
      </c>
      <c r="E745" t="s">
        <v>9</v>
      </c>
      <c r="F745" t="s">
        <v>1281</v>
      </c>
      <c r="G745" t="s">
        <v>1282</v>
      </c>
      <c r="H745">
        <v>3.1680000000000001</v>
      </c>
      <c r="I745" t="s">
        <v>12</v>
      </c>
    </row>
    <row r="746" spans="1:9" x14ac:dyDescent="0.3">
      <c r="A746">
        <v>21</v>
      </c>
      <c r="B746">
        <v>3</v>
      </c>
      <c r="C746">
        <v>3</v>
      </c>
      <c r="D746">
        <v>5</v>
      </c>
      <c r="E746" t="s">
        <v>9</v>
      </c>
      <c r="F746" t="s">
        <v>1283</v>
      </c>
      <c r="G746" t="s">
        <v>1284</v>
      </c>
      <c r="H746">
        <v>1.9670000000000001</v>
      </c>
      <c r="I746" t="s">
        <v>12</v>
      </c>
    </row>
    <row r="747" spans="1:9" x14ac:dyDescent="0.3">
      <c r="A747">
        <v>21</v>
      </c>
      <c r="B747">
        <v>3</v>
      </c>
      <c r="C747">
        <v>3</v>
      </c>
      <c r="D747">
        <v>5</v>
      </c>
      <c r="E747" t="s">
        <v>19</v>
      </c>
      <c r="F747" t="s">
        <v>1285</v>
      </c>
      <c r="I747" t="s">
        <v>21</v>
      </c>
    </row>
    <row r="748" spans="1:9" x14ac:dyDescent="0.3">
      <c r="A748">
        <v>21</v>
      </c>
      <c r="B748">
        <v>3</v>
      </c>
      <c r="C748">
        <v>3</v>
      </c>
      <c r="D748">
        <v>6</v>
      </c>
      <c r="E748" t="s">
        <v>9</v>
      </c>
      <c r="F748" t="s">
        <v>1286</v>
      </c>
      <c r="G748" t="s">
        <v>1287</v>
      </c>
      <c r="H748">
        <v>1.252</v>
      </c>
      <c r="I748" t="s">
        <v>12</v>
      </c>
    </row>
    <row r="749" spans="1:9" x14ac:dyDescent="0.3">
      <c r="A749">
        <v>21</v>
      </c>
      <c r="B749">
        <v>3</v>
      </c>
      <c r="C749">
        <v>3</v>
      </c>
      <c r="D749">
        <v>6</v>
      </c>
      <c r="E749" t="s">
        <v>9</v>
      </c>
      <c r="F749" t="s">
        <v>1288</v>
      </c>
      <c r="G749" t="s">
        <v>1289</v>
      </c>
      <c r="H749">
        <v>1.02</v>
      </c>
      <c r="I749" t="s">
        <v>12</v>
      </c>
    </row>
    <row r="750" spans="1:9" x14ac:dyDescent="0.3">
      <c r="A750">
        <v>21</v>
      </c>
      <c r="B750">
        <v>3</v>
      </c>
      <c r="C750">
        <v>3</v>
      </c>
      <c r="D750">
        <v>7</v>
      </c>
      <c r="E750" t="s">
        <v>9</v>
      </c>
      <c r="F750" t="s">
        <v>1290</v>
      </c>
      <c r="G750" t="s">
        <v>1291</v>
      </c>
      <c r="H750">
        <v>1.218</v>
      </c>
      <c r="I750" t="s">
        <v>12</v>
      </c>
    </row>
    <row r="751" spans="1:9" x14ac:dyDescent="0.3">
      <c r="A751">
        <v>21</v>
      </c>
      <c r="B751">
        <v>3</v>
      </c>
      <c r="C751">
        <v>3</v>
      </c>
      <c r="D751">
        <v>7</v>
      </c>
      <c r="E751" t="s">
        <v>9</v>
      </c>
      <c r="F751" t="s">
        <v>1292</v>
      </c>
      <c r="G751" t="s">
        <v>1293</v>
      </c>
      <c r="H751">
        <v>1.653</v>
      </c>
      <c r="I751" t="s">
        <v>12</v>
      </c>
    </row>
    <row r="752" spans="1:9" x14ac:dyDescent="0.3">
      <c r="A752">
        <v>21</v>
      </c>
      <c r="B752">
        <v>3</v>
      </c>
      <c r="C752">
        <v>3</v>
      </c>
      <c r="D752">
        <v>7</v>
      </c>
      <c r="E752" t="s">
        <v>22</v>
      </c>
      <c r="F752" t="s">
        <v>1294</v>
      </c>
      <c r="G752" t="s">
        <v>1295</v>
      </c>
      <c r="H752">
        <v>3.0680000000000001</v>
      </c>
      <c r="I752" t="s">
        <v>21</v>
      </c>
    </row>
    <row r="753" spans="1:9" x14ac:dyDescent="0.3">
      <c r="A753">
        <v>21</v>
      </c>
      <c r="B753">
        <v>3</v>
      </c>
      <c r="C753">
        <v>3</v>
      </c>
      <c r="D753">
        <v>7</v>
      </c>
      <c r="E753" t="s">
        <v>9</v>
      </c>
      <c r="F753" t="s">
        <v>1296</v>
      </c>
      <c r="G753" t="s">
        <v>1297</v>
      </c>
      <c r="H753">
        <v>2.6349999999999998</v>
      </c>
      <c r="I753" t="s">
        <v>12</v>
      </c>
    </row>
    <row r="754" spans="1:9" x14ac:dyDescent="0.3">
      <c r="A754">
        <v>21</v>
      </c>
      <c r="B754">
        <v>3</v>
      </c>
      <c r="C754">
        <v>3</v>
      </c>
      <c r="D754">
        <v>7</v>
      </c>
      <c r="E754" t="s">
        <v>19</v>
      </c>
      <c r="F754" t="s">
        <v>1298</v>
      </c>
      <c r="I754" t="s">
        <v>21</v>
      </c>
    </row>
    <row r="755" spans="1:9" x14ac:dyDescent="0.3">
      <c r="A755">
        <v>21</v>
      </c>
      <c r="B755">
        <v>3</v>
      </c>
      <c r="C755">
        <v>3</v>
      </c>
      <c r="D755">
        <v>7</v>
      </c>
      <c r="E755" t="s">
        <v>9</v>
      </c>
      <c r="F755" t="s">
        <v>1299</v>
      </c>
      <c r="G755" t="s">
        <v>1300</v>
      </c>
      <c r="H755">
        <v>1.7010000000000001</v>
      </c>
      <c r="I755" t="s">
        <v>12</v>
      </c>
    </row>
    <row r="756" spans="1:9" x14ac:dyDescent="0.3">
      <c r="A756">
        <v>21</v>
      </c>
      <c r="B756">
        <v>3</v>
      </c>
      <c r="C756">
        <v>3</v>
      </c>
      <c r="D756">
        <v>7</v>
      </c>
      <c r="E756" t="s">
        <v>22</v>
      </c>
      <c r="F756" t="s">
        <v>1301</v>
      </c>
      <c r="G756" t="s">
        <v>1302</v>
      </c>
      <c r="H756">
        <v>3.1680000000000001</v>
      </c>
      <c r="I756" t="s">
        <v>21</v>
      </c>
    </row>
    <row r="757" spans="1:9" x14ac:dyDescent="0.3">
      <c r="A757">
        <v>21</v>
      </c>
      <c r="B757">
        <v>3</v>
      </c>
      <c r="C757">
        <v>3</v>
      </c>
      <c r="D757">
        <v>7</v>
      </c>
      <c r="E757" t="s">
        <v>19</v>
      </c>
      <c r="F757" t="s">
        <v>1303</v>
      </c>
      <c r="I757" t="s">
        <v>34</v>
      </c>
    </row>
    <row r="758" spans="1:9" x14ac:dyDescent="0.3">
      <c r="A758">
        <v>21</v>
      </c>
      <c r="B758">
        <v>3</v>
      </c>
      <c r="C758">
        <v>3</v>
      </c>
      <c r="D758">
        <v>7</v>
      </c>
      <c r="E758" t="s">
        <v>19</v>
      </c>
      <c r="F758" t="s">
        <v>1304</v>
      </c>
      <c r="I758" t="s">
        <v>21</v>
      </c>
    </row>
    <row r="759" spans="1:9" x14ac:dyDescent="0.3">
      <c r="A759">
        <v>21</v>
      </c>
      <c r="B759">
        <v>3</v>
      </c>
      <c r="C759">
        <v>3</v>
      </c>
      <c r="D759">
        <v>8</v>
      </c>
      <c r="E759" t="s">
        <v>9</v>
      </c>
      <c r="F759" t="s">
        <v>1305</v>
      </c>
      <c r="G759" t="s">
        <v>1306</v>
      </c>
      <c r="H759">
        <v>1.119</v>
      </c>
      <c r="I759" t="s">
        <v>12</v>
      </c>
    </row>
    <row r="760" spans="1:9" x14ac:dyDescent="0.3">
      <c r="A760">
        <v>21</v>
      </c>
      <c r="B760">
        <v>3</v>
      </c>
      <c r="C760">
        <v>3</v>
      </c>
      <c r="D760">
        <v>9</v>
      </c>
      <c r="E760" t="s">
        <v>9</v>
      </c>
      <c r="F760" t="s">
        <v>1307</v>
      </c>
      <c r="G760" t="s">
        <v>1308</v>
      </c>
      <c r="H760">
        <v>1.8180000000000001</v>
      </c>
      <c r="I760" t="s">
        <v>12</v>
      </c>
    </row>
    <row r="761" spans="1:9" x14ac:dyDescent="0.3">
      <c r="A761">
        <v>21</v>
      </c>
      <c r="B761">
        <v>3</v>
      </c>
      <c r="C761">
        <v>3</v>
      </c>
      <c r="D761">
        <v>10</v>
      </c>
      <c r="E761" t="s">
        <v>9</v>
      </c>
      <c r="F761" t="s">
        <v>1309</v>
      </c>
      <c r="G761" t="s">
        <v>1310</v>
      </c>
      <c r="H761">
        <v>1.1850000000000001</v>
      </c>
      <c r="I761" t="s">
        <v>12</v>
      </c>
    </row>
    <row r="762" spans="1:9" x14ac:dyDescent="0.3">
      <c r="A762">
        <v>21</v>
      </c>
      <c r="B762">
        <v>3</v>
      </c>
      <c r="C762">
        <v>3</v>
      </c>
      <c r="D762">
        <v>10</v>
      </c>
      <c r="E762" t="s">
        <v>22</v>
      </c>
      <c r="F762" t="s">
        <v>1311</v>
      </c>
      <c r="G762" t="s">
        <v>1312</v>
      </c>
      <c r="H762">
        <v>1.2290000000000001</v>
      </c>
      <c r="I762" t="s">
        <v>21</v>
      </c>
    </row>
    <row r="763" spans="1:9" x14ac:dyDescent="0.3">
      <c r="A763">
        <v>21</v>
      </c>
      <c r="B763">
        <v>3</v>
      </c>
      <c r="C763">
        <v>3</v>
      </c>
      <c r="D763">
        <v>10</v>
      </c>
      <c r="E763" t="s">
        <v>9</v>
      </c>
      <c r="F763" t="s">
        <v>1313</v>
      </c>
      <c r="G763" t="s">
        <v>1314</v>
      </c>
      <c r="H763">
        <v>1.167</v>
      </c>
      <c r="I763" t="s">
        <v>12</v>
      </c>
    </row>
    <row r="764" spans="1:9" x14ac:dyDescent="0.3">
      <c r="A764">
        <v>21</v>
      </c>
      <c r="B764">
        <v>3</v>
      </c>
      <c r="C764">
        <v>3</v>
      </c>
      <c r="D764">
        <v>10</v>
      </c>
      <c r="E764" t="s">
        <v>22</v>
      </c>
      <c r="F764" t="s">
        <v>1315</v>
      </c>
      <c r="G764" t="s">
        <v>1316</v>
      </c>
      <c r="H764">
        <v>5.2679999999999998</v>
      </c>
      <c r="I764" t="s">
        <v>21</v>
      </c>
    </row>
    <row r="765" spans="1:9" x14ac:dyDescent="0.3">
      <c r="A765">
        <v>21</v>
      </c>
      <c r="B765">
        <v>3</v>
      </c>
      <c r="C765">
        <v>3</v>
      </c>
      <c r="D765">
        <v>10</v>
      </c>
      <c r="E765" t="s">
        <v>19</v>
      </c>
      <c r="F765" t="s">
        <v>1317</v>
      </c>
      <c r="I765" t="s">
        <v>34</v>
      </c>
    </row>
    <row r="766" spans="1:9" x14ac:dyDescent="0.3">
      <c r="A766">
        <v>21</v>
      </c>
      <c r="B766">
        <v>3</v>
      </c>
      <c r="C766">
        <v>3</v>
      </c>
      <c r="D766">
        <v>10</v>
      </c>
      <c r="E766" t="s">
        <v>9</v>
      </c>
      <c r="F766" t="s">
        <v>1318</v>
      </c>
      <c r="G766" t="s">
        <v>1319</v>
      </c>
      <c r="H766">
        <v>4.367</v>
      </c>
      <c r="I766" t="s">
        <v>12</v>
      </c>
    </row>
    <row r="767" spans="1:9" x14ac:dyDescent="0.3">
      <c r="A767">
        <v>21</v>
      </c>
      <c r="B767">
        <v>3</v>
      </c>
      <c r="C767">
        <v>3</v>
      </c>
      <c r="D767">
        <v>11</v>
      </c>
      <c r="E767" t="s">
        <v>22</v>
      </c>
      <c r="F767" t="s">
        <v>1320</v>
      </c>
      <c r="G767" t="s">
        <v>1321</v>
      </c>
      <c r="H767">
        <v>1.252</v>
      </c>
      <c r="I767" t="s">
        <v>21</v>
      </c>
    </row>
    <row r="768" spans="1:9" x14ac:dyDescent="0.3">
      <c r="A768">
        <v>21</v>
      </c>
      <c r="B768">
        <v>3</v>
      </c>
      <c r="C768">
        <v>3</v>
      </c>
      <c r="D768">
        <v>11</v>
      </c>
      <c r="E768" t="s">
        <v>9</v>
      </c>
      <c r="F768" t="s">
        <v>1322</v>
      </c>
      <c r="G768" t="s">
        <v>1323</v>
      </c>
      <c r="H768">
        <v>1.0669999999999999</v>
      </c>
      <c r="I768" t="s">
        <v>12</v>
      </c>
    </row>
    <row r="769" spans="1:9" x14ac:dyDescent="0.3">
      <c r="A769">
        <v>21</v>
      </c>
      <c r="B769">
        <v>3</v>
      </c>
      <c r="C769">
        <v>3</v>
      </c>
      <c r="D769">
        <v>11</v>
      </c>
      <c r="E769" t="s">
        <v>22</v>
      </c>
      <c r="F769" t="s">
        <v>1324</v>
      </c>
      <c r="G769" t="s">
        <v>1325</v>
      </c>
      <c r="H769">
        <v>1.0349999999999999</v>
      </c>
      <c r="I769" t="s">
        <v>21</v>
      </c>
    </row>
    <row r="770" spans="1:9" x14ac:dyDescent="0.3">
      <c r="A770">
        <v>21</v>
      </c>
      <c r="B770">
        <v>3</v>
      </c>
      <c r="C770">
        <v>3</v>
      </c>
      <c r="D770">
        <v>11</v>
      </c>
      <c r="E770" t="s">
        <v>19</v>
      </c>
      <c r="F770" t="s">
        <v>1326</v>
      </c>
      <c r="I770" t="s">
        <v>21</v>
      </c>
    </row>
    <row r="771" spans="1:9" x14ac:dyDescent="0.3">
      <c r="A771">
        <v>21</v>
      </c>
      <c r="B771">
        <v>3</v>
      </c>
      <c r="C771">
        <v>3</v>
      </c>
      <c r="D771">
        <v>11</v>
      </c>
      <c r="E771" t="s">
        <v>9</v>
      </c>
      <c r="F771" t="s">
        <v>1327</v>
      </c>
      <c r="G771" t="s">
        <v>1328</v>
      </c>
      <c r="H771">
        <v>1.1679999999999999</v>
      </c>
      <c r="I771" t="s">
        <v>12</v>
      </c>
    </row>
    <row r="772" spans="1:9" x14ac:dyDescent="0.3">
      <c r="A772">
        <v>21</v>
      </c>
      <c r="B772">
        <v>3</v>
      </c>
      <c r="C772">
        <v>3</v>
      </c>
      <c r="D772">
        <v>11</v>
      </c>
      <c r="E772" t="s">
        <v>9</v>
      </c>
      <c r="F772" t="s">
        <v>1329</v>
      </c>
      <c r="G772" t="s">
        <v>1330</v>
      </c>
      <c r="H772">
        <v>2.286</v>
      </c>
      <c r="I772" t="s">
        <v>12</v>
      </c>
    </row>
    <row r="773" spans="1:9" x14ac:dyDescent="0.3">
      <c r="A773">
        <v>21</v>
      </c>
      <c r="B773">
        <v>3</v>
      </c>
      <c r="C773">
        <v>3</v>
      </c>
      <c r="D773">
        <v>11</v>
      </c>
      <c r="E773" t="s">
        <v>19</v>
      </c>
      <c r="F773" t="s">
        <v>1331</v>
      </c>
      <c r="I773" t="s">
        <v>21</v>
      </c>
    </row>
    <row r="774" spans="1:9" x14ac:dyDescent="0.3">
      <c r="A774">
        <v>21</v>
      </c>
      <c r="B774">
        <v>3</v>
      </c>
      <c r="C774">
        <v>3</v>
      </c>
      <c r="D774">
        <v>11</v>
      </c>
      <c r="E774" t="s">
        <v>9</v>
      </c>
      <c r="F774" t="s">
        <v>1332</v>
      </c>
      <c r="G774" t="s">
        <v>1333</v>
      </c>
      <c r="H774">
        <v>2.601</v>
      </c>
      <c r="I774" t="s">
        <v>12</v>
      </c>
    </row>
    <row r="775" spans="1:9" x14ac:dyDescent="0.3">
      <c r="A775">
        <v>21</v>
      </c>
      <c r="B775">
        <v>3</v>
      </c>
      <c r="C775">
        <v>3</v>
      </c>
      <c r="D775">
        <v>11</v>
      </c>
      <c r="E775" t="s">
        <v>19</v>
      </c>
      <c r="F775" t="s">
        <v>1334</v>
      </c>
      <c r="I775" t="s">
        <v>21</v>
      </c>
    </row>
    <row r="776" spans="1:9" x14ac:dyDescent="0.3">
      <c r="A776">
        <v>22</v>
      </c>
      <c r="B776">
        <v>1</v>
      </c>
      <c r="C776">
        <v>1</v>
      </c>
      <c r="D776">
        <v>1</v>
      </c>
      <c r="E776" t="s">
        <v>9</v>
      </c>
      <c r="F776" t="s">
        <v>1335</v>
      </c>
      <c r="G776" t="s">
        <v>1336</v>
      </c>
      <c r="H776">
        <v>3.1190000000000002</v>
      </c>
      <c r="I776" t="s">
        <v>12</v>
      </c>
    </row>
    <row r="777" spans="1:9" x14ac:dyDescent="0.3">
      <c r="A777">
        <v>22</v>
      </c>
      <c r="B777">
        <v>1</v>
      </c>
      <c r="C777">
        <v>1</v>
      </c>
      <c r="D777">
        <v>2</v>
      </c>
      <c r="E777" t="s">
        <v>9</v>
      </c>
      <c r="F777" t="s">
        <v>1337</v>
      </c>
      <c r="G777" t="s">
        <v>1338</v>
      </c>
      <c r="H777">
        <v>3.7229999999999999</v>
      </c>
      <c r="I777" t="s">
        <v>12</v>
      </c>
    </row>
    <row r="778" spans="1:9" x14ac:dyDescent="0.3">
      <c r="A778">
        <v>22</v>
      </c>
      <c r="B778">
        <v>1</v>
      </c>
      <c r="C778">
        <v>2</v>
      </c>
      <c r="D778">
        <v>1</v>
      </c>
      <c r="E778" t="s">
        <v>9</v>
      </c>
      <c r="F778" t="s">
        <v>1339</v>
      </c>
      <c r="G778" t="s">
        <v>1340</v>
      </c>
      <c r="H778">
        <v>3.9529999999999998</v>
      </c>
      <c r="I778" t="s">
        <v>12</v>
      </c>
    </row>
    <row r="779" spans="1:9" x14ac:dyDescent="0.3">
      <c r="A779">
        <v>22</v>
      </c>
      <c r="B779">
        <v>1</v>
      </c>
      <c r="C779">
        <v>2</v>
      </c>
      <c r="D779">
        <v>1</v>
      </c>
      <c r="E779" t="s">
        <v>19</v>
      </c>
      <c r="F779" t="s">
        <v>1341</v>
      </c>
      <c r="I779" t="s">
        <v>21</v>
      </c>
    </row>
    <row r="780" spans="1:9" x14ac:dyDescent="0.3">
      <c r="A780">
        <v>22</v>
      </c>
      <c r="B780">
        <v>1</v>
      </c>
      <c r="C780">
        <v>2</v>
      </c>
      <c r="D780">
        <v>1</v>
      </c>
      <c r="E780" t="s">
        <v>9</v>
      </c>
      <c r="F780" t="s">
        <v>1342</v>
      </c>
      <c r="G780" t="s">
        <v>1343</v>
      </c>
      <c r="H780">
        <v>1.5529999999999999</v>
      </c>
      <c r="I780" t="s">
        <v>12</v>
      </c>
    </row>
    <row r="781" spans="1:9" x14ac:dyDescent="0.3">
      <c r="A781">
        <v>22</v>
      </c>
      <c r="B781">
        <v>1</v>
      </c>
      <c r="C781">
        <v>2</v>
      </c>
      <c r="D781">
        <v>1</v>
      </c>
      <c r="E781" t="s">
        <v>9</v>
      </c>
      <c r="F781" t="s">
        <v>1344</v>
      </c>
      <c r="G781" t="s">
        <v>1345</v>
      </c>
      <c r="H781">
        <v>3.1669999999999998</v>
      </c>
      <c r="I781" t="s">
        <v>12</v>
      </c>
    </row>
    <row r="782" spans="1:9" x14ac:dyDescent="0.3">
      <c r="A782">
        <v>22</v>
      </c>
      <c r="B782">
        <v>1</v>
      </c>
      <c r="C782">
        <v>2</v>
      </c>
      <c r="D782">
        <v>1</v>
      </c>
      <c r="E782" t="s">
        <v>22</v>
      </c>
      <c r="F782" t="s">
        <v>1346</v>
      </c>
      <c r="G782" t="s">
        <v>1347</v>
      </c>
      <c r="H782">
        <v>2.5670000000000002</v>
      </c>
      <c r="I782" t="s">
        <v>21</v>
      </c>
    </row>
    <row r="783" spans="1:9" x14ac:dyDescent="0.3">
      <c r="A783">
        <v>22</v>
      </c>
      <c r="B783">
        <v>1</v>
      </c>
      <c r="C783">
        <v>2</v>
      </c>
      <c r="D783">
        <v>2</v>
      </c>
      <c r="E783" t="s">
        <v>9</v>
      </c>
      <c r="F783" t="s">
        <v>1348</v>
      </c>
      <c r="G783" t="s">
        <v>1349</v>
      </c>
      <c r="H783">
        <v>1.853</v>
      </c>
      <c r="I783" t="s">
        <v>12</v>
      </c>
    </row>
    <row r="784" spans="1:9" x14ac:dyDescent="0.3">
      <c r="A784">
        <v>22</v>
      </c>
      <c r="B784">
        <v>1</v>
      </c>
      <c r="C784">
        <v>2</v>
      </c>
      <c r="D784">
        <v>2</v>
      </c>
      <c r="E784" t="s">
        <v>9</v>
      </c>
      <c r="F784" t="s">
        <v>1350</v>
      </c>
      <c r="G784" t="s">
        <v>1351</v>
      </c>
      <c r="H784">
        <v>1.167</v>
      </c>
      <c r="I784" t="s">
        <v>12</v>
      </c>
    </row>
    <row r="785" spans="1:9" x14ac:dyDescent="0.3">
      <c r="A785">
        <v>22</v>
      </c>
      <c r="B785">
        <v>1</v>
      </c>
      <c r="C785">
        <v>2</v>
      </c>
      <c r="D785">
        <v>3</v>
      </c>
      <c r="E785" t="s">
        <v>9</v>
      </c>
      <c r="F785" t="s">
        <v>1352</v>
      </c>
      <c r="G785" t="s">
        <v>1353</v>
      </c>
      <c r="H785">
        <v>1.2529999999999999</v>
      </c>
      <c r="I785" t="s">
        <v>12</v>
      </c>
    </row>
    <row r="786" spans="1:9" x14ac:dyDescent="0.3">
      <c r="A786">
        <v>22</v>
      </c>
      <c r="B786">
        <v>1</v>
      </c>
      <c r="C786">
        <v>2</v>
      </c>
      <c r="D786">
        <v>3</v>
      </c>
      <c r="E786" t="s">
        <v>9</v>
      </c>
      <c r="F786" t="s">
        <v>1354</v>
      </c>
      <c r="G786" t="s">
        <v>1355</v>
      </c>
      <c r="H786">
        <v>1.22</v>
      </c>
      <c r="I786" t="s">
        <v>12</v>
      </c>
    </row>
    <row r="787" spans="1:9" x14ac:dyDescent="0.3">
      <c r="A787">
        <v>22</v>
      </c>
      <c r="B787">
        <v>1</v>
      </c>
      <c r="C787">
        <v>2</v>
      </c>
      <c r="D787">
        <v>3</v>
      </c>
      <c r="E787" t="s">
        <v>19</v>
      </c>
      <c r="F787" t="s">
        <v>1356</v>
      </c>
      <c r="I787" t="s">
        <v>21</v>
      </c>
    </row>
    <row r="788" spans="1:9" x14ac:dyDescent="0.3">
      <c r="A788">
        <v>22</v>
      </c>
      <c r="B788">
        <v>1</v>
      </c>
      <c r="C788">
        <v>2</v>
      </c>
      <c r="D788">
        <v>3</v>
      </c>
      <c r="E788" t="s">
        <v>9</v>
      </c>
      <c r="F788" t="s">
        <v>1357</v>
      </c>
      <c r="G788" t="s">
        <v>1358</v>
      </c>
      <c r="H788">
        <v>2.5</v>
      </c>
      <c r="I788" t="s">
        <v>12</v>
      </c>
    </row>
    <row r="789" spans="1:9" x14ac:dyDescent="0.3">
      <c r="A789">
        <v>22</v>
      </c>
      <c r="B789">
        <v>1</v>
      </c>
      <c r="C789">
        <v>2</v>
      </c>
      <c r="D789">
        <v>3</v>
      </c>
      <c r="E789" t="s">
        <v>22</v>
      </c>
      <c r="F789" t="s">
        <v>1359</v>
      </c>
      <c r="G789" t="s">
        <v>1360</v>
      </c>
      <c r="H789">
        <v>1.1339999999999999</v>
      </c>
      <c r="I789" t="s">
        <v>21</v>
      </c>
    </row>
    <row r="790" spans="1:9" x14ac:dyDescent="0.3">
      <c r="A790">
        <v>22</v>
      </c>
      <c r="B790">
        <v>1</v>
      </c>
      <c r="C790">
        <v>2</v>
      </c>
      <c r="D790">
        <v>3</v>
      </c>
      <c r="E790" t="s">
        <v>22</v>
      </c>
      <c r="F790" t="s">
        <v>1361</v>
      </c>
      <c r="G790" t="s">
        <v>1362</v>
      </c>
      <c r="H790">
        <v>1.8009999999999999</v>
      </c>
      <c r="I790" t="s">
        <v>21</v>
      </c>
    </row>
    <row r="791" spans="1:9" x14ac:dyDescent="0.3">
      <c r="A791">
        <v>22</v>
      </c>
      <c r="B791">
        <v>1</v>
      </c>
      <c r="C791">
        <v>2</v>
      </c>
      <c r="D791">
        <v>3</v>
      </c>
      <c r="E791" t="s">
        <v>19</v>
      </c>
      <c r="F791" t="s">
        <v>1363</v>
      </c>
      <c r="I791" t="s">
        <v>21</v>
      </c>
    </row>
    <row r="792" spans="1:9" x14ac:dyDescent="0.3">
      <c r="A792">
        <v>22</v>
      </c>
      <c r="B792">
        <v>1</v>
      </c>
      <c r="C792">
        <v>2</v>
      </c>
      <c r="D792">
        <v>4</v>
      </c>
      <c r="E792" t="s">
        <v>9</v>
      </c>
      <c r="F792" t="s">
        <v>1364</v>
      </c>
      <c r="G792" t="s">
        <v>1365</v>
      </c>
      <c r="H792">
        <v>2.3530000000000002</v>
      </c>
      <c r="I792" t="s">
        <v>12</v>
      </c>
    </row>
    <row r="793" spans="1:9" x14ac:dyDescent="0.3">
      <c r="A793">
        <v>22</v>
      </c>
      <c r="B793">
        <v>1</v>
      </c>
      <c r="C793">
        <v>2</v>
      </c>
      <c r="D793">
        <v>4</v>
      </c>
      <c r="E793" t="s">
        <v>19</v>
      </c>
      <c r="F793" t="s">
        <v>1366</v>
      </c>
      <c r="I793" t="s">
        <v>21</v>
      </c>
    </row>
    <row r="794" spans="1:9" x14ac:dyDescent="0.3">
      <c r="A794">
        <v>22</v>
      </c>
      <c r="B794">
        <v>1</v>
      </c>
      <c r="C794">
        <v>2</v>
      </c>
      <c r="D794">
        <v>4</v>
      </c>
      <c r="E794" t="s">
        <v>9</v>
      </c>
      <c r="F794" t="s">
        <v>1367</v>
      </c>
      <c r="G794" t="s">
        <v>1368</v>
      </c>
      <c r="H794">
        <v>1.085</v>
      </c>
      <c r="I794" t="s">
        <v>12</v>
      </c>
    </row>
    <row r="795" spans="1:9" x14ac:dyDescent="0.3">
      <c r="A795">
        <v>22</v>
      </c>
      <c r="B795">
        <v>1</v>
      </c>
      <c r="C795">
        <v>2</v>
      </c>
      <c r="D795">
        <v>4</v>
      </c>
      <c r="E795" t="s">
        <v>9</v>
      </c>
      <c r="F795" t="s">
        <v>1369</v>
      </c>
      <c r="G795" t="s">
        <v>1370</v>
      </c>
      <c r="H795">
        <v>1.7010000000000001</v>
      </c>
      <c r="I795" t="s">
        <v>12</v>
      </c>
    </row>
    <row r="796" spans="1:9" x14ac:dyDescent="0.3">
      <c r="A796">
        <v>22</v>
      </c>
      <c r="B796">
        <v>1</v>
      </c>
      <c r="C796">
        <v>2</v>
      </c>
      <c r="D796">
        <v>4</v>
      </c>
      <c r="E796" t="s">
        <v>22</v>
      </c>
      <c r="F796" t="s">
        <v>1371</v>
      </c>
      <c r="G796" t="s">
        <v>1372</v>
      </c>
      <c r="H796">
        <v>1.034</v>
      </c>
      <c r="I796" t="s">
        <v>21</v>
      </c>
    </row>
    <row r="797" spans="1:9" x14ac:dyDescent="0.3">
      <c r="A797">
        <v>22</v>
      </c>
      <c r="B797">
        <v>1</v>
      </c>
      <c r="C797">
        <v>2</v>
      </c>
      <c r="D797">
        <v>4</v>
      </c>
      <c r="E797" t="s">
        <v>22</v>
      </c>
      <c r="F797" t="s">
        <v>1373</v>
      </c>
      <c r="G797" t="s">
        <v>1374</v>
      </c>
      <c r="H797">
        <v>0.9</v>
      </c>
      <c r="I797" t="s">
        <v>21</v>
      </c>
    </row>
    <row r="798" spans="1:9" x14ac:dyDescent="0.3">
      <c r="A798">
        <v>22</v>
      </c>
      <c r="B798">
        <v>1</v>
      </c>
      <c r="C798">
        <v>2</v>
      </c>
      <c r="D798">
        <v>4</v>
      </c>
      <c r="E798" t="s">
        <v>9</v>
      </c>
      <c r="F798" t="s">
        <v>1375</v>
      </c>
      <c r="G798" t="s">
        <v>1376</v>
      </c>
      <c r="H798">
        <v>0.86699999999999999</v>
      </c>
      <c r="I798" t="s">
        <v>12</v>
      </c>
    </row>
    <row r="799" spans="1:9" x14ac:dyDescent="0.3">
      <c r="A799">
        <v>22</v>
      </c>
      <c r="B799">
        <v>1</v>
      </c>
      <c r="C799">
        <v>2</v>
      </c>
      <c r="D799">
        <v>4</v>
      </c>
      <c r="E799" t="s">
        <v>19</v>
      </c>
      <c r="F799" t="s">
        <v>1377</v>
      </c>
      <c r="I799" t="s">
        <v>21</v>
      </c>
    </row>
    <row r="800" spans="1:9" x14ac:dyDescent="0.3">
      <c r="A800">
        <v>22</v>
      </c>
      <c r="B800">
        <v>1</v>
      </c>
      <c r="C800">
        <v>3</v>
      </c>
      <c r="D800">
        <v>1</v>
      </c>
      <c r="E800" t="s">
        <v>22</v>
      </c>
      <c r="F800" t="s">
        <v>1378</v>
      </c>
      <c r="G800" t="s">
        <v>1379</v>
      </c>
      <c r="H800">
        <v>1.0189999999999999</v>
      </c>
      <c r="I800" t="s">
        <v>21</v>
      </c>
    </row>
    <row r="801" spans="1:9" x14ac:dyDescent="0.3">
      <c r="A801">
        <v>22</v>
      </c>
      <c r="B801">
        <v>1</v>
      </c>
      <c r="C801">
        <v>3</v>
      </c>
      <c r="D801">
        <v>1</v>
      </c>
      <c r="E801" t="s">
        <v>22</v>
      </c>
      <c r="F801" t="s">
        <v>1380</v>
      </c>
      <c r="G801" t="s">
        <v>1381</v>
      </c>
      <c r="H801">
        <v>1.5009999999999999</v>
      </c>
      <c r="I801" t="s">
        <v>21</v>
      </c>
    </row>
    <row r="802" spans="1:9" x14ac:dyDescent="0.3">
      <c r="A802">
        <v>22</v>
      </c>
      <c r="B802">
        <v>1</v>
      </c>
      <c r="C802">
        <v>3</v>
      </c>
      <c r="D802">
        <v>1</v>
      </c>
      <c r="E802" t="s">
        <v>9</v>
      </c>
      <c r="F802" t="s">
        <v>1382</v>
      </c>
      <c r="G802" t="s">
        <v>1383</v>
      </c>
      <c r="H802">
        <v>1.385</v>
      </c>
      <c r="I802" t="s">
        <v>12</v>
      </c>
    </row>
    <row r="803" spans="1:9" x14ac:dyDescent="0.3">
      <c r="A803">
        <v>22</v>
      </c>
      <c r="B803">
        <v>1</v>
      </c>
      <c r="C803">
        <v>3</v>
      </c>
      <c r="D803">
        <v>1</v>
      </c>
      <c r="E803" t="s">
        <v>19</v>
      </c>
      <c r="F803" t="s">
        <v>1384</v>
      </c>
      <c r="I803" t="s">
        <v>34</v>
      </c>
    </row>
    <row r="804" spans="1:9" x14ac:dyDescent="0.3">
      <c r="A804">
        <v>22</v>
      </c>
      <c r="B804">
        <v>1</v>
      </c>
      <c r="C804">
        <v>3</v>
      </c>
      <c r="D804">
        <v>1</v>
      </c>
      <c r="E804" t="s">
        <v>9</v>
      </c>
      <c r="F804" t="s">
        <v>1385</v>
      </c>
      <c r="G804" t="s">
        <v>1386</v>
      </c>
      <c r="H804">
        <v>0.96799999999999997</v>
      </c>
      <c r="I804" t="s">
        <v>12</v>
      </c>
    </row>
    <row r="805" spans="1:9" x14ac:dyDescent="0.3">
      <c r="A805">
        <v>22</v>
      </c>
      <c r="B805">
        <v>1</v>
      </c>
      <c r="C805">
        <v>3</v>
      </c>
      <c r="D805">
        <v>1</v>
      </c>
      <c r="E805" t="s">
        <v>9</v>
      </c>
      <c r="F805" t="s">
        <v>1387</v>
      </c>
      <c r="G805" t="s">
        <v>1388</v>
      </c>
      <c r="H805">
        <v>0.93400000000000005</v>
      </c>
      <c r="I805" t="s">
        <v>12</v>
      </c>
    </row>
    <row r="806" spans="1:9" x14ac:dyDescent="0.3">
      <c r="A806">
        <v>22</v>
      </c>
      <c r="B806">
        <v>1</v>
      </c>
      <c r="C806">
        <v>3</v>
      </c>
      <c r="D806">
        <v>1</v>
      </c>
      <c r="E806" t="s">
        <v>9</v>
      </c>
      <c r="F806" t="s">
        <v>1389</v>
      </c>
      <c r="G806" t="s">
        <v>1390</v>
      </c>
      <c r="H806">
        <v>1.268</v>
      </c>
      <c r="I806" t="s">
        <v>12</v>
      </c>
    </row>
    <row r="807" spans="1:9" x14ac:dyDescent="0.3">
      <c r="A807">
        <v>22</v>
      </c>
      <c r="B807">
        <v>1</v>
      </c>
      <c r="C807">
        <v>3</v>
      </c>
      <c r="D807">
        <v>1</v>
      </c>
      <c r="E807" t="s">
        <v>19</v>
      </c>
      <c r="F807" t="s">
        <v>1391</v>
      </c>
      <c r="I807" t="s">
        <v>21</v>
      </c>
    </row>
    <row r="808" spans="1:9" x14ac:dyDescent="0.3">
      <c r="A808">
        <v>22</v>
      </c>
      <c r="B808">
        <v>1</v>
      </c>
      <c r="C808">
        <v>3</v>
      </c>
      <c r="D808">
        <v>2</v>
      </c>
      <c r="E808" t="s">
        <v>22</v>
      </c>
      <c r="F808" t="s">
        <v>1392</v>
      </c>
      <c r="G808" t="s">
        <v>1393</v>
      </c>
      <c r="H808">
        <v>0.85199999999999998</v>
      </c>
      <c r="I808" t="s">
        <v>21</v>
      </c>
    </row>
    <row r="809" spans="1:9" x14ac:dyDescent="0.3">
      <c r="A809">
        <v>22</v>
      </c>
      <c r="B809">
        <v>1</v>
      </c>
      <c r="C809">
        <v>3</v>
      </c>
      <c r="D809">
        <v>2</v>
      </c>
      <c r="E809" t="s">
        <v>22</v>
      </c>
      <c r="F809" t="s">
        <v>1394</v>
      </c>
      <c r="G809" t="s">
        <v>1395</v>
      </c>
      <c r="H809">
        <v>1.5349999999999999</v>
      </c>
      <c r="I809" t="s">
        <v>21</v>
      </c>
    </row>
    <row r="810" spans="1:9" x14ac:dyDescent="0.3">
      <c r="A810">
        <v>22</v>
      </c>
      <c r="B810">
        <v>1</v>
      </c>
      <c r="C810">
        <v>3</v>
      </c>
      <c r="D810">
        <v>2</v>
      </c>
      <c r="E810" t="s">
        <v>9</v>
      </c>
      <c r="F810" t="s">
        <v>1396</v>
      </c>
      <c r="G810" t="s">
        <v>1397</v>
      </c>
      <c r="H810">
        <v>1.8680000000000001</v>
      </c>
      <c r="I810" t="s">
        <v>12</v>
      </c>
    </row>
    <row r="811" spans="1:9" x14ac:dyDescent="0.3">
      <c r="A811">
        <v>22</v>
      </c>
      <c r="B811">
        <v>1</v>
      </c>
      <c r="C811">
        <v>3</v>
      </c>
      <c r="D811">
        <v>2</v>
      </c>
      <c r="E811" t="s">
        <v>19</v>
      </c>
      <c r="F811" t="s">
        <v>1398</v>
      </c>
      <c r="I811" t="s">
        <v>21</v>
      </c>
    </row>
    <row r="812" spans="1:9" x14ac:dyDescent="0.3">
      <c r="A812">
        <v>22</v>
      </c>
      <c r="B812">
        <v>1</v>
      </c>
      <c r="C812">
        <v>3</v>
      </c>
      <c r="D812">
        <v>2</v>
      </c>
      <c r="E812" t="s">
        <v>19</v>
      </c>
      <c r="F812" t="s">
        <v>1399</v>
      </c>
      <c r="I812" t="s">
        <v>21</v>
      </c>
    </row>
    <row r="813" spans="1:9" x14ac:dyDescent="0.3">
      <c r="A813">
        <v>22</v>
      </c>
      <c r="B813">
        <v>1</v>
      </c>
      <c r="C813">
        <v>3</v>
      </c>
      <c r="D813">
        <v>2</v>
      </c>
      <c r="E813" t="s">
        <v>9</v>
      </c>
      <c r="F813" t="s">
        <v>1400</v>
      </c>
      <c r="G813" t="s">
        <v>1401</v>
      </c>
      <c r="H813">
        <v>1.6339999999999999</v>
      </c>
      <c r="I813" t="s">
        <v>12</v>
      </c>
    </row>
    <row r="814" spans="1:9" x14ac:dyDescent="0.3">
      <c r="A814">
        <v>22</v>
      </c>
      <c r="B814">
        <v>1</v>
      </c>
      <c r="C814">
        <v>3</v>
      </c>
      <c r="D814">
        <v>2</v>
      </c>
      <c r="E814" t="s">
        <v>9</v>
      </c>
      <c r="F814" t="s">
        <v>1402</v>
      </c>
      <c r="G814" t="s">
        <v>1403</v>
      </c>
      <c r="H814">
        <v>0.85199999999999998</v>
      </c>
      <c r="I814" t="s">
        <v>12</v>
      </c>
    </row>
    <row r="815" spans="1:9" x14ac:dyDescent="0.3">
      <c r="A815">
        <v>22</v>
      </c>
      <c r="B815">
        <v>1</v>
      </c>
      <c r="C815">
        <v>3</v>
      </c>
      <c r="D815">
        <v>2</v>
      </c>
      <c r="E815" t="s">
        <v>9</v>
      </c>
      <c r="F815" t="s">
        <v>1404</v>
      </c>
      <c r="G815" t="s">
        <v>1405</v>
      </c>
      <c r="H815">
        <v>0.6</v>
      </c>
      <c r="I815" t="s">
        <v>12</v>
      </c>
    </row>
    <row r="816" spans="1:9" x14ac:dyDescent="0.3">
      <c r="A816">
        <v>22</v>
      </c>
      <c r="B816">
        <v>1</v>
      </c>
      <c r="C816">
        <v>3</v>
      </c>
      <c r="D816">
        <v>2</v>
      </c>
      <c r="E816" t="s">
        <v>19</v>
      </c>
      <c r="F816" t="s">
        <v>1406</v>
      </c>
      <c r="I816" t="s">
        <v>21</v>
      </c>
    </row>
    <row r="817" spans="1:9" x14ac:dyDescent="0.3">
      <c r="A817">
        <v>22</v>
      </c>
      <c r="B817">
        <v>3</v>
      </c>
      <c r="C817">
        <v>1</v>
      </c>
      <c r="D817">
        <v>1</v>
      </c>
      <c r="E817" t="s">
        <v>22</v>
      </c>
      <c r="F817" t="s">
        <v>1407</v>
      </c>
      <c r="G817" t="s">
        <v>1408</v>
      </c>
      <c r="H817">
        <v>2.4870000000000001</v>
      </c>
      <c r="I817" t="s">
        <v>21</v>
      </c>
    </row>
    <row r="818" spans="1:9" x14ac:dyDescent="0.3">
      <c r="A818">
        <v>22</v>
      </c>
      <c r="B818">
        <v>3</v>
      </c>
      <c r="C818">
        <v>1</v>
      </c>
      <c r="D818">
        <v>1</v>
      </c>
      <c r="E818" t="s">
        <v>22</v>
      </c>
      <c r="F818" t="s">
        <v>1409</v>
      </c>
      <c r="G818" t="s">
        <v>1410</v>
      </c>
      <c r="H818">
        <v>0.93300000000000005</v>
      </c>
      <c r="I818" t="s">
        <v>21</v>
      </c>
    </row>
    <row r="819" spans="1:9" x14ac:dyDescent="0.3">
      <c r="A819">
        <v>22</v>
      </c>
      <c r="B819">
        <v>3</v>
      </c>
      <c r="C819">
        <v>1</v>
      </c>
      <c r="D819">
        <v>1</v>
      </c>
      <c r="E819" t="s">
        <v>9</v>
      </c>
      <c r="F819" t="s">
        <v>1411</v>
      </c>
      <c r="G819" t="s">
        <v>1412</v>
      </c>
      <c r="H819">
        <v>1.153</v>
      </c>
      <c r="I819" t="s">
        <v>12</v>
      </c>
    </row>
    <row r="820" spans="1:9" x14ac:dyDescent="0.3">
      <c r="A820">
        <v>22</v>
      </c>
      <c r="B820">
        <v>3</v>
      </c>
      <c r="C820">
        <v>1</v>
      </c>
      <c r="D820">
        <v>1</v>
      </c>
      <c r="E820" t="s">
        <v>19</v>
      </c>
      <c r="F820" t="s">
        <v>1412</v>
      </c>
      <c r="I820" t="s">
        <v>34</v>
      </c>
    </row>
    <row r="821" spans="1:9" x14ac:dyDescent="0.3">
      <c r="A821">
        <v>22</v>
      </c>
      <c r="B821">
        <v>3</v>
      </c>
      <c r="C821">
        <v>1</v>
      </c>
      <c r="D821">
        <v>1</v>
      </c>
      <c r="E821" t="s">
        <v>9</v>
      </c>
      <c r="F821" t="s">
        <v>1413</v>
      </c>
      <c r="G821" t="s">
        <v>1414</v>
      </c>
      <c r="H821">
        <v>1.034</v>
      </c>
      <c r="I821" t="s">
        <v>12</v>
      </c>
    </row>
    <row r="822" spans="1:9" x14ac:dyDescent="0.3">
      <c r="A822">
        <v>22</v>
      </c>
      <c r="B822">
        <v>3</v>
      </c>
      <c r="C822">
        <v>1</v>
      </c>
      <c r="D822">
        <v>1</v>
      </c>
      <c r="E822" t="s">
        <v>19</v>
      </c>
      <c r="F822" t="s">
        <v>1415</v>
      </c>
      <c r="I822" t="s">
        <v>34</v>
      </c>
    </row>
    <row r="823" spans="1:9" x14ac:dyDescent="0.3">
      <c r="A823">
        <v>22</v>
      </c>
      <c r="B823">
        <v>3</v>
      </c>
      <c r="C823">
        <v>1</v>
      </c>
      <c r="D823">
        <v>2</v>
      </c>
      <c r="E823" t="s">
        <v>9</v>
      </c>
      <c r="F823" t="s">
        <v>1416</v>
      </c>
      <c r="G823" t="s">
        <v>1417</v>
      </c>
      <c r="H823">
        <v>1.0529999999999999</v>
      </c>
      <c r="I823" t="s">
        <v>12</v>
      </c>
    </row>
    <row r="824" spans="1:9" x14ac:dyDescent="0.3">
      <c r="A824">
        <v>22</v>
      </c>
      <c r="B824">
        <v>3</v>
      </c>
      <c r="C824">
        <v>1</v>
      </c>
      <c r="D824">
        <v>2</v>
      </c>
      <c r="E824" t="s">
        <v>22</v>
      </c>
      <c r="F824" t="s">
        <v>1418</v>
      </c>
      <c r="G824" t="s">
        <v>1419</v>
      </c>
      <c r="H824">
        <v>0.76700000000000002</v>
      </c>
      <c r="I824" t="s">
        <v>21</v>
      </c>
    </row>
    <row r="825" spans="1:9" x14ac:dyDescent="0.3">
      <c r="A825">
        <v>22</v>
      </c>
      <c r="B825">
        <v>3</v>
      </c>
      <c r="C825">
        <v>1</v>
      </c>
      <c r="D825">
        <v>2</v>
      </c>
      <c r="E825" t="s">
        <v>22</v>
      </c>
      <c r="F825" t="s">
        <v>1420</v>
      </c>
      <c r="G825" t="s">
        <v>1421</v>
      </c>
      <c r="H825">
        <v>0.96699999999999997</v>
      </c>
      <c r="I825" t="s">
        <v>21</v>
      </c>
    </row>
    <row r="826" spans="1:9" x14ac:dyDescent="0.3">
      <c r="A826">
        <v>22</v>
      </c>
      <c r="B826">
        <v>3</v>
      </c>
      <c r="C826">
        <v>1</v>
      </c>
      <c r="D826">
        <v>2</v>
      </c>
      <c r="E826" t="s">
        <v>19</v>
      </c>
      <c r="F826" t="s">
        <v>1422</v>
      </c>
      <c r="I826" t="s">
        <v>34</v>
      </c>
    </row>
    <row r="827" spans="1:9" x14ac:dyDescent="0.3">
      <c r="A827">
        <v>22</v>
      </c>
      <c r="B827">
        <v>3</v>
      </c>
      <c r="C827">
        <v>1</v>
      </c>
      <c r="D827">
        <v>2</v>
      </c>
      <c r="E827" t="s">
        <v>9</v>
      </c>
      <c r="F827" t="s">
        <v>1423</v>
      </c>
      <c r="G827" t="s">
        <v>1424</v>
      </c>
      <c r="H827">
        <v>1.5529999999999999</v>
      </c>
      <c r="I827" t="s">
        <v>12</v>
      </c>
    </row>
    <row r="828" spans="1:9" x14ac:dyDescent="0.3">
      <c r="A828">
        <v>22</v>
      </c>
      <c r="B828">
        <v>3</v>
      </c>
      <c r="C828">
        <v>1</v>
      </c>
      <c r="D828">
        <v>3</v>
      </c>
      <c r="E828" t="s">
        <v>9</v>
      </c>
      <c r="F828" t="s">
        <v>1425</v>
      </c>
      <c r="G828" t="s">
        <v>1426</v>
      </c>
      <c r="H828">
        <v>1.419</v>
      </c>
      <c r="I828" t="s">
        <v>12</v>
      </c>
    </row>
    <row r="829" spans="1:9" x14ac:dyDescent="0.3">
      <c r="A829">
        <v>22</v>
      </c>
      <c r="B829">
        <v>3</v>
      </c>
      <c r="C829">
        <v>1</v>
      </c>
      <c r="D829">
        <v>3</v>
      </c>
      <c r="E829" t="s">
        <v>22</v>
      </c>
      <c r="F829" t="s">
        <v>1427</v>
      </c>
      <c r="G829" t="s">
        <v>1428</v>
      </c>
      <c r="H829">
        <v>0.72</v>
      </c>
      <c r="I829" t="s">
        <v>21</v>
      </c>
    </row>
    <row r="830" spans="1:9" x14ac:dyDescent="0.3">
      <c r="A830">
        <v>22</v>
      </c>
      <c r="B830">
        <v>3</v>
      </c>
      <c r="C830">
        <v>1</v>
      </c>
      <c r="D830">
        <v>3</v>
      </c>
      <c r="E830" t="s">
        <v>9</v>
      </c>
      <c r="F830" t="s">
        <v>1429</v>
      </c>
      <c r="G830" t="s">
        <v>1430</v>
      </c>
      <c r="H830">
        <v>0.73399999999999999</v>
      </c>
      <c r="I830" t="s">
        <v>12</v>
      </c>
    </row>
    <row r="831" spans="1:9" x14ac:dyDescent="0.3">
      <c r="A831">
        <v>22</v>
      </c>
      <c r="B831">
        <v>3</v>
      </c>
      <c r="C831">
        <v>1</v>
      </c>
      <c r="D831">
        <v>3</v>
      </c>
      <c r="E831" t="s">
        <v>9</v>
      </c>
      <c r="F831" t="s">
        <v>1431</v>
      </c>
      <c r="G831" t="s">
        <v>1432</v>
      </c>
      <c r="H831">
        <v>0.73399999999999999</v>
      </c>
      <c r="I831" t="s">
        <v>12</v>
      </c>
    </row>
    <row r="832" spans="1:9" x14ac:dyDescent="0.3">
      <c r="A832">
        <v>22</v>
      </c>
      <c r="B832">
        <v>3</v>
      </c>
      <c r="C832">
        <v>1</v>
      </c>
      <c r="D832">
        <v>3</v>
      </c>
      <c r="E832" t="s">
        <v>9</v>
      </c>
      <c r="F832" t="s">
        <v>1433</v>
      </c>
      <c r="G832" t="s">
        <v>1434</v>
      </c>
      <c r="H832">
        <v>1.0669999999999999</v>
      </c>
      <c r="I832" t="s">
        <v>12</v>
      </c>
    </row>
    <row r="833" spans="1:9" x14ac:dyDescent="0.3">
      <c r="A833">
        <v>22</v>
      </c>
      <c r="B833">
        <v>3</v>
      </c>
      <c r="C833">
        <v>1</v>
      </c>
      <c r="D833">
        <v>3</v>
      </c>
      <c r="E833" t="s">
        <v>19</v>
      </c>
      <c r="F833" t="s">
        <v>1435</v>
      </c>
      <c r="I833" t="s">
        <v>21</v>
      </c>
    </row>
    <row r="834" spans="1:9" x14ac:dyDescent="0.3">
      <c r="A834">
        <v>22</v>
      </c>
      <c r="B834">
        <v>3</v>
      </c>
      <c r="C834">
        <v>1</v>
      </c>
      <c r="D834">
        <v>3</v>
      </c>
      <c r="E834" t="s">
        <v>22</v>
      </c>
      <c r="F834" t="s">
        <v>1436</v>
      </c>
      <c r="G834" t="s">
        <v>1437</v>
      </c>
      <c r="H834">
        <v>0.86799999999999999</v>
      </c>
      <c r="I834" t="s">
        <v>21</v>
      </c>
    </row>
    <row r="835" spans="1:9" x14ac:dyDescent="0.3">
      <c r="A835">
        <v>22</v>
      </c>
      <c r="B835">
        <v>3</v>
      </c>
      <c r="C835">
        <v>1</v>
      </c>
      <c r="D835">
        <v>3</v>
      </c>
      <c r="E835" t="s">
        <v>19</v>
      </c>
      <c r="F835" t="s">
        <v>1438</v>
      </c>
      <c r="I835" t="s">
        <v>21</v>
      </c>
    </row>
    <row r="836" spans="1:9" x14ac:dyDescent="0.3">
      <c r="A836">
        <v>22</v>
      </c>
      <c r="B836">
        <v>3</v>
      </c>
      <c r="C836">
        <v>2</v>
      </c>
      <c r="D836">
        <v>1</v>
      </c>
      <c r="E836" t="s">
        <v>9</v>
      </c>
      <c r="F836" t="s">
        <v>1439</v>
      </c>
      <c r="G836" t="s">
        <v>1440</v>
      </c>
      <c r="H836">
        <v>0.91900000000000004</v>
      </c>
      <c r="I836" t="s">
        <v>12</v>
      </c>
    </row>
    <row r="837" spans="1:9" x14ac:dyDescent="0.3">
      <c r="A837">
        <v>22</v>
      </c>
      <c r="B837">
        <v>3</v>
      </c>
      <c r="C837">
        <v>2</v>
      </c>
      <c r="D837">
        <v>1</v>
      </c>
      <c r="E837" t="s">
        <v>19</v>
      </c>
      <c r="F837" t="s">
        <v>1441</v>
      </c>
      <c r="I837" t="s">
        <v>21</v>
      </c>
    </row>
    <row r="838" spans="1:9" x14ac:dyDescent="0.3">
      <c r="A838">
        <v>22</v>
      </c>
      <c r="B838">
        <v>3</v>
      </c>
      <c r="C838">
        <v>2</v>
      </c>
      <c r="D838">
        <v>1</v>
      </c>
      <c r="E838" t="s">
        <v>9</v>
      </c>
      <c r="F838" t="s">
        <v>1442</v>
      </c>
      <c r="G838" t="s">
        <v>1443</v>
      </c>
      <c r="H838">
        <v>1.4339999999999999</v>
      </c>
      <c r="I838" t="s">
        <v>12</v>
      </c>
    </row>
    <row r="839" spans="1:9" x14ac:dyDescent="0.3">
      <c r="A839">
        <v>22</v>
      </c>
      <c r="B839">
        <v>3</v>
      </c>
      <c r="C839">
        <v>2</v>
      </c>
      <c r="D839">
        <v>1</v>
      </c>
      <c r="E839" t="s">
        <v>22</v>
      </c>
      <c r="F839" t="s">
        <v>1444</v>
      </c>
      <c r="G839" t="s">
        <v>1445</v>
      </c>
      <c r="H839">
        <v>1.153</v>
      </c>
      <c r="I839" t="s">
        <v>21</v>
      </c>
    </row>
    <row r="840" spans="1:9" x14ac:dyDescent="0.3">
      <c r="A840">
        <v>22</v>
      </c>
      <c r="B840">
        <v>3</v>
      </c>
      <c r="C840">
        <v>2</v>
      </c>
      <c r="D840">
        <v>1</v>
      </c>
      <c r="E840" t="s">
        <v>22</v>
      </c>
      <c r="F840" t="s">
        <v>1446</v>
      </c>
      <c r="G840" t="s">
        <v>1447</v>
      </c>
      <c r="H840">
        <v>1.101</v>
      </c>
      <c r="I840" t="s">
        <v>21</v>
      </c>
    </row>
    <row r="841" spans="1:9" x14ac:dyDescent="0.3">
      <c r="A841">
        <v>22</v>
      </c>
      <c r="B841">
        <v>3</v>
      </c>
      <c r="C841">
        <v>2</v>
      </c>
      <c r="D841">
        <v>1</v>
      </c>
      <c r="E841" t="s">
        <v>9</v>
      </c>
      <c r="F841" t="s">
        <v>1448</v>
      </c>
      <c r="G841" t="s">
        <v>1449</v>
      </c>
      <c r="H841">
        <v>1.401</v>
      </c>
      <c r="I841" t="s">
        <v>12</v>
      </c>
    </row>
    <row r="842" spans="1:9" x14ac:dyDescent="0.3">
      <c r="A842">
        <v>22</v>
      </c>
      <c r="B842">
        <v>3</v>
      </c>
      <c r="C842">
        <v>2</v>
      </c>
      <c r="D842">
        <v>1</v>
      </c>
      <c r="E842" t="s">
        <v>9</v>
      </c>
      <c r="F842" t="s">
        <v>1450</v>
      </c>
      <c r="G842" t="s">
        <v>1451</v>
      </c>
      <c r="H842">
        <v>0.93300000000000005</v>
      </c>
      <c r="I842" t="s">
        <v>12</v>
      </c>
    </row>
    <row r="843" spans="1:9" x14ac:dyDescent="0.3">
      <c r="A843">
        <v>22</v>
      </c>
      <c r="B843">
        <v>3</v>
      </c>
      <c r="C843">
        <v>2</v>
      </c>
      <c r="D843">
        <v>1</v>
      </c>
      <c r="E843" t="s">
        <v>19</v>
      </c>
      <c r="F843" t="s">
        <v>1452</v>
      </c>
      <c r="I843" t="s">
        <v>21</v>
      </c>
    </row>
    <row r="844" spans="1:9" x14ac:dyDescent="0.3">
      <c r="A844">
        <v>22</v>
      </c>
      <c r="B844">
        <v>3</v>
      </c>
      <c r="C844">
        <v>2</v>
      </c>
      <c r="D844">
        <v>2</v>
      </c>
      <c r="E844" t="s">
        <v>9</v>
      </c>
      <c r="F844" t="s">
        <v>1453</v>
      </c>
      <c r="G844" t="s">
        <v>1454</v>
      </c>
      <c r="H844">
        <v>4.4859999999999998</v>
      </c>
      <c r="I844" t="s">
        <v>12</v>
      </c>
    </row>
    <row r="845" spans="1:9" x14ac:dyDescent="0.3">
      <c r="A845">
        <v>22</v>
      </c>
      <c r="B845">
        <v>3</v>
      </c>
      <c r="C845">
        <v>2</v>
      </c>
      <c r="D845">
        <v>2</v>
      </c>
      <c r="E845" t="s">
        <v>19</v>
      </c>
      <c r="F845" t="s">
        <v>1455</v>
      </c>
      <c r="I845" t="s">
        <v>21</v>
      </c>
    </row>
    <row r="846" spans="1:9" x14ac:dyDescent="0.3">
      <c r="A846">
        <v>22</v>
      </c>
      <c r="B846">
        <v>3</v>
      </c>
      <c r="C846">
        <v>2</v>
      </c>
      <c r="D846">
        <v>2</v>
      </c>
      <c r="E846" t="s">
        <v>9</v>
      </c>
      <c r="F846" t="s">
        <v>1456</v>
      </c>
      <c r="G846" t="s">
        <v>1457</v>
      </c>
      <c r="H846">
        <v>1.1870000000000001</v>
      </c>
      <c r="I846" t="s">
        <v>12</v>
      </c>
    </row>
    <row r="847" spans="1:9" x14ac:dyDescent="0.3">
      <c r="A847">
        <v>22</v>
      </c>
      <c r="B847">
        <v>3</v>
      </c>
      <c r="C847">
        <v>2</v>
      </c>
      <c r="D847">
        <v>2</v>
      </c>
      <c r="E847" t="s">
        <v>22</v>
      </c>
      <c r="F847" t="s">
        <v>1458</v>
      </c>
      <c r="G847" t="s">
        <v>1459</v>
      </c>
      <c r="H847">
        <v>1.1020000000000001</v>
      </c>
      <c r="I847" t="s">
        <v>21</v>
      </c>
    </row>
    <row r="848" spans="1:9" x14ac:dyDescent="0.3">
      <c r="A848">
        <v>22</v>
      </c>
      <c r="B848">
        <v>3</v>
      </c>
      <c r="C848">
        <v>2</v>
      </c>
      <c r="D848">
        <v>2</v>
      </c>
      <c r="E848" t="s">
        <v>22</v>
      </c>
      <c r="F848" t="s">
        <v>1460</v>
      </c>
      <c r="G848" t="s">
        <v>1461</v>
      </c>
      <c r="H848">
        <v>1.002</v>
      </c>
      <c r="I848" t="s">
        <v>21</v>
      </c>
    </row>
    <row r="849" spans="1:9" x14ac:dyDescent="0.3">
      <c r="A849">
        <v>22</v>
      </c>
      <c r="B849">
        <v>3</v>
      </c>
      <c r="C849">
        <v>2</v>
      </c>
      <c r="D849">
        <v>2</v>
      </c>
      <c r="E849" t="s">
        <v>9</v>
      </c>
      <c r="F849" t="s">
        <v>1462</v>
      </c>
      <c r="G849" t="s">
        <v>1463</v>
      </c>
      <c r="H849">
        <v>1</v>
      </c>
      <c r="I849" t="s">
        <v>12</v>
      </c>
    </row>
    <row r="850" spans="1:9" x14ac:dyDescent="0.3">
      <c r="A850">
        <v>22</v>
      </c>
      <c r="B850">
        <v>3</v>
      </c>
      <c r="C850">
        <v>2</v>
      </c>
      <c r="D850">
        <v>2</v>
      </c>
      <c r="E850" t="s">
        <v>9</v>
      </c>
      <c r="F850" t="s">
        <v>1464</v>
      </c>
      <c r="G850" t="s">
        <v>1465</v>
      </c>
      <c r="H850">
        <v>1.234</v>
      </c>
      <c r="I850" t="s">
        <v>12</v>
      </c>
    </row>
    <row r="851" spans="1:9" x14ac:dyDescent="0.3">
      <c r="A851">
        <v>22</v>
      </c>
      <c r="B851">
        <v>3</v>
      </c>
      <c r="C851">
        <v>2</v>
      </c>
      <c r="D851">
        <v>2</v>
      </c>
      <c r="E851" t="s">
        <v>19</v>
      </c>
      <c r="F851" t="s">
        <v>1466</v>
      </c>
      <c r="I851" t="s">
        <v>21</v>
      </c>
    </row>
    <row r="852" spans="1:9" x14ac:dyDescent="0.3">
      <c r="A852">
        <v>22</v>
      </c>
      <c r="B852">
        <v>3</v>
      </c>
      <c r="C852">
        <v>2</v>
      </c>
      <c r="D852">
        <v>3</v>
      </c>
      <c r="E852" t="s">
        <v>19</v>
      </c>
      <c r="F852" t="s">
        <v>1467</v>
      </c>
      <c r="I852" t="s">
        <v>34</v>
      </c>
    </row>
    <row r="853" spans="1:9" x14ac:dyDescent="0.3">
      <c r="A853">
        <v>22</v>
      </c>
      <c r="B853">
        <v>3</v>
      </c>
      <c r="C853">
        <v>2</v>
      </c>
      <c r="D853">
        <v>4</v>
      </c>
      <c r="E853" t="s">
        <v>19</v>
      </c>
      <c r="F853" t="s">
        <v>1468</v>
      </c>
      <c r="I853" t="s">
        <v>34</v>
      </c>
    </row>
    <row r="854" spans="1:9" x14ac:dyDescent="0.3">
      <c r="A854">
        <v>22</v>
      </c>
      <c r="B854">
        <v>3</v>
      </c>
      <c r="C854">
        <v>2</v>
      </c>
      <c r="D854">
        <v>5</v>
      </c>
      <c r="E854" t="s">
        <v>9</v>
      </c>
      <c r="F854" t="s">
        <v>1469</v>
      </c>
      <c r="G854" t="s">
        <v>1470</v>
      </c>
      <c r="H854">
        <v>1.7529999999999999</v>
      </c>
      <c r="I854" t="s">
        <v>12</v>
      </c>
    </row>
    <row r="855" spans="1:9" x14ac:dyDescent="0.3">
      <c r="A855">
        <v>22</v>
      </c>
      <c r="B855">
        <v>3</v>
      </c>
      <c r="C855">
        <v>2</v>
      </c>
      <c r="D855">
        <v>5</v>
      </c>
      <c r="E855" t="s">
        <v>22</v>
      </c>
      <c r="F855" t="s">
        <v>1471</v>
      </c>
      <c r="G855" t="s">
        <v>1472</v>
      </c>
      <c r="H855">
        <v>3.4340000000000002</v>
      </c>
      <c r="I855" t="s">
        <v>21</v>
      </c>
    </row>
    <row r="856" spans="1:9" x14ac:dyDescent="0.3">
      <c r="A856">
        <v>22</v>
      </c>
      <c r="B856">
        <v>3</v>
      </c>
      <c r="C856">
        <v>2</v>
      </c>
      <c r="D856">
        <v>5</v>
      </c>
      <c r="E856" t="s">
        <v>9</v>
      </c>
      <c r="F856" t="s">
        <v>1473</v>
      </c>
      <c r="G856" t="s">
        <v>1474</v>
      </c>
      <c r="H856">
        <v>1.02</v>
      </c>
      <c r="I856" t="s">
        <v>12</v>
      </c>
    </row>
    <row r="857" spans="1:9" x14ac:dyDescent="0.3">
      <c r="A857">
        <v>22</v>
      </c>
      <c r="B857">
        <v>3</v>
      </c>
      <c r="C857">
        <v>2</v>
      </c>
      <c r="D857">
        <v>5</v>
      </c>
      <c r="E857" t="s">
        <v>9</v>
      </c>
      <c r="F857" t="s">
        <v>1475</v>
      </c>
      <c r="G857" t="s">
        <v>1476</v>
      </c>
      <c r="H857">
        <v>4.4009999999999998</v>
      </c>
      <c r="I857" t="s">
        <v>12</v>
      </c>
    </row>
    <row r="858" spans="1:9" x14ac:dyDescent="0.3">
      <c r="A858">
        <v>22</v>
      </c>
      <c r="B858">
        <v>3</v>
      </c>
      <c r="C858">
        <v>2</v>
      </c>
      <c r="D858">
        <v>5</v>
      </c>
      <c r="E858" t="s">
        <v>22</v>
      </c>
      <c r="F858" t="s">
        <v>1477</v>
      </c>
      <c r="G858" t="s">
        <v>1478</v>
      </c>
      <c r="H858">
        <v>1.0009999999999999</v>
      </c>
      <c r="I858" t="s">
        <v>21</v>
      </c>
    </row>
    <row r="859" spans="1:9" x14ac:dyDescent="0.3">
      <c r="A859">
        <v>22</v>
      </c>
      <c r="B859">
        <v>3</v>
      </c>
      <c r="C859">
        <v>2</v>
      </c>
      <c r="D859">
        <v>5</v>
      </c>
      <c r="E859" t="s">
        <v>19</v>
      </c>
      <c r="F859" t="s">
        <v>1479</v>
      </c>
      <c r="I859" t="s">
        <v>21</v>
      </c>
    </row>
    <row r="860" spans="1:9" x14ac:dyDescent="0.3">
      <c r="A860">
        <v>22</v>
      </c>
      <c r="B860">
        <v>3</v>
      </c>
      <c r="C860">
        <v>2</v>
      </c>
      <c r="D860">
        <v>6</v>
      </c>
      <c r="E860" t="s">
        <v>9</v>
      </c>
      <c r="F860" t="s">
        <v>1480</v>
      </c>
      <c r="G860" t="s">
        <v>1481</v>
      </c>
      <c r="H860">
        <v>1.153</v>
      </c>
      <c r="I860" t="s">
        <v>12</v>
      </c>
    </row>
    <row r="861" spans="1:9" x14ac:dyDescent="0.3">
      <c r="A861">
        <v>22</v>
      </c>
      <c r="B861">
        <v>3</v>
      </c>
      <c r="C861">
        <v>2</v>
      </c>
      <c r="D861">
        <v>6</v>
      </c>
      <c r="E861" t="s">
        <v>9</v>
      </c>
      <c r="F861" t="s">
        <v>1482</v>
      </c>
      <c r="G861" t="s">
        <v>1483</v>
      </c>
      <c r="H861">
        <v>1.1519999999999999</v>
      </c>
      <c r="I861" t="s">
        <v>12</v>
      </c>
    </row>
    <row r="862" spans="1:9" x14ac:dyDescent="0.3">
      <c r="A862">
        <v>22</v>
      </c>
      <c r="B862">
        <v>3</v>
      </c>
      <c r="C862">
        <v>2</v>
      </c>
      <c r="D862">
        <v>6</v>
      </c>
      <c r="E862" t="s">
        <v>9</v>
      </c>
      <c r="F862" t="s">
        <v>1484</v>
      </c>
      <c r="G862" t="s">
        <v>1485</v>
      </c>
      <c r="H862">
        <v>1.5</v>
      </c>
      <c r="I862" t="s">
        <v>12</v>
      </c>
    </row>
    <row r="863" spans="1:9" x14ac:dyDescent="0.3">
      <c r="A863">
        <v>22</v>
      </c>
      <c r="B863">
        <v>3</v>
      </c>
      <c r="C863">
        <v>2</v>
      </c>
      <c r="D863">
        <v>6</v>
      </c>
      <c r="E863" t="s">
        <v>22</v>
      </c>
      <c r="F863" t="s">
        <v>1486</v>
      </c>
      <c r="G863" t="s">
        <v>1487</v>
      </c>
      <c r="H863">
        <v>0.9</v>
      </c>
      <c r="I863" t="s">
        <v>21</v>
      </c>
    </row>
    <row r="864" spans="1:9" x14ac:dyDescent="0.3">
      <c r="A864">
        <v>22</v>
      </c>
      <c r="B864">
        <v>3</v>
      </c>
      <c r="C864">
        <v>2</v>
      </c>
      <c r="D864">
        <v>6</v>
      </c>
      <c r="E864" t="s">
        <v>9</v>
      </c>
      <c r="F864" t="s">
        <v>1488</v>
      </c>
      <c r="G864" t="s">
        <v>1489</v>
      </c>
      <c r="H864">
        <v>1.5009999999999999</v>
      </c>
      <c r="I864" t="s">
        <v>12</v>
      </c>
    </row>
    <row r="865" spans="1:9" x14ac:dyDescent="0.3">
      <c r="A865">
        <v>22</v>
      </c>
      <c r="B865">
        <v>3</v>
      </c>
      <c r="C865">
        <v>2</v>
      </c>
      <c r="D865">
        <v>6</v>
      </c>
      <c r="E865" t="s">
        <v>19</v>
      </c>
      <c r="F865" t="s">
        <v>1490</v>
      </c>
      <c r="I865" t="s">
        <v>21</v>
      </c>
    </row>
    <row r="866" spans="1:9" x14ac:dyDescent="0.3">
      <c r="A866">
        <v>22</v>
      </c>
      <c r="B866">
        <v>3</v>
      </c>
      <c r="C866">
        <v>2</v>
      </c>
      <c r="D866">
        <v>6</v>
      </c>
      <c r="E866" t="s">
        <v>22</v>
      </c>
      <c r="F866" t="s">
        <v>1491</v>
      </c>
      <c r="G866" t="s">
        <v>1492</v>
      </c>
      <c r="H866">
        <v>1.101</v>
      </c>
      <c r="I866" t="s">
        <v>21</v>
      </c>
    </row>
    <row r="867" spans="1:9" x14ac:dyDescent="0.3">
      <c r="A867">
        <v>22</v>
      </c>
      <c r="B867">
        <v>3</v>
      </c>
      <c r="C867">
        <v>2</v>
      </c>
      <c r="D867">
        <v>6</v>
      </c>
      <c r="E867" t="s">
        <v>19</v>
      </c>
      <c r="F867" t="s">
        <v>1493</v>
      </c>
      <c r="I867" t="s">
        <v>21</v>
      </c>
    </row>
    <row r="868" spans="1:9" x14ac:dyDescent="0.3">
      <c r="A868">
        <v>22</v>
      </c>
      <c r="B868">
        <v>3</v>
      </c>
      <c r="C868">
        <v>2</v>
      </c>
      <c r="D868">
        <v>7</v>
      </c>
      <c r="E868" t="s">
        <v>9</v>
      </c>
      <c r="F868" t="s">
        <v>1494</v>
      </c>
      <c r="G868" t="s">
        <v>1495</v>
      </c>
      <c r="H868">
        <v>1.2529999999999999</v>
      </c>
      <c r="I868" t="s">
        <v>12</v>
      </c>
    </row>
    <row r="869" spans="1:9" x14ac:dyDescent="0.3">
      <c r="A869">
        <v>22</v>
      </c>
      <c r="B869">
        <v>3</v>
      </c>
      <c r="C869">
        <v>2</v>
      </c>
      <c r="D869">
        <v>7</v>
      </c>
      <c r="E869" t="s">
        <v>19</v>
      </c>
      <c r="F869" t="s">
        <v>1496</v>
      </c>
      <c r="I869" t="s">
        <v>21</v>
      </c>
    </row>
    <row r="870" spans="1:9" x14ac:dyDescent="0.3">
      <c r="A870">
        <v>22</v>
      </c>
      <c r="B870">
        <v>3</v>
      </c>
      <c r="C870">
        <v>2</v>
      </c>
      <c r="D870">
        <v>7</v>
      </c>
      <c r="E870" t="s">
        <v>9</v>
      </c>
      <c r="F870" t="s">
        <v>1497</v>
      </c>
      <c r="G870" t="s">
        <v>1498</v>
      </c>
      <c r="H870">
        <v>1.486</v>
      </c>
      <c r="I870" t="s">
        <v>12</v>
      </c>
    </row>
    <row r="871" spans="1:9" x14ac:dyDescent="0.3">
      <c r="A871">
        <v>22</v>
      </c>
      <c r="B871">
        <v>3</v>
      </c>
      <c r="C871">
        <v>2</v>
      </c>
      <c r="D871">
        <v>7</v>
      </c>
      <c r="E871" t="s">
        <v>9</v>
      </c>
      <c r="F871" t="s">
        <v>1499</v>
      </c>
      <c r="G871" t="s">
        <v>1500</v>
      </c>
      <c r="H871">
        <v>1.0349999999999999</v>
      </c>
      <c r="I871" t="s">
        <v>12</v>
      </c>
    </row>
    <row r="872" spans="1:9" x14ac:dyDescent="0.3">
      <c r="A872">
        <v>22</v>
      </c>
      <c r="B872">
        <v>3</v>
      </c>
      <c r="C872">
        <v>2</v>
      </c>
      <c r="D872">
        <v>7</v>
      </c>
      <c r="E872" t="s">
        <v>22</v>
      </c>
      <c r="F872" t="s">
        <v>1501</v>
      </c>
      <c r="G872" t="s">
        <v>1502</v>
      </c>
      <c r="H872">
        <v>1.6</v>
      </c>
      <c r="I872" t="s">
        <v>21</v>
      </c>
    </row>
    <row r="873" spans="1:9" x14ac:dyDescent="0.3">
      <c r="A873">
        <v>22</v>
      </c>
      <c r="B873">
        <v>3</v>
      </c>
      <c r="C873">
        <v>2</v>
      </c>
      <c r="D873">
        <v>7</v>
      </c>
      <c r="E873" t="s">
        <v>9</v>
      </c>
      <c r="F873" t="s">
        <v>1503</v>
      </c>
      <c r="G873" t="s">
        <v>1504</v>
      </c>
      <c r="H873">
        <v>1.2669999999999999</v>
      </c>
      <c r="I873" t="s">
        <v>12</v>
      </c>
    </row>
    <row r="874" spans="1:9" x14ac:dyDescent="0.3">
      <c r="A874">
        <v>22</v>
      </c>
      <c r="B874">
        <v>3</v>
      </c>
      <c r="C874">
        <v>2</v>
      </c>
      <c r="D874">
        <v>7</v>
      </c>
      <c r="E874" t="s">
        <v>22</v>
      </c>
      <c r="F874" t="s">
        <v>1505</v>
      </c>
      <c r="G874" t="s">
        <v>1506</v>
      </c>
      <c r="H874">
        <v>3.968</v>
      </c>
      <c r="I874" t="s">
        <v>21</v>
      </c>
    </row>
    <row r="875" spans="1:9" x14ac:dyDescent="0.3">
      <c r="A875">
        <v>22</v>
      </c>
      <c r="B875">
        <v>3</v>
      </c>
      <c r="C875">
        <v>2</v>
      </c>
      <c r="D875">
        <v>7</v>
      </c>
      <c r="E875" t="s">
        <v>19</v>
      </c>
      <c r="F875" t="s">
        <v>1507</v>
      </c>
      <c r="I875" t="s">
        <v>21</v>
      </c>
    </row>
    <row r="876" spans="1:9" x14ac:dyDescent="0.3">
      <c r="A876">
        <v>22</v>
      </c>
      <c r="B876">
        <v>3</v>
      </c>
      <c r="C876">
        <v>2</v>
      </c>
      <c r="D876">
        <v>8</v>
      </c>
      <c r="E876" t="s">
        <v>9</v>
      </c>
      <c r="F876" t="s">
        <v>1508</v>
      </c>
      <c r="G876" t="s">
        <v>1509</v>
      </c>
      <c r="H876">
        <v>1.6879999999999999</v>
      </c>
      <c r="I876" t="s">
        <v>12</v>
      </c>
    </row>
    <row r="877" spans="1:9" x14ac:dyDescent="0.3">
      <c r="A877">
        <v>22</v>
      </c>
      <c r="B877">
        <v>3</v>
      </c>
      <c r="C877">
        <v>2</v>
      </c>
      <c r="D877">
        <v>8</v>
      </c>
      <c r="E877" t="s">
        <v>19</v>
      </c>
      <c r="F877" t="s">
        <v>1510</v>
      </c>
      <c r="I877" t="s">
        <v>21</v>
      </c>
    </row>
    <row r="878" spans="1:9" x14ac:dyDescent="0.3">
      <c r="A878">
        <v>22</v>
      </c>
      <c r="B878">
        <v>3</v>
      </c>
      <c r="C878">
        <v>2</v>
      </c>
      <c r="D878">
        <v>8</v>
      </c>
      <c r="E878" t="s">
        <v>22</v>
      </c>
      <c r="F878" t="s">
        <v>1511</v>
      </c>
      <c r="G878" t="s">
        <v>1512</v>
      </c>
      <c r="H878">
        <v>1.968</v>
      </c>
      <c r="I878" t="s">
        <v>21</v>
      </c>
    </row>
    <row r="879" spans="1:9" x14ac:dyDescent="0.3">
      <c r="A879">
        <v>22</v>
      </c>
      <c r="B879">
        <v>3</v>
      </c>
      <c r="C879">
        <v>2</v>
      </c>
      <c r="D879">
        <v>8</v>
      </c>
      <c r="E879" t="s">
        <v>9</v>
      </c>
      <c r="F879" t="s">
        <v>1513</v>
      </c>
      <c r="G879" t="s">
        <v>1514</v>
      </c>
      <c r="H879">
        <v>1.62</v>
      </c>
      <c r="I879" t="s">
        <v>12</v>
      </c>
    </row>
    <row r="880" spans="1:9" x14ac:dyDescent="0.3">
      <c r="A880">
        <v>22</v>
      </c>
      <c r="B880">
        <v>3</v>
      </c>
      <c r="C880">
        <v>2</v>
      </c>
      <c r="D880">
        <v>8</v>
      </c>
      <c r="E880" t="s">
        <v>9</v>
      </c>
      <c r="F880" t="s">
        <v>1515</v>
      </c>
      <c r="G880" t="s">
        <v>1516</v>
      </c>
      <c r="H880">
        <v>1.466</v>
      </c>
      <c r="I880" t="s">
        <v>12</v>
      </c>
    </row>
    <row r="881" spans="1:9" x14ac:dyDescent="0.3">
      <c r="A881">
        <v>22</v>
      </c>
      <c r="B881">
        <v>3</v>
      </c>
      <c r="C881">
        <v>2</v>
      </c>
      <c r="D881">
        <v>8</v>
      </c>
      <c r="E881" t="s">
        <v>9</v>
      </c>
      <c r="F881" t="s">
        <v>1517</v>
      </c>
      <c r="G881" t="s">
        <v>1518</v>
      </c>
      <c r="H881">
        <v>1.1339999999999999</v>
      </c>
      <c r="I881" t="s">
        <v>12</v>
      </c>
    </row>
    <row r="882" spans="1:9" x14ac:dyDescent="0.3">
      <c r="A882">
        <v>22</v>
      </c>
      <c r="B882">
        <v>3</v>
      </c>
      <c r="C882">
        <v>2</v>
      </c>
      <c r="D882">
        <v>8</v>
      </c>
      <c r="E882" t="s">
        <v>22</v>
      </c>
      <c r="F882" t="s">
        <v>1519</v>
      </c>
      <c r="G882" t="s">
        <v>1520</v>
      </c>
      <c r="H882">
        <v>0.53500000000000003</v>
      </c>
      <c r="I882" t="s">
        <v>21</v>
      </c>
    </row>
    <row r="883" spans="1:9" x14ac:dyDescent="0.3">
      <c r="A883">
        <v>22</v>
      </c>
      <c r="B883">
        <v>3</v>
      </c>
      <c r="C883">
        <v>2</v>
      </c>
      <c r="D883">
        <v>8</v>
      </c>
      <c r="E883" t="s">
        <v>19</v>
      </c>
      <c r="F883" t="s">
        <v>1521</v>
      </c>
      <c r="I883" t="s">
        <v>21</v>
      </c>
    </row>
    <row r="884" spans="1:9" x14ac:dyDescent="0.3">
      <c r="A884">
        <v>22</v>
      </c>
      <c r="B884">
        <v>3</v>
      </c>
      <c r="C884">
        <v>2</v>
      </c>
      <c r="D884">
        <v>9</v>
      </c>
      <c r="E884" t="s">
        <v>9</v>
      </c>
      <c r="F884" t="s">
        <v>1522</v>
      </c>
      <c r="G884" t="s">
        <v>1523</v>
      </c>
      <c r="H884">
        <v>1.2809999999999999</v>
      </c>
      <c r="I884" t="s">
        <v>12</v>
      </c>
    </row>
    <row r="885" spans="1:9" x14ac:dyDescent="0.3">
      <c r="A885">
        <v>22</v>
      </c>
      <c r="B885">
        <v>3</v>
      </c>
      <c r="C885">
        <v>2</v>
      </c>
      <c r="D885">
        <v>9</v>
      </c>
      <c r="E885" t="s">
        <v>9</v>
      </c>
      <c r="F885" t="s">
        <v>1524</v>
      </c>
      <c r="G885" t="s">
        <v>1525</v>
      </c>
      <c r="H885">
        <v>1.252</v>
      </c>
      <c r="I885" t="s">
        <v>12</v>
      </c>
    </row>
    <row r="886" spans="1:9" x14ac:dyDescent="0.3">
      <c r="A886">
        <v>22</v>
      </c>
      <c r="B886">
        <v>3</v>
      </c>
      <c r="C886">
        <v>2</v>
      </c>
      <c r="D886">
        <v>9</v>
      </c>
      <c r="E886" t="s">
        <v>19</v>
      </c>
      <c r="F886" t="s">
        <v>1526</v>
      </c>
      <c r="I886" t="s">
        <v>21</v>
      </c>
    </row>
    <row r="887" spans="1:9" x14ac:dyDescent="0.3">
      <c r="A887">
        <v>22</v>
      </c>
      <c r="B887">
        <v>3</v>
      </c>
      <c r="C887">
        <v>2</v>
      </c>
      <c r="D887">
        <v>9</v>
      </c>
      <c r="E887" t="s">
        <v>9</v>
      </c>
      <c r="F887" t="s">
        <v>1527</v>
      </c>
      <c r="G887" t="s">
        <v>1528</v>
      </c>
      <c r="H887">
        <v>2.367</v>
      </c>
      <c r="I887" t="s">
        <v>12</v>
      </c>
    </row>
    <row r="888" spans="1:9" x14ac:dyDescent="0.3">
      <c r="A888">
        <v>22</v>
      </c>
      <c r="B888">
        <v>3</v>
      </c>
      <c r="C888">
        <v>2</v>
      </c>
      <c r="D888">
        <v>9</v>
      </c>
      <c r="E888" t="s">
        <v>22</v>
      </c>
      <c r="F888" t="s">
        <v>1529</v>
      </c>
      <c r="G888" t="s">
        <v>1530</v>
      </c>
      <c r="H888">
        <v>1.0329999999999999</v>
      </c>
      <c r="I888" t="s">
        <v>21</v>
      </c>
    </row>
    <row r="889" spans="1:9" x14ac:dyDescent="0.3">
      <c r="A889">
        <v>22</v>
      </c>
      <c r="B889">
        <v>3</v>
      </c>
      <c r="C889">
        <v>2</v>
      </c>
      <c r="D889">
        <v>9</v>
      </c>
      <c r="E889" t="s">
        <v>22</v>
      </c>
      <c r="F889" t="s">
        <v>1531</v>
      </c>
      <c r="G889" t="s">
        <v>1532</v>
      </c>
      <c r="H889">
        <v>1.167</v>
      </c>
      <c r="I889" t="s">
        <v>21</v>
      </c>
    </row>
    <row r="890" spans="1:9" x14ac:dyDescent="0.3">
      <c r="A890">
        <v>22</v>
      </c>
      <c r="B890">
        <v>3</v>
      </c>
      <c r="C890">
        <v>2</v>
      </c>
      <c r="D890">
        <v>9</v>
      </c>
      <c r="E890" t="s">
        <v>9</v>
      </c>
      <c r="F890" t="s">
        <v>1533</v>
      </c>
      <c r="G890" t="s">
        <v>1534</v>
      </c>
      <c r="H890">
        <v>1.7</v>
      </c>
      <c r="I890" t="s">
        <v>12</v>
      </c>
    </row>
    <row r="891" spans="1:9" x14ac:dyDescent="0.3">
      <c r="A891">
        <v>22</v>
      </c>
      <c r="B891">
        <v>3</v>
      </c>
      <c r="C891">
        <v>2</v>
      </c>
      <c r="D891">
        <v>9</v>
      </c>
      <c r="E891" t="s">
        <v>19</v>
      </c>
      <c r="F891" t="s">
        <v>1535</v>
      </c>
      <c r="I891" t="s">
        <v>21</v>
      </c>
    </row>
    <row r="892" spans="1:9" x14ac:dyDescent="0.3">
      <c r="A892">
        <v>22</v>
      </c>
      <c r="B892">
        <v>3</v>
      </c>
      <c r="C892">
        <v>2</v>
      </c>
      <c r="D892">
        <v>10</v>
      </c>
      <c r="E892" t="s">
        <v>9</v>
      </c>
      <c r="F892" t="s">
        <v>1536</v>
      </c>
      <c r="G892" t="s">
        <v>1537</v>
      </c>
      <c r="H892">
        <v>1.1859999999999999</v>
      </c>
      <c r="I892" t="s">
        <v>12</v>
      </c>
    </row>
    <row r="893" spans="1:9" x14ac:dyDescent="0.3">
      <c r="A893">
        <v>22</v>
      </c>
      <c r="B893">
        <v>3</v>
      </c>
      <c r="C893">
        <v>2</v>
      </c>
      <c r="D893">
        <v>10</v>
      </c>
      <c r="E893" t="s">
        <v>19</v>
      </c>
      <c r="F893" t="s">
        <v>1538</v>
      </c>
      <c r="I893" t="s">
        <v>21</v>
      </c>
    </row>
    <row r="894" spans="1:9" x14ac:dyDescent="0.3">
      <c r="A894">
        <v>22</v>
      </c>
      <c r="B894">
        <v>3</v>
      </c>
      <c r="C894">
        <v>2</v>
      </c>
      <c r="D894">
        <v>10</v>
      </c>
      <c r="E894" t="s">
        <v>9</v>
      </c>
      <c r="F894" t="s">
        <v>1539</v>
      </c>
      <c r="G894" t="s">
        <v>1540</v>
      </c>
      <c r="H894">
        <v>1.2</v>
      </c>
      <c r="I894" t="s">
        <v>12</v>
      </c>
    </row>
    <row r="895" spans="1:9" x14ac:dyDescent="0.3">
      <c r="A895">
        <v>22</v>
      </c>
      <c r="B895">
        <v>3</v>
      </c>
      <c r="C895">
        <v>2</v>
      </c>
      <c r="D895">
        <v>10</v>
      </c>
      <c r="E895" t="s">
        <v>22</v>
      </c>
      <c r="F895" t="s">
        <v>1541</v>
      </c>
      <c r="G895" t="s">
        <v>1542</v>
      </c>
      <c r="H895">
        <v>0.55200000000000005</v>
      </c>
      <c r="I895" t="s">
        <v>21</v>
      </c>
    </row>
    <row r="896" spans="1:9" x14ac:dyDescent="0.3">
      <c r="A896">
        <v>22</v>
      </c>
      <c r="B896">
        <v>3</v>
      </c>
      <c r="C896">
        <v>2</v>
      </c>
      <c r="D896">
        <v>10</v>
      </c>
      <c r="E896" t="s">
        <v>22</v>
      </c>
      <c r="F896" t="s">
        <v>1543</v>
      </c>
      <c r="G896" t="s">
        <v>1544</v>
      </c>
      <c r="H896">
        <v>1.0669999999999999</v>
      </c>
      <c r="I896" t="s">
        <v>21</v>
      </c>
    </row>
    <row r="897" spans="1:9" x14ac:dyDescent="0.3">
      <c r="A897">
        <v>22</v>
      </c>
      <c r="B897">
        <v>3</v>
      </c>
      <c r="C897">
        <v>2</v>
      </c>
      <c r="D897">
        <v>10</v>
      </c>
      <c r="E897" t="s">
        <v>19</v>
      </c>
      <c r="F897" t="s">
        <v>1545</v>
      </c>
      <c r="I897" t="s">
        <v>21</v>
      </c>
    </row>
    <row r="898" spans="1:9" x14ac:dyDescent="0.3">
      <c r="A898">
        <v>23</v>
      </c>
      <c r="B898">
        <v>1</v>
      </c>
      <c r="C898">
        <v>1</v>
      </c>
      <c r="D898">
        <v>1</v>
      </c>
      <c r="E898" t="s">
        <v>9</v>
      </c>
      <c r="F898" t="s">
        <v>1546</v>
      </c>
      <c r="G898" t="s">
        <v>1547</v>
      </c>
      <c r="H898">
        <v>9.2089999999999996</v>
      </c>
      <c r="I898" t="s">
        <v>12</v>
      </c>
    </row>
    <row r="899" spans="1:9" x14ac:dyDescent="0.3">
      <c r="A899">
        <v>23</v>
      </c>
      <c r="B899">
        <v>1</v>
      </c>
      <c r="C899">
        <v>1</v>
      </c>
      <c r="D899">
        <v>2</v>
      </c>
      <c r="E899" t="s">
        <v>9</v>
      </c>
      <c r="F899" t="s">
        <v>1548</v>
      </c>
      <c r="G899" t="s">
        <v>1549</v>
      </c>
      <c r="H899">
        <v>3.22</v>
      </c>
      <c r="I899" t="s">
        <v>12</v>
      </c>
    </row>
    <row r="900" spans="1:9" x14ac:dyDescent="0.3">
      <c r="A900">
        <v>23</v>
      </c>
      <c r="B900">
        <v>1</v>
      </c>
      <c r="C900">
        <v>1</v>
      </c>
      <c r="D900">
        <v>2</v>
      </c>
      <c r="E900" t="s">
        <v>9</v>
      </c>
      <c r="F900" t="s">
        <v>1550</v>
      </c>
      <c r="G900" t="s">
        <v>1551</v>
      </c>
      <c r="H900">
        <v>4.1150000000000002</v>
      </c>
      <c r="I900" t="s">
        <v>12</v>
      </c>
    </row>
    <row r="901" spans="1:9" x14ac:dyDescent="0.3">
      <c r="A901">
        <v>23</v>
      </c>
      <c r="B901">
        <v>1</v>
      </c>
      <c r="C901">
        <v>1</v>
      </c>
      <c r="D901">
        <v>2</v>
      </c>
      <c r="E901" t="s">
        <v>19</v>
      </c>
      <c r="F901" t="s">
        <v>1552</v>
      </c>
      <c r="I901" t="s">
        <v>34</v>
      </c>
    </row>
    <row r="902" spans="1:9" x14ac:dyDescent="0.3">
      <c r="A902">
        <v>23</v>
      </c>
      <c r="B902">
        <v>1</v>
      </c>
      <c r="C902">
        <v>1</v>
      </c>
      <c r="D902">
        <v>2</v>
      </c>
      <c r="E902" t="s">
        <v>9</v>
      </c>
      <c r="F902" t="s">
        <v>1553</v>
      </c>
      <c r="G902" t="s">
        <v>1554</v>
      </c>
      <c r="H902">
        <v>3.6</v>
      </c>
      <c r="I902" t="s">
        <v>12</v>
      </c>
    </row>
    <row r="903" spans="1:9" x14ac:dyDescent="0.3">
      <c r="A903">
        <v>23</v>
      </c>
      <c r="B903">
        <v>1</v>
      </c>
      <c r="C903">
        <v>1</v>
      </c>
      <c r="D903">
        <v>2</v>
      </c>
      <c r="E903" t="s">
        <v>9</v>
      </c>
      <c r="F903" t="s">
        <v>1555</v>
      </c>
      <c r="G903" t="s">
        <v>1556</v>
      </c>
      <c r="H903">
        <v>3.9940000000000002</v>
      </c>
      <c r="I903" t="s">
        <v>12</v>
      </c>
    </row>
    <row r="904" spans="1:9" x14ac:dyDescent="0.3">
      <c r="A904">
        <v>23</v>
      </c>
      <c r="B904">
        <v>1</v>
      </c>
      <c r="C904">
        <v>1</v>
      </c>
      <c r="D904">
        <v>3</v>
      </c>
      <c r="E904" t="s">
        <v>9</v>
      </c>
      <c r="F904" t="s">
        <v>1557</v>
      </c>
      <c r="G904" t="s">
        <v>1558</v>
      </c>
      <c r="H904">
        <v>9.5860000000000003</v>
      </c>
      <c r="I904" t="s">
        <v>12</v>
      </c>
    </row>
    <row r="905" spans="1:9" x14ac:dyDescent="0.3">
      <c r="A905">
        <v>23</v>
      </c>
      <c r="B905">
        <v>1</v>
      </c>
      <c r="C905">
        <v>1</v>
      </c>
      <c r="D905">
        <v>3</v>
      </c>
      <c r="E905" t="s">
        <v>9</v>
      </c>
      <c r="F905" t="s">
        <v>1559</v>
      </c>
      <c r="G905" t="s">
        <v>1560</v>
      </c>
      <c r="H905">
        <v>2.0350000000000001</v>
      </c>
      <c r="I905" t="s">
        <v>12</v>
      </c>
    </row>
    <row r="906" spans="1:9" x14ac:dyDescent="0.3">
      <c r="A906">
        <v>23</v>
      </c>
      <c r="B906">
        <v>1</v>
      </c>
      <c r="C906">
        <v>1</v>
      </c>
      <c r="D906">
        <v>3</v>
      </c>
      <c r="E906" t="s">
        <v>19</v>
      </c>
      <c r="F906" t="s">
        <v>1561</v>
      </c>
      <c r="I906" t="s">
        <v>34</v>
      </c>
    </row>
    <row r="907" spans="1:9" x14ac:dyDescent="0.3">
      <c r="A907">
        <v>23</v>
      </c>
      <c r="B907">
        <v>1</v>
      </c>
      <c r="C907">
        <v>1</v>
      </c>
      <c r="D907">
        <v>3</v>
      </c>
      <c r="E907" t="s">
        <v>9</v>
      </c>
      <c r="F907" t="s">
        <v>1562</v>
      </c>
      <c r="G907" t="s">
        <v>1563</v>
      </c>
      <c r="H907">
        <v>5.101</v>
      </c>
      <c r="I907" t="s">
        <v>12</v>
      </c>
    </row>
    <row r="908" spans="1:9" x14ac:dyDescent="0.3">
      <c r="A908">
        <v>23</v>
      </c>
      <c r="B908">
        <v>1</v>
      </c>
      <c r="C908">
        <v>1</v>
      </c>
      <c r="D908">
        <v>3</v>
      </c>
      <c r="E908" t="s">
        <v>9</v>
      </c>
      <c r="F908" t="s">
        <v>1564</v>
      </c>
      <c r="G908" t="s">
        <v>1565</v>
      </c>
      <c r="H908">
        <v>4.1280000000000001</v>
      </c>
      <c r="I908" t="s">
        <v>12</v>
      </c>
    </row>
    <row r="909" spans="1:9" x14ac:dyDescent="0.3">
      <c r="A909">
        <v>23</v>
      </c>
      <c r="B909">
        <v>1</v>
      </c>
      <c r="C909">
        <v>1</v>
      </c>
      <c r="D909">
        <v>4</v>
      </c>
      <c r="E909" t="s">
        <v>9</v>
      </c>
      <c r="F909" t="s">
        <v>1566</v>
      </c>
      <c r="G909" t="s">
        <v>1567</v>
      </c>
      <c r="H909">
        <v>2.4529999999999998</v>
      </c>
      <c r="I909" t="s">
        <v>12</v>
      </c>
    </row>
    <row r="910" spans="1:9" x14ac:dyDescent="0.3">
      <c r="A910">
        <v>23</v>
      </c>
      <c r="B910">
        <v>1</v>
      </c>
      <c r="C910">
        <v>1</v>
      </c>
      <c r="D910">
        <v>4</v>
      </c>
      <c r="E910" t="s">
        <v>19</v>
      </c>
      <c r="F910" t="s">
        <v>1568</v>
      </c>
      <c r="I910" t="s">
        <v>21</v>
      </c>
    </row>
    <row r="911" spans="1:9" x14ac:dyDescent="0.3">
      <c r="A911">
        <v>23</v>
      </c>
      <c r="B911">
        <v>1</v>
      </c>
      <c r="C911">
        <v>1</v>
      </c>
      <c r="D911">
        <v>5</v>
      </c>
      <c r="E911" t="s">
        <v>9</v>
      </c>
      <c r="F911" t="s">
        <v>1569</v>
      </c>
      <c r="G911" t="s">
        <v>1570</v>
      </c>
      <c r="H911">
        <v>2.4860000000000002</v>
      </c>
      <c r="I911" t="s">
        <v>12</v>
      </c>
    </row>
    <row r="912" spans="1:9" x14ac:dyDescent="0.3">
      <c r="A912">
        <v>23</v>
      </c>
      <c r="B912">
        <v>1</v>
      </c>
      <c r="C912">
        <v>1</v>
      </c>
      <c r="D912">
        <v>5</v>
      </c>
      <c r="E912" t="s">
        <v>9</v>
      </c>
      <c r="F912" t="s">
        <v>1571</v>
      </c>
      <c r="G912" t="s">
        <v>1572</v>
      </c>
      <c r="H912">
        <v>2.4689999999999999</v>
      </c>
      <c r="I912" t="s">
        <v>12</v>
      </c>
    </row>
    <row r="913" spans="1:9" x14ac:dyDescent="0.3">
      <c r="A913">
        <v>23</v>
      </c>
      <c r="B913">
        <v>1</v>
      </c>
      <c r="C913">
        <v>1</v>
      </c>
      <c r="D913">
        <v>5</v>
      </c>
      <c r="E913" t="s">
        <v>19</v>
      </c>
      <c r="F913" t="s">
        <v>1573</v>
      </c>
      <c r="I913" t="s">
        <v>21</v>
      </c>
    </row>
    <row r="914" spans="1:9" x14ac:dyDescent="0.3">
      <c r="A914">
        <v>23</v>
      </c>
      <c r="B914">
        <v>1</v>
      </c>
      <c r="C914">
        <v>1</v>
      </c>
      <c r="D914">
        <v>6</v>
      </c>
      <c r="E914" t="s">
        <v>22</v>
      </c>
      <c r="F914" t="s">
        <v>1574</v>
      </c>
      <c r="G914" t="s">
        <v>1575</v>
      </c>
      <c r="H914">
        <v>5.32</v>
      </c>
      <c r="I914" t="s">
        <v>21</v>
      </c>
    </row>
    <row r="915" spans="1:9" x14ac:dyDescent="0.3">
      <c r="A915">
        <v>23</v>
      </c>
      <c r="B915">
        <v>1</v>
      </c>
      <c r="C915">
        <v>1</v>
      </c>
      <c r="D915">
        <v>6</v>
      </c>
      <c r="E915" t="s">
        <v>9</v>
      </c>
      <c r="F915" t="s">
        <v>1576</v>
      </c>
      <c r="G915" t="s">
        <v>1577</v>
      </c>
      <c r="H915">
        <v>3.202</v>
      </c>
      <c r="I915" t="s">
        <v>12</v>
      </c>
    </row>
    <row r="916" spans="1:9" x14ac:dyDescent="0.3">
      <c r="A916">
        <v>23</v>
      </c>
      <c r="B916">
        <v>1</v>
      </c>
      <c r="C916">
        <v>1</v>
      </c>
      <c r="D916">
        <v>6</v>
      </c>
      <c r="E916" t="s">
        <v>9</v>
      </c>
      <c r="F916" t="s">
        <v>1578</v>
      </c>
      <c r="G916" t="s">
        <v>1579</v>
      </c>
      <c r="H916">
        <v>2.2000000000000002</v>
      </c>
      <c r="I916" t="s">
        <v>12</v>
      </c>
    </row>
    <row r="917" spans="1:9" x14ac:dyDescent="0.3">
      <c r="A917">
        <v>23</v>
      </c>
      <c r="B917">
        <v>1</v>
      </c>
      <c r="C917">
        <v>1</v>
      </c>
      <c r="D917">
        <v>6</v>
      </c>
      <c r="E917" t="s">
        <v>19</v>
      </c>
      <c r="F917" t="s">
        <v>1580</v>
      </c>
      <c r="I917" t="s">
        <v>21</v>
      </c>
    </row>
    <row r="918" spans="1:9" x14ac:dyDescent="0.3">
      <c r="A918">
        <v>23</v>
      </c>
      <c r="B918">
        <v>1</v>
      </c>
      <c r="C918">
        <v>1</v>
      </c>
      <c r="D918">
        <v>7</v>
      </c>
      <c r="E918" t="s">
        <v>22</v>
      </c>
      <c r="F918" t="s">
        <v>1581</v>
      </c>
      <c r="G918" t="s">
        <v>1582</v>
      </c>
      <c r="H918">
        <v>3.5190000000000001</v>
      </c>
      <c r="I918" t="s">
        <v>21</v>
      </c>
    </row>
    <row r="919" spans="1:9" x14ac:dyDescent="0.3">
      <c r="A919">
        <v>23</v>
      </c>
      <c r="B919">
        <v>1</v>
      </c>
      <c r="C919">
        <v>1</v>
      </c>
      <c r="D919">
        <v>7</v>
      </c>
      <c r="E919" t="s">
        <v>9</v>
      </c>
      <c r="F919" t="s">
        <v>1583</v>
      </c>
      <c r="G919" t="s">
        <v>1584</v>
      </c>
      <c r="H919">
        <v>6.4009999999999998</v>
      </c>
      <c r="I919" t="s">
        <v>12</v>
      </c>
    </row>
    <row r="920" spans="1:9" x14ac:dyDescent="0.3">
      <c r="A920">
        <v>23</v>
      </c>
      <c r="B920">
        <v>1</v>
      </c>
      <c r="C920">
        <v>1</v>
      </c>
      <c r="D920">
        <v>7</v>
      </c>
      <c r="E920" t="s">
        <v>9</v>
      </c>
      <c r="F920" t="s">
        <v>1585</v>
      </c>
      <c r="G920" t="s">
        <v>1586</v>
      </c>
      <c r="H920">
        <v>3.0350000000000001</v>
      </c>
      <c r="I920" t="s">
        <v>12</v>
      </c>
    </row>
    <row r="921" spans="1:9" x14ac:dyDescent="0.3">
      <c r="A921">
        <v>23</v>
      </c>
      <c r="B921">
        <v>1</v>
      </c>
      <c r="C921">
        <v>1</v>
      </c>
      <c r="D921">
        <v>7</v>
      </c>
      <c r="E921" t="s">
        <v>9</v>
      </c>
      <c r="F921" t="s">
        <v>1587</v>
      </c>
      <c r="G921" t="s">
        <v>1588</v>
      </c>
      <c r="H921">
        <v>2.5009999999999999</v>
      </c>
      <c r="I921" t="s">
        <v>12</v>
      </c>
    </row>
    <row r="922" spans="1:9" x14ac:dyDescent="0.3">
      <c r="A922">
        <v>23</v>
      </c>
      <c r="B922">
        <v>1</v>
      </c>
      <c r="C922">
        <v>1</v>
      </c>
      <c r="D922">
        <v>7</v>
      </c>
      <c r="E922" t="s">
        <v>19</v>
      </c>
      <c r="F922" t="s">
        <v>1589</v>
      </c>
      <c r="I922" t="s">
        <v>21</v>
      </c>
    </row>
    <row r="923" spans="1:9" x14ac:dyDescent="0.3">
      <c r="A923">
        <v>23</v>
      </c>
      <c r="B923">
        <v>1</v>
      </c>
      <c r="C923">
        <v>1</v>
      </c>
      <c r="D923">
        <v>7</v>
      </c>
      <c r="E923" t="s">
        <v>9</v>
      </c>
      <c r="F923" t="s">
        <v>1590</v>
      </c>
      <c r="G923" t="s">
        <v>1591</v>
      </c>
      <c r="H923">
        <v>4.9340000000000002</v>
      </c>
      <c r="I923" t="s">
        <v>12</v>
      </c>
    </row>
    <row r="924" spans="1:9" x14ac:dyDescent="0.3">
      <c r="A924">
        <v>23</v>
      </c>
      <c r="B924">
        <v>1</v>
      </c>
      <c r="C924">
        <v>1</v>
      </c>
      <c r="D924">
        <v>8</v>
      </c>
      <c r="E924" t="s">
        <v>22</v>
      </c>
      <c r="F924" t="s">
        <v>1592</v>
      </c>
      <c r="G924" t="s">
        <v>1593</v>
      </c>
      <c r="H924">
        <v>2.419</v>
      </c>
      <c r="I924" t="s">
        <v>21</v>
      </c>
    </row>
    <row r="925" spans="1:9" x14ac:dyDescent="0.3">
      <c r="A925">
        <v>23</v>
      </c>
      <c r="B925">
        <v>1</v>
      </c>
      <c r="C925">
        <v>1</v>
      </c>
      <c r="D925">
        <v>8</v>
      </c>
      <c r="E925" t="s">
        <v>9</v>
      </c>
      <c r="F925" t="s">
        <v>1594</v>
      </c>
      <c r="G925" t="s">
        <v>1595</v>
      </c>
      <c r="H925">
        <v>4.4660000000000002</v>
      </c>
      <c r="I925" t="s">
        <v>12</v>
      </c>
    </row>
    <row r="926" spans="1:9" x14ac:dyDescent="0.3">
      <c r="A926">
        <v>23</v>
      </c>
      <c r="B926">
        <v>1</v>
      </c>
      <c r="C926">
        <v>1</v>
      </c>
      <c r="D926">
        <v>8</v>
      </c>
      <c r="E926" t="s">
        <v>9</v>
      </c>
      <c r="F926" t="s">
        <v>1596</v>
      </c>
      <c r="G926" t="s">
        <v>1597</v>
      </c>
      <c r="H926">
        <v>2.9340000000000002</v>
      </c>
      <c r="I926" t="s">
        <v>12</v>
      </c>
    </row>
    <row r="927" spans="1:9" x14ac:dyDescent="0.3">
      <c r="A927">
        <v>23</v>
      </c>
      <c r="B927">
        <v>1</v>
      </c>
      <c r="C927">
        <v>1</v>
      </c>
      <c r="D927">
        <v>8</v>
      </c>
      <c r="E927" t="s">
        <v>9</v>
      </c>
      <c r="F927" t="s">
        <v>1598</v>
      </c>
      <c r="G927" t="s">
        <v>1599</v>
      </c>
      <c r="H927">
        <v>5.234</v>
      </c>
      <c r="I927" t="s">
        <v>12</v>
      </c>
    </row>
    <row r="928" spans="1:9" x14ac:dyDescent="0.3">
      <c r="A928">
        <v>23</v>
      </c>
      <c r="B928">
        <v>1</v>
      </c>
      <c r="C928">
        <v>1</v>
      </c>
      <c r="D928">
        <v>8</v>
      </c>
      <c r="E928" t="s">
        <v>9</v>
      </c>
      <c r="F928" t="s">
        <v>1600</v>
      </c>
      <c r="G928" t="s">
        <v>1601</v>
      </c>
      <c r="H928">
        <v>5.9009999999999998</v>
      </c>
      <c r="I928" t="s">
        <v>12</v>
      </c>
    </row>
    <row r="929" spans="1:9" x14ac:dyDescent="0.3">
      <c r="A929">
        <v>23</v>
      </c>
      <c r="B929">
        <v>1</v>
      </c>
      <c r="C929">
        <v>1</v>
      </c>
      <c r="D929">
        <v>8</v>
      </c>
      <c r="E929" t="s">
        <v>19</v>
      </c>
      <c r="F929" t="s">
        <v>1602</v>
      </c>
      <c r="I929" t="s">
        <v>21</v>
      </c>
    </row>
    <row r="930" spans="1:9" x14ac:dyDescent="0.3">
      <c r="A930">
        <v>23</v>
      </c>
      <c r="B930">
        <v>1</v>
      </c>
      <c r="C930">
        <v>1</v>
      </c>
      <c r="D930">
        <v>9</v>
      </c>
      <c r="E930" t="s">
        <v>22</v>
      </c>
      <c r="F930" t="s">
        <v>1603</v>
      </c>
      <c r="G930" t="s">
        <v>1604</v>
      </c>
      <c r="H930">
        <v>5.62</v>
      </c>
      <c r="I930" t="s">
        <v>21</v>
      </c>
    </row>
    <row r="931" spans="1:9" x14ac:dyDescent="0.3">
      <c r="A931">
        <v>23</v>
      </c>
      <c r="B931">
        <v>1</v>
      </c>
      <c r="C931">
        <v>1</v>
      </c>
      <c r="D931">
        <v>9</v>
      </c>
      <c r="E931" t="s">
        <v>9</v>
      </c>
      <c r="F931" t="s">
        <v>1605</v>
      </c>
      <c r="G931" t="s">
        <v>1606</v>
      </c>
      <c r="H931">
        <v>3.8010000000000002</v>
      </c>
      <c r="I931" t="s">
        <v>12</v>
      </c>
    </row>
    <row r="932" spans="1:9" x14ac:dyDescent="0.3">
      <c r="A932">
        <v>23</v>
      </c>
      <c r="B932">
        <v>1</v>
      </c>
      <c r="C932">
        <v>1</v>
      </c>
      <c r="D932">
        <v>9</v>
      </c>
      <c r="E932" t="s">
        <v>9</v>
      </c>
      <c r="F932" t="s">
        <v>1607</v>
      </c>
      <c r="G932" t="s">
        <v>1608</v>
      </c>
      <c r="H932">
        <v>3.1960000000000002</v>
      </c>
      <c r="I932" t="s">
        <v>12</v>
      </c>
    </row>
    <row r="933" spans="1:9" x14ac:dyDescent="0.3">
      <c r="A933">
        <v>23</v>
      </c>
      <c r="B933">
        <v>1</v>
      </c>
      <c r="C933">
        <v>1</v>
      </c>
      <c r="D933">
        <v>9</v>
      </c>
      <c r="E933" t="s">
        <v>9</v>
      </c>
      <c r="F933" t="s">
        <v>1609</v>
      </c>
      <c r="G933" t="s">
        <v>1610</v>
      </c>
      <c r="H933">
        <v>2.0009999999999999</v>
      </c>
      <c r="I933" t="s">
        <v>12</v>
      </c>
    </row>
    <row r="934" spans="1:9" x14ac:dyDescent="0.3">
      <c r="A934">
        <v>23</v>
      </c>
      <c r="B934">
        <v>1</v>
      </c>
      <c r="C934">
        <v>1</v>
      </c>
      <c r="D934">
        <v>9</v>
      </c>
      <c r="E934" t="s">
        <v>19</v>
      </c>
      <c r="F934" t="s">
        <v>1611</v>
      </c>
      <c r="I934" t="s">
        <v>21</v>
      </c>
    </row>
    <row r="935" spans="1:9" x14ac:dyDescent="0.3">
      <c r="A935">
        <v>23</v>
      </c>
      <c r="B935">
        <v>1</v>
      </c>
      <c r="C935">
        <v>1</v>
      </c>
      <c r="D935">
        <v>9</v>
      </c>
      <c r="E935" t="s">
        <v>19</v>
      </c>
      <c r="F935" t="s">
        <v>1612</v>
      </c>
      <c r="I935" t="s">
        <v>21</v>
      </c>
    </row>
    <row r="936" spans="1:9" x14ac:dyDescent="0.3">
      <c r="A936">
        <v>24</v>
      </c>
      <c r="B936">
        <v>1</v>
      </c>
      <c r="C936">
        <v>1</v>
      </c>
      <c r="D936">
        <v>1</v>
      </c>
      <c r="E936" t="s">
        <v>9</v>
      </c>
      <c r="F936" t="s">
        <v>5343</v>
      </c>
      <c r="G936" t="s">
        <v>1613</v>
      </c>
      <c r="H936">
        <v>7.0359999999999996</v>
      </c>
      <c r="I936" t="s">
        <v>12</v>
      </c>
    </row>
    <row r="937" spans="1:9" x14ac:dyDescent="0.3">
      <c r="A937">
        <v>24</v>
      </c>
      <c r="B937">
        <v>1</v>
      </c>
      <c r="C937">
        <v>1</v>
      </c>
      <c r="D937">
        <v>2</v>
      </c>
      <c r="E937" t="s">
        <v>9</v>
      </c>
      <c r="F937" t="s">
        <v>1614</v>
      </c>
      <c r="G937" t="s">
        <v>1615</v>
      </c>
      <c r="H937">
        <v>2.0179999999999998</v>
      </c>
      <c r="I937" t="s">
        <v>12</v>
      </c>
    </row>
    <row r="938" spans="1:9" x14ac:dyDescent="0.3">
      <c r="A938">
        <v>24</v>
      </c>
      <c r="B938">
        <v>1</v>
      </c>
      <c r="C938">
        <v>1</v>
      </c>
      <c r="D938">
        <v>3</v>
      </c>
      <c r="E938" t="s">
        <v>9</v>
      </c>
      <c r="F938" t="s">
        <v>1616</v>
      </c>
      <c r="H938" t="s">
        <v>81</v>
      </c>
      <c r="I938" t="s">
        <v>34</v>
      </c>
    </row>
    <row r="939" spans="1:9" x14ac:dyDescent="0.3">
      <c r="A939">
        <v>24</v>
      </c>
      <c r="B939">
        <v>1</v>
      </c>
      <c r="C939">
        <v>2</v>
      </c>
      <c r="D939">
        <v>1</v>
      </c>
      <c r="E939" t="s">
        <v>9</v>
      </c>
      <c r="F939" t="s">
        <v>1617</v>
      </c>
      <c r="H939" t="s">
        <v>81</v>
      </c>
      <c r="I939" t="s">
        <v>34</v>
      </c>
    </row>
    <row r="940" spans="1:9" x14ac:dyDescent="0.3">
      <c r="A940">
        <v>24</v>
      </c>
      <c r="B940">
        <v>1</v>
      </c>
      <c r="C940">
        <v>2</v>
      </c>
      <c r="D940">
        <v>1</v>
      </c>
      <c r="E940" t="s">
        <v>9</v>
      </c>
      <c r="F940" t="s">
        <v>1618</v>
      </c>
      <c r="G940" t="s">
        <v>1619</v>
      </c>
      <c r="H940">
        <v>2.3860000000000001</v>
      </c>
      <c r="I940" t="s">
        <v>12</v>
      </c>
    </row>
    <row r="941" spans="1:9" x14ac:dyDescent="0.3">
      <c r="A941">
        <v>24</v>
      </c>
      <c r="B941">
        <v>1</v>
      </c>
      <c r="C941">
        <v>2</v>
      </c>
      <c r="D941">
        <v>1</v>
      </c>
      <c r="E941" t="s">
        <v>19</v>
      </c>
      <c r="F941" t="s">
        <v>1620</v>
      </c>
      <c r="I941" t="s">
        <v>34</v>
      </c>
    </row>
    <row r="942" spans="1:9" x14ac:dyDescent="0.3">
      <c r="A942">
        <v>24</v>
      </c>
      <c r="B942">
        <v>1</v>
      </c>
      <c r="C942">
        <v>2</v>
      </c>
      <c r="D942">
        <v>1</v>
      </c>
      <c r="E942" t="s">
        <v>9</v>
      </c>
      <c r="F942" t="s">
        <v>1621</v>
      </c>
      <c r="H942" t="s">
        <v>81</v>
      </c>
      <c r="I942" t="s">
        <v>34</v>
      </c>
    </row>
    <row r="943" spans="1:9" x14ac:dyDescent="0.3">
      <c r="A943">
        <v>24</v>
      </c>
      <c r="B943">
        <v>1</v>
      </c>
      <c r="C943">
        <v>2</v>
      </c>
      <c r="D943">
        <v>1</v>
      </c>
      <c r="E943" t="s">
        <v>22</v>
      </c>
      <c r="F943" t="s">
        <v>1622</v>
      </c>
      <c r="H943" t="s">
        <v>81</v>
      </c>
      <c r="I943" t="s">
        <v>34</v>
      </c>
    </row>
    <row r="944" spans="1:9" x14ac:dyDescent="0.3">
      <c r="A944">
        <v>24</v>
      </c>
      <c r="B944">
        <v>1</v>
      </c>
      <c r="C944">
        <v>2</v>
      </c>
      <c r="D944">
        <v>1</v>
      </c>
      <c r="E944" t="s">
        <v>22</v>
      </c>
      <c r="F944" t="s">
        <v>1623</v>
      </c>
      <c r="G944" t="s">
        <v>1624</v>
      </c>
      <c r="H944">
        <v>3.0670000000000002</v>
      </c>
      <c r="I944" t="s">
        <v>21</v>
      </c>
    </row>
    <row r="945" spans="1:9" x14ac:dyDescent="0.3">
      <c r="A945">
        <v>24</v>
      </c>
      <c r="B945">
        <v>1</v>
      </c>
      <c r="C945">
        <v>2</v>
      </c>
      <c r="D945">
        <v>1</v>
      </c>
      <c r="E945" t="s">
        <v>19</v>
      </c>
      <c r="F945" t="s">
        <v>1625</v>
      </c>
      <c r="I945" t="s">
        <v>34</v>
      </c>
    </row>
    <row r="946" spans="1:9" x14ac:dyDescent="0.3">
      <c r="A946">
        <v>24</v>
      </c>
      <c r="B946">
        <v>1</v>
      </c>
      <c r="C946">
        <v>2</v>
      </c>
      <c r="D946">
        <v>1</v>
      </c>
      <c r="E946" t="s">
        <v>19</v>
      </c>
      <c r="F946" t="s">
        <v>1626</v>
      </c>
      <c r="I946" t="s">
        <v>34</v>
      </c>
    </row>
    <row r="947" spans="1:9" x14ac:dyDescent="0.3">
      <c r="A947">
        <v>24</v>
      </c>
      <c r="B947">
        <v>1</v>
      </c>
      <c r="C947">
        <v>2</v>
      </c>
      <c r="D947">
        <v>1</v>
      </c>
      <c r="E947" t="s">
        <v>19</v>
      </c>
      <c r="F947" t="s">
        <v>1627</v>
      </c>
      <c r="I947" t="s">
        <v>21</v>
      </c>
    </row>
    <row r="948" spans="1:9" x14ac:dyDescent="0.3">
      <c r="A948">
        <v>24</v>
      </c>
      <c r="B948">
        <v>1</v>
      </c>
      <c r="C948">
        <v>2</v>
      </c>
      <c r="D948">
        <v>3</v>
      </c>
      <c r="E948" t="s">
        <v>9</v>
      </c>
      <c r="F948" t="s">
        <v>1628</v>
      </c>
      <c r="G948" t="s">
        <v>1629</v>
      </c>
      <c r="H948">
        <v>3.2189999999999999</v>
      </c>
      <c r="I948" t="s">
        <v>12</v>
      </c>
    </row>
    <row r="949" spans="1:9" x14ac:dyDescent="0.3">
      <c r="A949">
        <v>24</v>
      </c>
      <c r="B949">
        <v>1</v>
      </c>
      <c r="C949">
        <v>2</v>
      </c>
      <c r="D949">
        <v>3</v>
      </c>
      <c r="E949" t="s">
        <v>9</v>
      </c>
      <c r="F949" t="s">
        <v>1630</v>
      </c>
      <c r="G949" t="s">
        <v>1631</v>
      </c>
      <c r="H949">
        <v>3.367</v>
      </c>
      <c r="I949" t="s">
        <v>12</v>
      </c>
    </row>
    <row r="950" spans="1:9" x14ac:dyDescent="0.3">
      <c r="A950">
        <v>24</v>
      </c>
      <c r="B950">
        <v>1</v>
      </c>
      <c r="C950">
        <v>2</v>
      </c>
      <c r="D950">
        <v>3</v>
      </c>
      <c r="E950" t="s">
        <v>22</v>
      </c>
      <c r="F950" t="s">
        <v>1632</v>
      </c>
      <c r="G950" t="s">
        <v>1633</v>
      </c>
      <c r="H950">
        <v>2.835</v>
      </c>
      <c r="I950" t="s">
        <v>21</v>
      </c>
    </row>
    <row r="951" spans="1:9" x14ac:dyDescent="0.3">
      <c r="A951">
        <v>24</v>
      </c>
      <c r="B951">
        <v>1</v>
      </c>
      <c r="C951">
        <v>2</v>
      </c>
      <c r="D951">
        <v>3</v>
      </c>
      <c r="E951" t="s">
        <v>9</v>
      </c>
      <c r="F951" t="s">
        <v>1634</v>
      </c>
      <c r="G951" t="s">
        <v>1635</v>
      </c>
      <c r="H951">
        <v>3.2669999999999999</v>
      </c>
      <c r="I951" t="s">
        <v>12</v>
      </c>
    </row>
    <row r="952" spans="1:9" x14ac:dyDescent="0.3">
      <c r="A952">
        <v>24</v>
      </c>
      <c r="B952">
        <v>1</v>
      </c>
      <c r="C952">
        <v>2</v>
      </c>
      <c r="D952">
        <v>3</v>
      </c>
      <c r="E952" t="s">
        <v>9</v>
      </c>
      <c r="F952" t="s">
        <v>1636</v>
      </c>
      <c r="G952" t="s">
        <v>1637</v>
      </c>
      <c r="H952">
        <v>2.6680000000000001</v>
      </c>
      <c r="I952" t="s">
        <v>12</v>
      </c>
    </row>
    <row r="953" spans="1:9" x14ac:dyDescent="0.3">
      <c r="A953">
        <v>24</v>
      </c>
      <c r="B953">
        <v>1</v>
      </c>
      <c r="C953">
        <v>2</v>
      </c>
      <c r="D953">
        <v>3</v>
      </c>
      <c r="E953" t="s">
        <v>19</v>
      </c>
      <c r="F953" t="s">
        <v>1638</v>
      </c>
      <c r="I953" t="s">
        <v>21</v>
      </c>
    </row>
    <row r="954" spans="1:9" x14ac:dyDescent="0.3">
      <c r="A954">
        <v>24</v>
      </c>
      <c r="B954">
        <v>3</v>
      </c>
      <c r="C954">
        <v>1</v>
      </c>
      <c r="D954">
        <v>1</v>
      </c>
      <c r="E954" t="s">
        <v>9</v>
      </c>
      <c r="F954" t="s">
        <v>1639</v>
      </c>
      <c r="G954" t="s">
        <v>1640</v>
      </c>
      <c r="H954">
        <v>3.5790000000000002</v>
      </c>
      <c r="I954" t="s">
        <v>12</v>
      </c>
    </row>
    <row r="955" spans="1:9" x14ac:dyDescent="0.3">
      <c r="A955">
        <v>24</v>
      </c>
      <c r="B955">
        <v>3</v>
      </c>
      <c r="C955">
        <v>1</v>
      </c>
      <c r="D955">
        <v>2</v>
      </c>
      <c r="E955" t="s">
        <v>22</v>
      </c>
      <c r="F955" t="s">
        <v>1641</v>
      </c>
      <c r="G955" t="s">
        <v>1642</v>
      </c>
      <c r="H955">
        <v>3.8180000000000001</v>
      </c>
      <c r="I955" t="s">
        <v>21</v>
      </c>
    </row>
    <row r="956" spans="1:9" x14ac:dyDescent="0.3">
      <c r="A956">
        <v>24</v>
      </c>
      <c r="B956">
        <v>3</v>
      </c>
      <c r="C956">
        <v>1</v>
      </c>
      <c r="D956">
        <v>2</v>
      </c>
      <c r="E956" t="s">
        <v>9</v>
      </c>
      <c r="F956" t="s">
        <v>1643</v>
      </c>
      <c r="G956" t="s">
        <v>1644</v>
      </c>
      <c r="H956">
        <v>2.6339999999999999</v>
      </c>
      <c r="I956" t="s">
        <v>12</v>
      </c>
    </row>
    <row r="957" spans="1:9" x14ac:dyDescent="0.3">
      <c r="A957">
        <v>24</v>
      </c>
      <c r="B957">
        <v>3</v>
      </c>
      <c r="C957">
        <v>1</v>
      </c>
      <c r="D957">
        <v>2</v>
      </c>
      <c r="E957" t="s">
        <v>19</v>
      </c>
      <c r="F957" t="s">
        <v>1645</v>
      </c>
      <c r="I957" t="s">
        <v>21</v>
      </c>
    </row>
    <row r="958" spans="1:9" x14ac:dyDescent="0.3">
      <c r="A958">
        <v>24</v>
      </c>
      <c r="B958">
        <v>3</v>
      </c>
      <c r="C958">
        <v>1</v>
      </c>
      <c r="D958">
        <v>2</v>
      </c>
      <c r="E958" t="s">
        <v>9</v>
      </c>
      <c r="F958" t="s">
        <v>1646</v>
      </c>
      <c r="G958" t="s">
        <v>1647</v>
      </c>
      <c r="H958">
        <v>3.4020000000000001</v>
      </c>
      <c r="I958" t="s">
        <v>12</v>
      </c>
    </row>
    <row r="959" spans="1:9" x14ac:dyDescent="0.3">
      <c r="A959">
        <v>24</v>
      </c>
      <c r="B959">
        <v>3</v>
      </c>
      <c r="C959">
        <v>1</v>
      </c>
      <c r="D959">
        <v>2</v>
      </c>
      <c r="E959" t="s">
        <v>19</v>
      </c>
      <c r="F959" t="s">
        <v>1648</v>
      </c>
      <c r="I959" t="s">
        <v>34</v>
      </c>
    </row>
    <row r="960" spans="1:9" x14ac:dyDescent="0.3">
      <c r="A960">
        <v>24</v>
      </c>
      <c r="B960">
        <v>3</v>
      </c>
      <c r="C960">
        <v>1</v>
      </c>
      <c r="D960">
        <v>2</v>
      </c>
      <c r="E960" t="s">
        <v>19</v>
      </c>
      <c r="F960" t="s">
        <v>1649</v>
      </c>
      <c r="I960" t="s">
        <v>34</v>
      </c>
    </row>
    <row r="961" spans="1:9" x14ac:dyDescent="0.3">
      <c r="A961">
        <v>24</v>
      </c>
      <c r="B961">
        <v>3</v>
      </c>
      <c r="C961">
        <v>1</v>
      </c>
      <c r="D961">
        <v>2</v>
      </c>
      <c r="E961" t="s">
        <v>19</v>
      </c>
      <c r="F961" t="s">
        <v>1650</v>
      </c>
      <c r="I961" t="s">
        <v>34</v>
      </c>
    </row>
    <row r="962" spans="1:9" x14ac:dyDescent="0.3">
      <c r="A962">
        <v>24</v>
      </c>
      <c r="B962">
        <v>3</v>
      </c>
      <c r="C962">
        <v>1</v>
      </c>
      <c r="D962">
        <v>2</v>
      </c>
      <c r="E962" t="s">
        <v>19</v>
      </c>
      <c r="F962" t="s">
        <v>1651</v>
      </c>
      <c r="I962" t="s">
        <v>34</v>
      </c>
    </row>
    <row r="963" spans="1:9" x14ac:dyDescent="0.3">
      <c r="A963">
        <v>24</v>
      </c>
      <c r="B963">
        <v>3</v>
      </c>
      <c r="C963">
        <v>1</v>
      </c>
      <c r="D963">
        <v>2</v>
      </c>
      <c r="E963" t="s">
        <v>19</v>
      </c>
      <c r="F963" t="s">
        <v>1652</v>
      </c>
      <c r="I963" t="s">
        <v>34</v>
      </c>
    </row>
    <row r="964" spans="1:9" x14ac:dyDescent="0.3">
      <c r="A964">
        <v>24</v>
      </c>
      <c r="B964">
        <v>3</v>
      </c>
      <c r="C964">
        <v>1</v>
      </c>
      <c r="D964">
        <v>2</v>
      </c>
      <c r="E964" t="s">
        <v>19</v>
      </c>
      <c r="F964" t="s">
        <v>1653</v>
      </c>
      <c r="I964" t="s">
        <v>21</v>
      </c>
    </row>
    <row r="965" spans="1:9" x14ac:dyDescent="0.3">
      <c r="A965">
        <v>24</v>
      </c>
      <c r="B965">
        <v>3</v>
      </c>
      <c r="C965">
        <v>1</v>
      </c>
      <c r="D965">
        <v>2</v>
      </c>
      <c r="E965" t="s">
        <v>19</v>
      </c>
      <c r="F965" t="s">
        <v>1654</v>
      </c>
      <c r="I965" t="s">
        <v>21</v>
      </c>
    </row>
    <row r="966" spans="1:9" x14ac:dyDescent="0.3">
      <c r="A966">
        <v>24</v>
      </c>
      <c r="B966">
        <v>3</v>
      </c>
      <c r="C966">
        <v>1</v>
      </c>
      <c r="D966">
        <v>2</v>
      </c>
      <c r="E966" t="s">
        <v>19</v>
      </c>
      <c r="F966" t="s">
        <v>1655</v>
      </c>
      <c r="I966" t="s">
        <v>21</v>
      </c>
    </row>
    <row r="967" spans="1:9" x14ac:dyDescent="0.3">
      <c r="A967">
        <v>24</v>
      </c>
      <c r="B967">
        <v>3</v>
      </c>
      <c r="C967">
        <v>1</v>
      </c>
      <c r="D967">
        <v>3</v>
      </c>
      <c r="E967" t="s">
        <v>9</v>
      </c>
      <c r="F967" t="s">
        <v>1656</v>
      </c>
      <c r="G967" t="s">
        <v>1657</v>
      </c>
      <c r="H967">
        <v>8.5850000000000009</v>
      </c>
      <c r="I967" t="s">
        <v>12</v>
      </c>
    </row>
    <row r="968" spans="1:9" x14ac:dyDescent="0.3">
      <c r="A968">
        <v>24</v>
      </c>
      <c r="B968">
        <v>3</v>
      </c>
      <c r="C968">
        <v>1</v>
      </c>
      <c r="D968">
        <v>3</v>
      </c>
      <c r="E968" t="s">
        <v>9</v>
      </c>
      <c r="F968" t="s">
        <v>1658</v>
      </c>
      <c r="G968" t="s">
        <v>1659</v>
      </c>
      <c r="H968">
        <v>2.6339999999999999</v>
      </c>
      <c r="I968" t="s">
        <v>12</v>
      </c>
    </row>
    <row r="969" spans="1:9" x14ac:dyDescent="0.3">
      <c r="A969">
        <v>24</v>
      </c>
      <c r="B969">
        <v>3</v>
      </c>
      <c r="C969">
        <v>1</v>
      </c>
      <c r="D969">
        <v>3</v>
      </c>
      <c r="E969" t="s">
        <v>22</v>
      </c>
      <c r="F969" t="s">
        <v>1660</v>
      </c>
      <c r="G969" t="s">
        <v>1661</v>
      </c>
      <c r="H969">
        <v>0.70099999999999996</v>
      </c>
      <c r="I969" t="s">
        <v>21</v>
      </c>
    </row>
    <row r="970" spans="1:9" x14ac:dyDescent="0.3">
      <c r="A970">
        <v>24</v>
      </c>
      <c r="B970">
        <v>3</v>
      </c>
      <c r="C970">
        <v>1</v>
      </c>
      <c r="D970">
        <v>3</v>
      </c>
      <c r="E970" t="s">
        <v>19</v>
      </c>
      <c r="F970" t="s">
        <v>1662</v>
      </c>
      <c r="I970" t="s">
        <v>21</v>
      </c>
    </row>
    <row r="971" spans="1:9" x14ac:dyDescent="0.3">
      <c r="A971">
        <v>24</v>
      </c>
      <c r="B971">
        <v>3</v>
      </c>
      <c r="C971">
        <v>1</v>
      </c>
      <c r="D971">
        <v>4</v>
      </c>
      <c r="E971" t="s">
        <v>22</v>
      </c>
      <c r="F971" t="s">
        <v>1663</v>
      </c>
      <c r="G971" t="s">
        <v>1664</v>
      </c>
      <c r="H971">
        <v>2.5179999999999998</v>
      </c>
      <c r="I971" t="s">
        <v>21</v>
      </c>
    </row>
    <row r="972" spans="1:9" x14ac:dyDescent="0.3">
      <c r="A972">
        <v>24</v>
      </c>
      <c r="B972">
        <v>3</v>
      </c>
      <c r="C972">
        <v>1</v>
      </c>
      <c r="D972">
        <v>4</v>
      </c>
      <c r="E972" t="s">
        <v>22</v>
      </c>
      <c r="F972" t="s">
        <v>1665</v>
      </c>
      <c r="G972" t="s">
        <v>1666</v>
      </c>
      <c r="H972">
        <v>3.0350000000000001</v>
      </c>
      <c r="I972" t="s">
        <v>21</v>
      </c>
    </row>
    <row r="973" spans="1:9" x14ac:dyDescent="0.3">
      <c r="A973">
        <v>24</v>
      </c>
      <c r="B973">
        <v>3</v>
      </c>
      <c r="C973">
        <v>1</v>
      </c>
      <c r="D973">
        <v>4</v>
      </c>
      <c r="E973" t="s">
        <v>9</v>
      </c>
      <c r="F973" t="s">
        <v>1667</v>
      </c>
      <c r="G973" t="s">
        <v>1668</v>
      </c>
      <c r="H973">
        <v>2.101</v>
      </c>
      <c r="I973" t="s">
        <v>12</v>
      </c>
    </row>
    <row r="974" spans="1:9" x14ac:dyDescent="0.3">
      <c r="A974">
        <v>24</v>
      </c>
      <c r="B974">
        <v>3</v>
      </c>
      <c r="C974">
        <v>1</v>
      </c>
      <c r="D974">
        <v>4</v>
      </c>
      <c r="E974" t="s">
        <v>9</v>
      </c>
      <c r="F974" t="s">
        <v>1669</v>
      </c>
      <c r="G974" t="s">
        <v>1670</v>
      </c>
      <c r="H974">
        <v>2.5680000000000001</v>
      </c>
      <c r="I974" t="s">
        <v>12</v>
      </c>
    </row>
    <row r="975" spans="1:9" x14ac:dyDescent="0.3">
      <c r="A975">
        <v>24</v>
      </c>
      <c r="B975">
        <v>3</v>
      </c>
      <c r="C975">
        <v>1</v>
      </c>
      <c r="D975">
        <v>4</v>
      </c>
      <c r="E975" t="s">
        <v>19</v>
      </c>
      <c r="F975" t="s">
        <v>1671</v>
      </c>
      <c r="I975" t="s">
        <v>21</v>
      </c>
    </row>
    <row r="976" spans="1:9" x14ac:dyDescent="0.3">
      <c r="A976">
        <v>24</v>
      </c>
      <c r="B976">
        <v>3</v>
      </c>
      <c r="C976">
        <v>1</v>
      </c>
      <c r="D976">
        <v>5</v>
      </c>
      <c r="E976" t="s">
        <v>9</v>
      </c>
      <c r="F976" t="s">
        <v>1672</v>
      </c>
      <c r="G976" t="s">
        <v>1673</v>
      </c>
      <c r="H976">
        <v>3.35</v>
      </c>
      <c r="I976" t="s">
        <v>12</v>
      </c>
    </row>
    <row r="977" spans="1:9" x14ac:dyDescent="0.3">
      <c r="A977">
        <v>24</v>
      </c>
      <c r="B977">
        <v>3</v>
      </c>
      <c r="C977">
        <v>1</v>
      </c>
      <c r="D977">
        <v>5</v>
      </c>
      <c r="E977" t="s">
        <v>9</v>
      </c>
      <c r="F977" t="s">
        <v>1674</v>
      </c>
      <c r="G977" t="s">
        <v>1675</v>
      </c>
      <c r="H977">
        <v>2.3010000000000002</v>
      </c>
      <c r="I977" t="s">
        <v>12</v>
      </c>
    </row>
    <row r="978" spans="1:9" x14ac:dyDescent="0.3">
      <c r="A978">
        <v>24</v>
      </c>
      <c r="B978">
        <v>3</v>
      </c>
      <c r="C978">
        <v>1</v>
      </c>
      <c r="D978">
        <v>5</v>
      </c>
      <c r="E978" t="s">
        <v>22</v>
      </c>
      <c r="F978" t="s">
        <v>1676</v>
      </c>
      <c r="G978" t="s">
        <v>1677</v>
      </c>
      <c r="H978">
        <v>2.4</v>
      </c>
      <c r="I978" t="s">
        <v>21</v>
      </c>
    </row>
    <row r="979" spans="1:9" x14ac:dyDescent="0.3">
      <c r="A979">
        <v>24</v>
      </c>
      <c r="B979">
        <v>3</v>
      </c>
      <c r="C979">
        <v>1</v>
      </c>
      <c r="D979">
        <v>5</v>
      </c>
      <c r="E979" t="s">
        <v>9</v>
      </c>
      <c r="F979" t="s">
        <v>1678</v>
      </c>
      <c r="G979" t="s">
        <v>1679</v>
      </c>
      <c r="H979">
        <v>2.3679999999999999</v>
      </c>
      <c r="I979" t="s">
        <v>12</v>
      </c>
    </row>
    <row r="980" spans="1:9" x14ac:dyDescent="0.3">
      <c r="A980">
        <v>24</v>
      </c>
      <c r="B980">
        <v>3</v>
      </c>
      <c r="C980">
        <v>1</v>
      </c>
      <c r="D980">
        <v>5</v>
      </c>
      <c r="E980" t="s">
        <v>9</v>
      </c>
      <c r="F980" t="s">
        <v>1680</v>
      </c>
      <c r="G980" t="s">
        <v>1681</v>
      </c>
      <c r="H980">
        <v>1.661</v>
      </c>
      <c r="I980" t="s">
        <v>12</v>
      </c>
    </row>
    <row r="981" spans="1:9" x14ac:dyDescent="0.3">
      <c r="A981">
        <v>24</v>
      </c>
      <c r="B981">
        <v>3</v>
      </c>
      <c r="C981">
        <v>1</v>
      </c>
      <c r="D981">
        <v>5</v>
      </c>
      <c r="E981" t="s">
        <v>19</v>
      </c>
      <c r="F981" t="s">
        <v>1682</v>
      </c>
      <c r="I981" t="s">
        <v>21</v>
      </c>
    </row>
    <row r="982" spans="1:9" x14ac:dyDescent="0.3">
      <c r="A982">
        <v>24</v>
      </c>
      <c r="B982">
        <v>3</v>
      </c>
      <c r="C982">
        <v>1</v>
      </c>
      <c r="D982">
        <v>5</v>
      </c>
      <c r="E982" t="s">
        <v>22</v>
      </c>
      <c r="F982" t="s">
        <v>1683</v>
      </c>
      <c r="G982" t="s">
        <v>1684</v>
      </c>
      <c r="H982">
        <v>1.5680000000000001</v>
      </c>
      <c r="I982" t="s">
        <v>21</v>
      </c>
    </row>
    <row r="983" spans="1:9" x14ac:dyDescent="0.3">
      <c r="A983">
        <v>24</v>
      </c>
      <c r="B983">
        <v>3</v>
      </c>
      <c r="C983">
        <v>1</v>
      </c>
      <c r="D983">
        <v>5</v>
      </c>
      <c r="E983" t="s">
        <v>19</v>
      </c>
      <c r="F983" t="s">
        <v>1685</v>
      </c>
      <c r="I983" t="s">
        <v>21</v>
      </c>
    </row>
    <row r="984" spans="1:9" x14ac:dyDescent="0.3">
      <c r="A984">
        <v>24</v>
      </c>
      <c r="B984">
        <v>3</v>
      </c>
      <c r="C984">
        <v>2</v>
      </c>
      <c r="D984">
        <v>2</v>
      </c>
      <c r="E984" t="s">
        <v>22</v>
      </c>
      <c r="F984" t="s">
        <v>1686</v>
      </c>
      <c r="G984" t="s">
        <v>1687</v>
      </c>
      <c r="H984">
        <v>1.952</v>
      </c>
      <c r="I984" t="s">
        <v>21</v>
      </c>
    </row>
    <row r="985" spans="1:9" x14ac:dyDescent="0.3">
      <c r="A985">
        <v>24</v>
      </c>
      <c r="B985">
        <v>3</v>
      </c>
      <c r="C985">
        <v>2</v>
      </c>
      <c r="D985">
        <v>2</v>
      </c>
      <c r="E985" t="s">
        <v>9</v>
      </c>
      <c r="F985" t="s">
        <v>1688</v>
      </c>
      <c r="G985" t="s">
        <v>1689</v>
      </c>
      <c r="H985">
        <v>2.5190000000000001</v>
      </c>
      <c r="I985" t="s">
        <v>12</v>
      </c>
    </row>
    <row r="986" spans="1:9" x14ac:dyDescent="0.3">
      <c r="A986">
        <v>24</v>
      </c>
      <c r="B986">
        <v>3</v>
      </c>
      <c r="C986">
        <v>2</v>
      </c>
      <c r="D986">
        <v>2</v>
      </c>
      <c r="E986" t="s">
        <v>9</v>
      </c>
      <c r="F986" t="s">
        <v>1690</v>
      </c>
      <c r="G986" t="s">
        <v>1691</v>
      </c>
      <c r="H986">
        <v>3.5</v>
      </c>
      <c r="I986" t="s">
        <v>12</v>
      </c>
    </row>
    <row r="987" spans="1:9" x14ac:dyDescent="0.3">
      <c r="A987">
        <v>24</v>
      </c>
      <c r="B987">
        <v>3</v>
      </c>
      <c r="C987">
        <v>2</v>
      </c>
      <c r="D987">
        <v>2</v>
      </c>
      <c r="E987" t="s">
        <v>9</v>
      </c>
      <c r="F987" t="s">
        <v>1692</v>
      </c>
      <c r="G987" t="s">
        <v>1693</v>
      </c>
      <c r="H987">
        <v>2.0680000000000001</v>
      </c>
      <c r="I987" t="s">
        <v>12</v>
      </c>
    </row>
    <row r="988" spans="1:9" x14ac:dyDescent="0.3">
      <c r="A988">
        <v>24</v>
      </c>
      <c r="B988">
        <v>3</v>
      </c>
      <c r="C988">
        <v>2</v>
      </c>
      <c r="D988">
        <v>2</v>
      </c>
      <c r="E988" t="s">
        <v>9</v>
      </c>
      <c r="F988" t="s">
        <v>1694</v>
      </c>
      <c r="G988" t="s">
        <v>1695</v>
      </c>
      <c r="H988">
        <v>3.234</v>
      </c>
      <c r="I988" t="s">
        <v>12</v>
      </c>
    </row>
    <row r="989" spans="1:9" x14ac:dyDescent="0.3">
      <c r="A989">
        <v>24</v>
      </c>
      <c r="B989">
        <v>3</v>
      </c>
      <c r="C989">
        <v>2</v>
      </c>
      <c r="D989">
        <v>2</v>
      </c>
      <c r="E989" t="s">
        <v>19</v>
      </c>
      <c r="F989" t="s">
        <v>1696</v>
      </c>
      <c r="I989" t="s">
        <v>34</v>
      </c>
    </row>
    <row r="990" spans="1:9" x14ac:dyDescent="0.3">
      <c r="A990">
        <v>24</v>
      </c>
      <c r="B990">
        <v>3</v>
      </c>
      <c r="C990">
        <v>2</v>
      </c>
      <c r="D990">
        <v>2</v>
      </c>
      <c r="E990" t="s">
        <v>22</v>
      </c>
      <c r="F990" t="s">
        <v>1697</v>
      </c>
      <c r="G990" t="s">
        <v>1698</v>
      </c>
      <c r="H990">
        <v>2.7</v>
      </c>
      <c r="I990" t="s">
        <v>21</v>
      </c>
    </row>
    <row r="991" spans="1:9" x14ac:dyDescent="0.3">
      <c r="A991">
        <v>24</v>
      </c>
      <c r="B991">
        <v>3</v>
      </c>
      <c r="C991">
        <v>2</v>
      </c>
      <c r="D991">
        <v>3</v>
      </c>
      <c r="E991" t="s">
        <v>9</v>
      </c>
      <c r="F991" t="s">
        <v>1699</v>
      </c>
      <c r="G991" t="s">
        <v>1700</v>
      </c>
      <c r="H991">
        <v>1.8180000000000001</v>
      </c>
      <c r="I991" t="s">
        <v>12</v>
      </c>
    </row>
    <row r="992" spans="1:9" x14ac:dyDescent="0.3">
      <c r="A992">
        <v>24</v>
      </c>
      <c r="B992">
        <v>3</v>
      </c>
      <c r="C992">
        <v>2</v>
      </c>
      <c r="D992">
        <v>3</v>
      </c>
      <c r="E992" t="s">
        <v>22</v>
      </c>
      <c r="F992" t="s">
        <v>1701</v>
      </c>
      <c r="G992" t="s">
        <v>1702</v>
      </c>
      <c r="H992">
        <v>2.9849999999999999</v>
      </c>
      <c r="I992" t="s">
        <v>34</v>
      </c>
    </row>
    <row r="993" spans="1:9" x14ac:dyDescent="0.3">
      <c r="A993">
        <v>24</v>
      </c>
      <c r="B993">
        <v>3</v>
      </c>
      <c r="C993">
        <v>2</v>
      </c>
      <c r="D993">
        <v>3</v>
      </c>
      <c r="E993" t="s">
        <v>22</v>
      </c>
      <c r="F993" t="s">
        <v>1703</v>
      </c>
      <c r="G993" t="s">
        <v>1704</v>
      </c>
      <c r="H993">
        <v>2</v>
      </c>
      <c r="I993" t="s">
        <v>21</v>
      </c>
    </row>
    <row r="994" spans="1:9" x14ac:dyDescent="0.3">
      <c r="A994">
        <v>24</v>
      </c>
      <c r="B994">
        <v>3</v>
      </c>
      <c r="C994">
        <v>2</v>
      </c>
      <c r="D994">
        <v>3</v>
      </c>
      <c r="E994" t="s">
        <v>9</v>
      </c>
      <c r="F994" t="s">
        <v>1705</v>
      </c>
      <c r="G994" t="s">
        <v>1706</v>
      </c>
      <c r="H994">
        <v>1.9339999999999999</v>
      </c>
      <c r="I994" t="s">
        <v>12</v>
      </c>
    </row>
    <row r="995" spans="1:9" x14ac:dyDescent="0.3">
      <c r="A995">
        <v>24</v>
      </c>
      <c r="B995">
        <v>3</v>
      </c>
      <c r="C995">
        <v>2</v>
      </c>
      <c r="D995">
        <v>3</v>
      </c>
      <c r="E995" t="s">
        <v>19</v>
      </c>
      <c r="F995" t="s">
        <v>1707</v>
      </c>
      <c r="I995" t="s">
        <v>21</v>
      </c>
    </row>
    <row r="996" spans="1:9" x14ac:dyDescent="0.3">
      <c r="A996">
        <v>24</v>
      </c>
      <c r="B996">
        <v>3</v>
      </c>
      <c r="C996">
        <v>2</v>
      </c>
      <c r="D996">
        <v>3</v>
      </c>
      <c r="E996" t="s">
        <v>9</v>
      </c>
      <c r="F996" t="s">
        <v>1708</v>
      </c>
      <c r="G996" t="s">
        <v>1709</v>
      </c>
      <c r="H996">
        <v>2.3679999999999999</v>
      </c>
      <c r="I996" t="s">
        <v>12</v>
      </c>
    </row>
    <row r="997" spans="1:9" x14ac:dyDescent="0.3">
      <c r="A997">
        <v>24</v>
      </c>
      <c r="B997">
        <v>3</v>
      </c>
      <c r="C997">
        <v>2</v>
      </c>
      <c r="D997">
        <v>3</v>
      </c>
      <c r="E997" t="s">
        <v>19</v>
      </c>
      <c r="F997" t="s">
        <v>1710</v>
      </c>
      <c r="I997" t="s">
        <v>21</v>
      </c>
    </row>
    <row r="998" spans="1:9" x14ac:dyDescent="0.3">
      <c r="A998">
        <v>24</v>
      </c>
      <c r="B998">
        <v>3</v>
      </c>
      <c r="C998">
        <v>2</v>
      </c>
      <c r="D998">
        <v>3</v>
      </c>
      <c r="E998" t="s">
        <v>9</v>
      </c>
      <c r="F998" t="s">
        <v>1711</v>
      </c>
      <c r="G998" t="s">
        <v>1712</v>
      </c>
      <c r="H998">
        <v>2.4340000000000002</v>
      </c>
      <c r="I998" t="s">
        <v>12</v>
      </c>
    </row>
    <row r="999" spans="1:9" x14ac:dyDescent="0.3">
      <c r="A999">
        <v>24</v>
      </c>
      <c r="B999">
        <v>3</v>
      </c>
      <c r="C999">
        <v>2</v>
      </c>
      <c r="D999">
        <v>4</v>
      </c>
      <c r="E999" t="s">
        <v>19</v>
      </c>
      <c r="F999" t="s">
        <v>1713</v>
      </c>
      <c r="I999" t="s">
        <v>34</v>
      </c>
    </row>
    <row r="1000" spans="1:9" x14ac:dyDescent="0.3">
      <c r="A1000">
        <v>24</v>
      </c>
      <c r="B1000">
        <v>3</v>
      </c>
      <c r="C1000">
        <v>2</v>
      </c>
      <c r="D1000">
        <v>4</v>
      </c>
      <c r="E1000" t="s">
        <v>22</v>
      </c>
      <c r="F1000" t="s">
        <v>1714</v>
      </c>
      <c r="G1000" t="s">
        <v>1715</v>
      </c>
      <c r="H1000">
        <v>2.286</v>
      </c>
      <c r="I1000" t="s">
        <v>21</v>
      </c>
    </row>
    <row r="1001" spans="1:9" x14ac:dyDescent="0.3">
      <c r="A1001">
        <v>24</v>
      </c>
      <c r="B1001">
        <v>3</v>
      </c>
      <c r="C1001">
        <v>2</v>
      </c>
      <c r="D1001">
        <v>4</v>
      </c>
      <c r="E1001" t="s">
        <v>22</v>
      </c>
      <c r="F1001" t="s">
        <v>1716</v>
      </c>
      <c r="G1001" t="s">
        <v>1717</v>
      </c>
      <c r="H1001">
        <v>2.5339999999999998</v>
      </c>
      <c r="I1001" t="s">
        <v>21</v>
      </c>
    </row>
    <row r="1002" spans="1:9" x14ac:dyDescent="0.3">
      <c r="A1002">
        <v>24</v>
      </c>
      <c r="B1002">
        <v>3</v>
      </c>
      <c r="C1002">
        <v>2</v>
      </c>
      <c r="D1002">
        <v>4</v>
      </c>
      <c r="E1002" t="s">
        <v>9</v>
      </c>
      <c r="F1002" t="s">
        <v>1718</v>
      </c>
      <c r="G1002" t="s">
        <v>1719</v>
      </c>
      <c r="H1002">
        <v>2.5339999999999998</v>
      </c>
      <c r="I1002" t="s">
        <v>12</v>
      </c>
    </row>
    <row r="1003" spans="1:9" x14ac:dyDescent="0.3">
      <c r="A1003">
        <v>24</v>
      </c>
      <c r="B1003">
        <v>3</v>
      </c>
      <c r="C1003">
        <v>2</v>
      </c>
      <c r="D1003">
        <v>4</v>
      </c>
      <c r="E1003" t="s">
        <v>9</v>
      </c>
      <c r="F1003" t="s">
        <v>1720</v>
      </c>
      <c r="G1003" t="s">
        <v>1721</v>
      </c>
      <c r="H1003">
        <v>3.734</v>
      </c>
      <c r="I1003" t="s">
        <v>12</v>
      </c>
    </row>
    <row r="1004" spans="1:9" x14ac:dyDescent="0.3">
      <c r="A1004">
        <v>24</v>
      </c>
      <c r="B1004">
        <v>3</v>
      </c>
      <c r="C1004">
        <v>2</v>
      </c>
      <c r="D1004">
        <v>4</v>
      </c>
      <c r="E1004" t="s">
        <v>19</v>
      </c>
      <c r="F1004" t="s">
        <v>1722</v>
      </c>
      <c r="I1004" t="s">
        <v>21</v>
      </c>
    </row>
    <row r="1005" spans="1:9" x14ac:dyDescent="0.3">
      <c r="A1005">
        <v>24</v>
      </c>
      <c r="B1005">
        <v>3</v>
      </c>
      <c r="C1005">
        <v>2</v>
      </c>
      <c r="D1005">
        <v>4</v>
      </c>
      <c r="E1005" t="s">
        <v>9</v>
      </c>
      <c r="F1005" t="s">
        <v>1723</v>
      </c>
      <c r="G1005" t="s">
        <v>1724</v>
      </c>
      <c r="H1005">
        <v>3.3679999999999999</v>
      </c>
      <c r="I1005" t="s">
        <v>12</v>
      </c>
    </row>
    <row r="1006" spans="1:9" x14ac:dyDescent="0.3">
      <c r="A1006">
        <v>24</v>
      </c>
      <c r="B1006">
        <v>3</v>
      </c>
      <c r="C1006">
        <v>2</v>
      </c>
      <c r="D1006">
        <v>4</v>
      </c>
      <c r="E1006" t="s">
        <v>9</v>
      </c>
      <c r="F1006" t="s">
        <v>1725</v>
      </c>
      <c r="G1006" t="s">
        <v>1726</v>
      </c>
      <c r="H1006">
        <v>2.2040000000000002</v>
      </c>
      <c r="I1006" t="s">
        <v>12</v>
      </c>
    </row>
    <row r="1007" spans="1:9" x14ac:dyDescent="0.3">
      <c r="A1007">
        <v>24</v>
      </c>
      <c r="B1007">
        <v>3</v>
      </c>
      <c r="C1007">
        <v>2</v>
      </c>
      <c r="D1007">
        <v>4</v>
      </c>
      <c r="E1007" t="s">
        <v>19</v>
      </c>
      <c r="F1007" t="s">
        <v>1727</v>
      </c>
      <c r="I1007" t="s">
        <v>21</v>
      </c>
    </row>
    <row r="1008" spans="1:9" x14ac:dyDescent="0.3">
      <c r="A1008">
        <v>24</v>
      </c>
      <c r="B1008">
        <v>3</v>
      </c>
      <c r="C1008">
        <v>3</v>
      </c>
      <c r="D1008">
        <v>1</v>
      </c>
      <c r="E1008" t="s">
        <v>9</v>
      </c>
      <c r="F1008" t="s">
        <v>1728</v>
      </c>
      <c r="G1008" t="s">
        <v>1729</v>
      </c>
      <c r="H1008">
        <v>2.8519999999999999</v>
      </c>
      <c r="I1008" t="s">
        <v>12</v>
      </c>
    </row>
    <row r="1009" spans="1:9" x14ac:dyDescent="0.3">
      <c r="A1009">
        <v>24</v>
      </c>
      <c r="B1009">
        <v>3</v>
      </c>
      <c r="C1009">
        <v>3</v>
      </c>
      <c r="D1009">
        <v>1</v>
      </c>
      <c r="E1009" t="s">
        <v>9</v>
      </c>
      <c r="F1009" t="s">
        <v>1730</v>
      </c>
      <c r="G1009" t="s">
        <v>1731</v>
      </c>
      <c r="H1009">
        <v>2.0670000000000002</v>
      </c>
      <c r="I1009" t="s">
        <v>12</v>
      </c>
    </row>
    <row r="1010" spans="1:9" x14ac:dyDescent="0.3">
      <c r="A1010">
        <v>24</v>
      </c>
      <c r="B1010">
        <v>3</v>
      </c>
      <c r="C1010">
        <v>3</v>
      </c>
      <c r="D1010">
        <v>1</v>
      </c>
      <c r="E1010" t="s">
        <v>22</v>
      </c>
      <c r="F1010" t="s">
        <v>1732</v>
      </c>
      <c r="G1010" t="s">
        <v>1733</v>
      </c>
      <c r="H1010">
        <v>3.101</v>
      </c>
      <c r="I1010" t="s">
        <v>21</v>
      </c>
    </row>
    <row r="1011" spans="1:9" x14ac:dyDescent="0.3">
      <c r="A1011">
        <v>24</v>
      </c>
      <c r="B1011">
        <v>3</v>
      </c>
      <c r="C1011">
        <v>3</v>
      </c>
      <c r="D1011">
        <v>1</v>
      </c>
      <c r="E1011" t="s">
        <v>9</v>
      </c>
      <c r="F1011" t="s">
        <v>1734</v>
      </c>
      <c r="G1011" t="s">
        <v>1735</v>
      </c>
      <c r="H1011">
        <v>2.968</v>
      </c>
      <c r="I1011" t="s">
        <v>12</v>
      </c>
    </row>
    <row r="1012" spans="1:9" x14ac:dyDescent="0.3">
      <c r="A1012">
        <v>24</v>
      </c>
      <c r="B1012">
        <v>3</v>
      </c>
      <c r="C1012">
        <v>3</v>
      </c>
      <c r="D1012">
        <v>1</v>
      </c>
      <c r="E1012" t="s">
        <v>9</v>
      </c>
      <c r="F1012" t="s">
        <v>1736</v>
      </c>
      <c r="G1012" t="s">
        <v>1737</v>
      </c>
      <c r="H1012">
        <v>3.6669999999999998</v>
      </c>
      <c r="I1012" t="s">
        <v>12</v>
      </c>
    </row>
    <row r="1013" spans="1:9" x14ac:dyDescent="0.3">
      <c r="A1013">
        <v>24</v>
      </c>
      <c r="B1013">
        <v>3</v>
      </c>
      <c r="C1013">
        <v>3</v>
      </c>
      <c r="D1013">
        <v>1</v>
      </c>
      <c r="E1013" t="s">
        <v>19</v>
      </c>
      <c r="F1013" t="s">
        <v>1738</v>
      </c>
      <c r="I1013" t="s">
        <v>34</v>
      </c>
    </row>
    <row r="1014" spans="1:9" x14ac:dyDescent="0.3">
      <c r="A1014">
        <v>24</v>
      </c>
      <c r="B1014">
        <v>3</v>
      </c>
      <c r="C1014">
        <v>3</v>
      </c>
      <c r="D1014">
        <v>1</v>
      </c>
      <c r="E1014" t="s">
        <v>22</v>
      </c>
      <c r="F1014" t="s">
        <v>1739</v>
      </c>
      <c r="G1014" t="s">
        <v>1740</v>
      </c>
      <c r="H1014">
        <v>3.4340000000000002</v>
      </c>
      <c r="I1014" t="s">
        <v>21</v>
      </c>
    </row>
    <row r="1015" spans="1:9" x14ac:dyDescent="0.3">
      <c r="A1015">
        <v>24</v>
      </c>
      <c r="B1015">
        <v>3</v>
      </c>
      <c r="C1015">
        <v>3</v>
      </c>
      <c r="D1015">
        <v>1</v>
      </c>
      <c r="E1015" t="s">
        <v>19</v>
      </c>
      <c r="F1015" t="s">
        <v>1741</v>
      </c>
      <c r="I1015" t="s">
        <v>21</v>
      </c>
    </row>
    <row r="1016" spans="1:9" x14ac:dyDescent="0.3">
      <c r="A1016">
        <v>24</v>
      </c>
      <c r="B1016">
        <v>3</v>
      </c>
      <c r="C1016">
        <v>3</v>
      </c>
      <c r="D1016">
        <v>2</v>
      </c>
      <c r="E1016" t="s">
        <v>9</v>
      </c>
      <c r="F1016" t="s">
        <v>1742</v>
      </c>
      <c r="G1016" t="s">
        <v>1743</v>
      </c>
      <c r="H1016">
        <v>3.8530000000000002</v>
      </c>
      <c r="I1016" t="s">
        <v>12</v>
      </c>
    </row>
    <row r="1017" spans="1:9" x14ac:dyDescent="0.3">
      <c r="A1017">
        <v>24</v>
      </c>
      <c r="B1017">
        <v>3</v>
      </c>
      <c r="C1017">
        <v>3</v>
      </c>
      <c r="D1017">
        <v>2</v>
      </c>
      <c r="E1017" t="s">
        <v>9</v>
      </c>
      <c r="F1017" t="s">
        <v>1744</v>
      </c>
      <c r="G1017" t="s">
        <v>1745</v>
      </c>
      <c r="H1017">
        <v>3.7679999999999998</v>
      </c>
      <c r="I1017" t="s">
        <v>12</v>
      </c>
    </row>
    <row r="1018" spans="1:9" x14ac:dyDescent="0.3">
      <c r="A1018">
        <v>24</v>
      </c>
      <c r="B1018">
        <v>3</v>
      </c>
      <c r="C1018">
        <v>3</v>
      </c>
      <c r="D1018">
        <v>2</v>
      </c>
      <c r="E1018" t="s">
        <v>22</v>
      </c>
      <c r="F1018" t="s">
        <v>1746</v>
      </c>
      <c r="G1018" t="s">
        <v>1747</v>
      </c>
      <c r="H1018">
        <v>3.5009999999999999</v>
      </c>
      <c r="I1018" t="s">
        <v>21</v>
      </c>
    </row>
    <row r="1019" spans="1:9" x14ac:dyDescent="0.3">
      <c r="A1019">
        <v>24</v>
      </c>
      <c r="B1019">
        <v>3</v>
      </c>
      <c r="C1019">
        <v>3</v>
      </c>
      <c r="D1019">
        <v>2</v>
      </c>
      <c r="E1019" t="s">
        <v>9</v>
      </c>
      <c r="F1019" t="s">
        <v>1748</v>
      </c>
      <c r="G1019" t="s">
        <v>1749</v>
      </c>
      <c r="H1019">
        <v>7.1</v>
      </c>
      <c r="I1019" t="s">
        <v>12</v>
      </c>
    </row>
    <row r="1020" spans="1:9" x14ac:dyDescent="0.3">
      <c r="A1020">
        <v>24</v>
      </c>
      <c r="B1020">
        <v>3</v>
      </c>
      <c r="C1020">
        <v>3</v>
      </c>
      <c r="D1020">
        <v>2</v>
      </c>
      <c r="E1020" t="s">
        <v>9</v>
      </c>
      <c r="F1020" t="s">
        <v>1750</v>
      </c>
      <c r="G1020" t="s">
        <v>1751</v>
      </c>
      <c r="H1020">
        <v>2.3340000000000001</v>
      </c>
      <c r="I1020" t="s">
        <v>12</v>
      </c>
    </row>
    <row r="1021" spans="1:9" x14ac:dyDescent="0.3">
      <c r="A1021">
        <v>24</v>
      </c>
      <c r="B1021">
        <v>3</v>
      </c>
      <c r="C1021">
        <v>3</v>
      </c>
      <c r="D1021">
        <v>2</v>
      </c>
      <c r="E1021" t="s">
        <v>19</v>
      </c>
      <c r="F1021" t="s">
        <v>1752</v>
      </c>
      <c r="I1021" t="s">
        <v>34</v>
      </c>
    </row>
    <row r="1022" spans="1:9" x14ac:dyDescent="0.3">
      <c r="A1022">
        <v>24</v>
      </c>
      <c r="B1022">
        <v>3</v>
      </c>
      <c r="C1022">
        <v>3</v>
      </c>
      <c r="D1022">
        <v>2</v>
      </c>
      <c r="E1022" t="s">
        <v>22</v>
      </c>
      <c r="F1022" t="s">
        <v>1753</v>
      </c>
      <c r="G1022" t="s">
        <v>1754</v>
      </c>
      <c r="H1022">
        <v>2.669</v>
      </c>
      <c r="I1022" t="s">
        <v>21</v>
      </c>
    </row>
    <row r="1023" spans="1:9" x14ac:dyDescent="0.3">
      <c r="A1023">
        <v>24</v>
      </c>
      <c r="B1023">
        <v>3</v>
      </c>
      <c r="C1023">
        <v>3</v>
      </c>
      <c r="D1023">
        <v>2</v>
      </c>
      <c r="E1023" t="s">
        <v>19</v>
      </c>
      <c r="F1023" t="s">
        <v>1755</v>
      </c>
      <c r="I1023" t="s">
        <v>21</v>
      </c>
    </row>
    <row r="1024" spans="1:9" x14ac:dyDescent="0.3">
      <c r="A1024">
        <v>24</v>
      </c>
      <c r="B1024">
        <v>3</v>
      </c>
      <c r="C1024">
        <v>3</v>
      </c>
      <c r="D1024">
        <v>3</v>
      </c>
      <c r="E1024" t="s">
        <v>9</v>
      </c>
      <c r="F1024" t="s">
        <v>1756</v>
      </c>
      <c r="G1024" t="s">
        <v>1757</v>
      </c>
      <c r="H1024">
        <v>2.286</v>
      </c>
      <c r="I1024" t="s">
        <v>12</v>
      </c>
    </row>
    <row r="1025" spans="1:9" x14ac:dyDescent="0.3">
      <c r="A1025">
        <v>24</v>
      </c>
      <c r="B1025">
        <v>3</v>
      </c>
      <c r="C1025">
        <v>3</v>
      </c>
      <c r="D1025">
        <v>3</v>
      </c>
      <c r="E1025" t="s">
        <v>9</v>
      </c>
      <c r="F1025" t="s">
        <v>1758</v>
      </c>
      <c r="G1025" t="s">
        <v>1759</v>
      </c>
      <c r="H1025">
        <v>1.502</v>
      </c>
      <c r="I1025" t="s">
        <v>12</v>
      </c>
    </row>
    <row r="1026" spans="1:9" x14ac:dyDescent="0.3">
      <c r="A1026">
        <v>24</v>
      </c>
      <c r="B1026">
        <v>3</v>
      </c>
      <c r="C1026">
        <v>3</v>
      </c>
      <c r="D1026">
        <v>3</v>
      </c>
      <c r="E1026" t="s">
        <v>22</v>
      </c>
      <c r="F1026" t="s">
        <v>1760</v>
      </c>
      <c r="G1026" t="s">
        <v>1761</v>
      </c>
      <c r="H1026">
        <v>2.9340000000000002</v>
      </c>
      <c r="I1026" t="s">
        <v>21</v>
      </c>
    </row>
    <row r="1027" spans="1:9" x14ac:dyDescent="0.3">
      <c r="A1027">
        <v>24</v>
      </c>
      <c r="B1027">
        <v>3</v>
      </c>
      <c r="C1027">
        <v>3</v>
      </c>
      <c r="D1027">
        <v>3</v>
      </c>
      <c r="E1027" t="s">
        <v>9</v>
      </c>
      <c r="F1027" t="s">
        <v>1762</v>
      </c>
      <c r="G1027" t="s">
        <v>1763</v>
      </c>
      <c r="H1027">
        <v>4.0670000000000002</v>
      </c>
      <c r="I1027" t="s">
        <v>12</v>
      </c>
    </row>
    <row r="1028" spans="1:9" x14ac:dyDescent="0.3">
      <c r="A1028">
        <v>24</v>
      </c>
      <c r="B1028">
        <v>3</v>
      </c>
      <c r="C1028">
        <v>3</v>
      </c>
      <c r="D1028">
        <v>3</v>
      </c>
      <c r="E1028" t="s">
        <v>9</v>
      </c>
      <c r="F1028" t="s">
        <v>1764</v>
      </c>
      <c r="G1028" t="s">
        <v>1765</v>
      </c>
      <c r="H1028">
        <v>2.5009999999999999</v>
      </c>
      <c r="I1028" t="s">
        <v>12</v>
      </c>
    </row>
    <row r="1029" spans="1:9" x14ac:dyDescent="0.3">
      <c r="A1029">
        <v>24</v>
      </c>
      <c r="B1029">
        <v>3</v>
      </c>
      <c r="C1029">
        <v>3</v>
      </c>
      <c r="D1029">
        <v>3</v>
      </c>
      <c r="E1029" t="s">
        <v>19</v>
      </c>
      <c r="F1029" t="s">
        <v>1766</v>
      </c>
      <c r="I1029" t="s">
        <v>21</v>
      </c>
    </row>
    <row r="1030" spans="1:9" x14ac:dyDescent="0.3">
      <c r="A1030">
        <v>24</v>
      </c>
      <c r="B1030">
        <v>3</v>
      </c>
      <c r="C1030">
        <v>3</v>
      </c>
      <c r="D1030">
        <v>3</v>
      </c>
      <c r="E1030" t="s">
        <v>22</v>
      </c>
      <c r="F1030" t="s">
        <v>1767</v>
      </c>
      <c r="G1030" t="s">
        <v>1768</v>
      </c>
      <c r="H1030">
        <v>2.4670000000000001</v>
      </c>
      <c r="I1030" t="s">
        <v>21</v>
      </c>
    </row>
    <row r="1031" spans="1:9" x14ac:dyDescent="0.3">
      <c r="A1031">
        <v>24</v>
      </c>
      <c r="B1031">
        <v>3</v>
      </c>
      <c r="C1031">
        <v>3</v>
      </c>
      <c r="D1031">
        <v>3</v>
      </c>
      <c r="E1031" t="s">
        <v>19</v>
      </c>
      <c r="F1031" t="s">
        <v>1769</v>
      </c>
      <c r="I1031" t="s">
        <v>21</v>
      </c>
    </row>
    <row r="1032" spans="1:9" x14ac:dyDescent="0.3">
      <c r="A1032">
        <v>25</v>
      </c>
      <c r="B1032">
        <v>1</v>
      </c>
      <c r="C1032">
        <v>1</v>
      </c>
      <c r="D1032">
        <v>1</v>
      </c>
      <c r="E1032" t="s">
        <v>9</v>
      </c>
      <c r="F1032" t="s">
        <v>1770</v>
      </c>
      <c r="G1032" t="s">
        <v>1771</v>
      </c>
      <c r="H1032">
        <v>3.0529999999999999</v>
      </c>
      <c r="I1032" t="s">
        <v>12</v>
      </c>
    </row>
    <row r="1033" spans="1:9" x14ac:dyDescent="0.3">
      <c r="A1033">
        <v>25</v>
      </c>
      <c r="B1033">
        <v>1</v>
      </c>
      <c r="C1033">
        <v>1</v>
      </c>
      <c r="D1033">
        <v>1</v>
      </c>
      <c r="E1033" t="s">
        <v>9</v>
      </c>
      <c r="F1033" t="s">
        <v>1772</v>
      </c>
      <c r="G1033" t="s">
        <v>1773</v>
      </c>
      <c r="H1033">
        <v>3.6859999999999999</v>
      </c>
      <c r="I1033" t="s">
        <v>12</v>
      </c>
    </row>
    <row r="1034" spans="1:9" x14ac:dyDescent="0.3">
      <c r="A1034">
        <v>25</v>
      </c>
      <c r="B1034">
        <v>1</v>
      </c>
      <c r="C1034">
        <v>1</v>
      </c>
      <c r="D1034">
        <v>1</v>
      </c>
      <c r="E1034" t="s">
        <v>19</v>
      </c>
      <c r="F1034" t="s">
        <v>1774</v>
      </c>
      <c r="I1034" t="s">
        <v>21</v>
      </c>
    </row>
    <row r="1035" spans="1:9" x14ac:dyDescent="0.3">
      <c r="A1035">
        <v>25</v>
      </c>
      <c r="B1035">
        <v>1</v>
      </c>
      <c r="C1035">
        <v>1</v>
      </c>
      <c r="D1035">
        <v>2</v>
      </c>
      <c r="E1035" t="s">
        <v>9</v>
      </c>
      <c r="F1035" t="s">
        <v>1775</v>
      </c>
      <c r="G1035" t="s">
        <v>1776</v>
      </c>
      <c r="H1035">
        <v>3.5179999999999998</v>
      </c>
      <c r="I1035" t="s">
        <v>12</v>
      </c>
    </row>
    <row r="1036" spans="1:9" x14ac:dyDescent="0.3">
      <c r="A1036">
        <v>25</v>
      </c>
      <c r="B1036">
        <v>1</v>
      </c>
      <c r="C1036">
        <v>1</v>
      </c>
      <c r="D1036">
        <v>2</v>
      </c>
      <c r="E1036" t="s">
        <v>9</v>
      </c>
      <c r="F1036" t="s">
        <v>1777</v>
      </c>
      <c r="G1036" t="s">
        <v>1778</v>
      </c>
      <c r="H1036">
        <v>2.1339999999999999</v>
      </c>
      <c r="I1036" t="s">
        <v>12</v>
      </c>
    </row>
    <row r="1037" spans="1:9" x14ac:dyDescent="0.3">
      <c r="A1037">
        <v>25</v>
      </c>
      <c r="B1037">
        <v>1</v>
      </c>
      <c r="C1037">
        <v>1</v>
      </c>
      <c r="D1037">
        <v>2</v>
      </c>
      <c r="E1037" t="s">
        <v>19</v>
      </c>
      <c r="F1037" t="s">
        <v>1779</v>
      </c>
      <c r="I1037" t="s">
        <v>21</v>
      </c>
    </row>
    <row r="1038" spans="1:9" x14ac:dyDescent="0.3">
      <c r="A1038">
        <v>25</v>
      </c>
      <c r="B1038">
        <v>1</v>
      </c>
      <c r="C1038">
        <v>1</v>
      </c>
      <c r="D1038">
        <v>3</v>
      </c>
      <c r="E1038" t="s">
        <v>9</v>
      </c>
      <c r="F1038" t="s">
        <v>1780</v>
      </c>
      <c r="G1038" t="s">
        <v>1781</v>
      </c>
      <c r="H1038">
        <v>1.8859999999999999</v>
      </c>
      <c r="I1038" t="s">
        <v>12</v>
      </c>
    </row>
    <row r="1039" spans="1:9" x14ac:dyDescent="0.3">
      <c r="A1039">
        <v>25</v>
      </c>
      <c r="B1039">
        <v>1</v>
      </c>
      <c r="C1039">
        <v>1</v>
      </c>
      <c r="D1039">
        <v>3</v>
      </c>
      <c r="E1039" t="s">
        <v>9</v>
      </c>
      <c r="F1039" t="s">
        <v>1782</v>
      </c>
      <c r="G1039" t="s">
        <v>1783</v>
      </c>
      <c r="H1039">
        <v>2.1339999999999999</v>
      </c>
      <c r="I1039" t="s">
        <v>12</v>
      </c>
    </row>
    <row r="1040" spans="1:9" x14ac:dyDescent="0.3">
      <c r="A1040">
        <v>25</v>
      </c>
      <c r="B1040">
        <v>1</v>
      </c>
      <c r="C1040">
        <v>1</v>
      </c>
      <c r="D1040">
        <v>3</v>
      </c>
      <c r="E1040" t="s">
        <v>22</v>
      </c>
      <c r="F1040" t="s">
        <v>1784</v>
      </c>
      <c r="G1040" t="s">
        <v>1785</v>
      </c>
      <c r="H1040">
        <v>5.234</v>
      </c>
      <c r="I1040" t="s">
        <v>21</v>
      </c>
    </row>
    <row r="1041" spans="1:9" x14ac:dyDescent="0.3">
      <c r="A1041">
        <v>25</v>
      </c>
      <c r="B1041">
        <v>1</v>
      </c>
      <c r="C1041">
        <v>1</v>
      </c>
      <c r="D1041">
        <v>3</v>
      </c>
      <c r="E1041" t="s">
        <v>19</v>
      </c>
      <c r="F1041" t="s">
        <v>1786</v>
      </c>
      <c r="I1041" t="s">
        <v>34</v>
      </c>
    </row>
    <row r="1042" spans="1:9" x14ac:dyDescent="0.3">
      <c r="A1042">
        <v>25</v>
      </c>
      <c r="B1042">
        <v>1</v>
      </c>
      <c r="C1042">
        <v>1</v>
      </c>
      <c r="D1042">
        <v>4</v>
      </c>
      <c r="E1042" t="s">
        <v>9</v>
      </c>
      <c r="F1042" t="s">
        <v>1787</v>
      </c>
      <c r="G1042" t="s">
        <v>1788</v>
      </c>
      <c r="H1042">
        <v>2.6190000000000002</v>
      </c>
      <c r="I1042" t="s">
        <v>12</v>
      </c>
    </row>
    <row r="1043" spans="1:9" x14ac:dyDescent="0.3">
      <c r="A1043">
        <v>25</v>
      </c>
      <c r="B1043">
        <v>1</v>
      </c>
      <c r="C1043">
        <v>1</v>
      </c>
      <c r="D1043">
        <v>4</v>
      </c>
      <c r="E1043" t="s">
        <v>9</v>
      </c>
      <c r="F1043" t="s">
        <v>1789</v>
      </c>
      <c r="G1043" t="s">
        <v>1790</v>
      </c>
      <c r="H1043">
        <v>1.901</v>
      </c>
      <c r="I1043" t="s">
        <v>12</v>
      </c>
    </row>
    <row r="1044" spans="1:9" x14ac:dyDescent="0.3">
      <c r="A1044">
        <v>25</v>
      </c>
      <c r="B1044">
        <v>1</v>
      </c>
      <c r="C1044">
        <v>1</v>
      </c>
      <c r="D1044">
        <v>4</v>
      </c>
      <c r="E1044" t="s">
        <v>19</v>
      </c>
      <c r="F1044" t="s">
        <v>1791</v>
      </c>
      <c r="I1044" t="s">
        <v>21</v>
      </c>
    </row>
    <row r="1045" spans="1:9" x14ac:dyDescent="0.3">
      <c r="A1045">
        <v>25</v>
      </c>
      <c r="B1045">
        <v>1</v>
      </c>
      <c r="C1045">
        <v>1</v>
      </c>
      <c r="D1045">
        <v>5</v>
      </c>
      <c r="E1045" t="s">
        <v>22</v>
      </c>
      <c r="F1045" t="s">
        <v>1792</v>
      </c>
      <c r="G1045" t="s">
        <v>1793</v>
      </c>
      <c r="H1045">
        <v>2.3519999999999999</v>
      </c>
      <c r="I1045" t="s">
        <v>21</v>
      </c>
    </row>
    <row r="1046" spans="1:9" x14ac:dyDescent="0.3">
      <c r="A1046">
        <v>25</v>
      </c>
      <c r="B1046">
        <v>1</v>
      </c>
      <c r="C1046">
        <v>1</v>
      </c>
      <c r="D1046">
        <v>5</v>
      </c>
      <c r="E1046" t="s">
        <v>9</v>
      </c>
      <c r="F1046" t="s">
        <v>1794</v>
      </c>
      <c r="G1046" t="s">
        <v>1795</v>
      </c>
      <c r="H1046">
        <v>2.0339999999999998</v>
      </c>
      <c r="I1046" t="s">
        <v>12</v>
      </c>
    </row>
    <row r="1047" spans="1:9" x14ac:dyDescent="0.3">
      <c r="A1047">
        <v>25</v>
      </c>
      <c r="B1047">
        <v>1</v>
      </c>
      <c r="C1047">
        <v>1</v>
      </c>
      <c r="D1047">
        <v>5</v>
      </c>
      <c r="E1047" t="s">
        <v>9</v>
      </c>
      <c r="F1047" t="s">
        <v>1796</v>
      </c>
      <c r="G1047" t="s">
        <v>1797</v>
      </c>
      <c r="H1047">
        <v>1.4339999999999999</v>
      </c>
      <c r="I1047" t="s">
        <v>12</v>
      </c>
    </row>
    <row r="1048" spans="1:9" x14ac:dyDescent="0.3">
      <c r="A1048">
        <v>25</v>
      </c>
      <c r="B1048">
        <v>1</v>
      </c>
      <c r="C1048">
        <v>1</v>
      </c>
      <c r="D1048">
        <v>5</v>
      </c>
      <c r="E1048" t="s">
        <v>22</v>
      </c>
      <c r="F1048" t="s">
        <v>1798</v>
      </c>
      <c r="G1048" t="s">
        <v>1799</v>
      </c>
      <c r="H1048">
        <v>1.734</v>
      </c>
      <c r="I1048" t="s">
        <v>21</v>
      </c>
    </row>
    <row r="1049" spans="1:9" x14ac:dyDescent="0.3">
      <c r="A1049">
        <v>25</v>
      </c>
      <c r="B1049">
        <v>1</v>
      </c>
      <c r="C1049">
        <v>1</v>
      </c>
      <c r="D1049">
        <v>5</v>
      </c>
      <c r="E1049" t="s">
        <v>19</v>
      </c>
      <c r="F1049" t="s">
        <v>1800</v>
      </c>
      <c r="I1049" t="s">
        <v>21</v>
      </c>
    </row>
    <row r="1050" spans="1:9" x14ac:dyDescent="0.3">
      <c r="A1050">
        <v>25</v>
      </c>
      <c r="B1050">
        <v>1</v>
      </c>
      <c r="C1050">
        <v>1</v>
      </c>
      <c r="D1050">
        <v>6</v>
      </c>
      <c r="E1050" t="s">
        <v>22</v>
      </c>
      <c r="F1050" t="s">
        <v>1801</v>
      </c>
      <c r="G1050" t="s">
        <v>1802</v>
      </c>
      <c r="H1050">
        <v>1.486</v>
      </c>
      <c r="I1050" t="s">
        <v>21</v>
      </c>
    </row>
    <row r="1051" spans="1:9" x14ac:dyDescent="0.3">
      <c r="A1051">
        <v>25</v>
      </c>
      <c r="B1051">
        <v>1</v>
      </c>
      <c r="C1051">
        <v>1</v>
      </c>
      <c r="D1051">
        <v>6</v>
      </c>
      <c r="E1051" t="s">
        <v>9</v>
      </c>
      <c r="F1051" t="s">
        <v>1803</v>
      </c>
      <c r="G1051" t="s">
        <v>1804</v>
      </c>
      <c r="H1051">
        <v>3.1339999999999999</v>
      </c>
      <c r="I1051" t="s">
        <v>12</v>
      </c>
    </row>
    <row r="1052" spans="1:9" x14ac:dyDescent="0.3">
      <c r="A1052">
        <v>25</v>
      </c>
      <c r="B1052">
        <v>1</v>
      </c>
      <c r="C1052">
        <v>1</v>
      </c>
      <c r="D1052">
        <v>6</v>
      </c>
      <c r="E1052" t="s">
        <v>22</v>
      </c>
      <c r="F1052" t="s">
        <v>1805</v>
      </c>
      <c r="G1052" t="s">
        <v>1806</v>
      </c>
      <c r="H1052">
        <v>0.86699999999999999</v>
      </c>
      <c r="I1052" t="s">
        <v>21</v>
      </c>
    </row>
    <row r="1053" spans="1:9" x14ac:dyDescent="0.3">
      <c r="A1053">
        <v>25</v>
      </c>
      <c r="B1053">
        <v>1</v>
      </c>
      <c r="C1053">
        <v>1</v>
      </c>
      <c r="D1053">
        <v>6</v>
      </c>
      <c r="E1053" t="s">
        <v>9</v>
      </c>
      <c r="F1053" t="s">
        <v>1807</v>
      </c>
      <c r="G1053" t="s">
        <v>1808</v>
      </c>
      <c r="H1053">
        <v>3.5350000000000001</v>
      </c>
      <c r="I1053" t="s">
        <v>12</v>
      </c>
    </row>
    <row r="1054" spans="1:9" x14ac:dyDescent="0.3">
      <c r="A1054">
        <v>25</v>
      </c>
      <c r="B1054">
        <v>1</v>
      </c>
      <c r="C1054">
        <v>1</v>
      </c>
      <c r="D1054">
        <v>6</v>
      </c>
      <c r="E1054" t="s">
        <v>19</v>
      </c>
      <c r="F1054" t="s">
        <v>33</v>
      </c>
      <c r="I1054" t="s">
        <v>21</v>
      </c>
    </row>
    <row r="1055" spans="1:9" x14ac:dyDescent="0.3">
      <c r="A1055">
        <v>25</v>
      </c>
      <c r="B1055">
        <v>1</v>
      </c>
      <c r="C1055">
        <v>2</v>
      </c>
      <c r="D1055">
        <v>1</v>
      </c>
      <c r="E1055" t="s">
        <v>9</v>
      </c>
      <c r="F1055" t="s">
        <v>1809</v>
      </c>
      <c r="G1055" t="s">
        <v>1810</v>
      </c>
      <c r="H1055">
        <v>3.0190000000000001</v>
      </c>
      <c r="I1055" t="s">
        <v>12</v>
      </c>
    </row>
    <row r="1056" spans="1:9" x14ac:dyDescent="0.3">
      <c r="A1056">
        <v>25</v>
      </c>
      <c r="B1056">
        <v>1</v>
      </c>
      <c r="C1056">
        <v>2</v>
      </c>
      <c r="D1056">
        <v>1</v>
      </c>
      <c r="E1056" t="s">
        <v>22</v>
      </c>
      <c r="F1056" t="s">
        <v>1811</v>
      </c>
      <c r="G1056" t="s">
        <v>1812</v>
      </c>
      <c r="H1056">
        <v>1.333</v>
      </c>
      <c r="I1056" t="s">
        <v>21</v>
      </c>
    </row>
    <row r="1057" spans="1:9" x14ac:dyDescent="0.3">
      <c r="A1057">
        <v>25</v>
      </c>
      <c r="B1057">
        <v>1</v>
      </c>
      <c r="C1057">
        <v>2</v>
      </c>
      <c r="D1057">
        <v>1</v>
      </c>
      <c r="E1057" t="s">
        <v>22</v>
      </c>
      <c r="F1057" t="s">
        <v>1813</v>
      </c>
      <c r="G1057" t="s">
        <v>1814</v>
      </c>
      <c r="H1057">
        <v>0.56799999999999995</v>
      </c>
      <c r="I1057" t="s">
        <v>21</v>
      </c>
    </row>
    <row r="1058" spans="1:9" x14ac:dyDescent="0.3">
      <c r="A1058">
        <v>25</v>
      </c>
      <c r="B1058">
        <v>1</v>
      </c>
      <c r="C1058">
        <v>2</v>
      </c>
      <c r="D1058">
        <v>1</v>
      </c>
      <c r="E1058" t="s">
        <v>9</v>
      </c>
      <c r="F1058" t="s">
        <v>1815</v>
      </c>
      <c r="G1058" t="s">
        <v>1816</v>
      </c>
      <c r="H1058">
        <v>3.101</v>
      </c>
      <c r="I1058" t="s">
        <v>12</v>
      </c>
    </row>
    <row r="1059" spans="1:9" x14ac:dyDescent="0.3">
      <c r="A1059">
        <v>25</v>
      </c>
      <c r="B1059">
        <v>1</v>
      </c>
      <c r="C1059">
        <v>2</v>
      </c>
      <c r="D1059">
        <v>1</v>
      </c>
      <c r="E1059" t="s">
        <v>9</v>
      </c>
      <c r="F1059" t="s">
        <v>1817</v>
      </c>
      <c r="G1059" t="s">
        <v>1818</v>
      </c>
      <c r="H1059">
        <v>3.5339999999999998</v>
      </c>
      <c r="I1059" t="s">
        <v>12</v>
      </c>
    </row>
    <row r="1060" spans="1:9" x14ac:dyDescent="0.3">
      <c r="A1060">
        <v>25</v>
      </c>
      <c r="B1060">
        <v>1</v>
      </c>
      <c r="C1060">
        <v>2</v>
      </c>
      <c r="D1060">
        <v>1</v>
      </c>
      <c r="E1060" t="s">
        <v>19</v>
      </c>
      <c r="F1060" t="s">
        <v>1819</v>
      </c>
      <c r="I1060" t="s">
        <v>21</v>
      </c>
    </row>
    <row r="1061" spans="1:9" x14ac:dyDescent="0.3">
      <c r="A1061">
        <v>25</v>
      </c>
      <c r="B1061">
        <v>1</v>
      </c>
      <c r="C1061">
        <v>2</v>
      </c>
      <c r="D1061">
        <v>2</v>
      </c>
      <c r="E1061" t="s">
        <v>9</v>
      </c>
      <c r="F1061" t="s">
        <v>1820</v>
      </c>
      <c r="H1061" t="s">
        <v>81</v>
      </c>
      <c r="I1061" t="s">
        <v>34</v>
      </c>
    </row>
    <row r="1062" spans="1:9" x14ac:dyDescent="0.3">
      <c r="A1062">
        <v>25</v>
      </c>
      <c r="B1062">
        <v>1</v>
      </c>
      <c r="C1062">
        <v>2</v>
      </c>
      <c r="D1062">
        <v>2</v>
      </c>
      <c r="E1062" t="s">
        <v>22</v>
      </c>
      <c r="F1062" t="s">
        <v>1821</v>
      </c>
      <c r="G1062" t="s">
        <v>1822</v>
      </c>
      <c r="H1062">
        <v>1.2829999999999999</v>
      </c>
      <c r="I1062" t="s">
        <v>21</v>
      </c>
    </row>
    <row r="1063" spans="1:9" x14ac:dyDescent="0.3">
      <c r="A1063">
        <v>25</v>
      </c>
      <c r="B1063">
        <v>1</v>
      </c>
      <c r="C1063">
        <v>2</v>
      </c>
      <c r="D1063">
        <v>2</v>
      </c>
      <c r="E1063" t="s">
        <v>22</v>
      </c>
      <c r="F1063" t="s">
        <v>1823</v>
      </c>
      <c r="G1063" t="s">
        <v>1824</v>
      </c>
      <c r="H1063">
        <v>1.1339999999999999</v>
      </c>
      <c r="I1063" t="s">
        <v>21</v>
      </c>
    </row>
    <row r="1064" spans="1:9" x14ac:dyDescent="0.3">
      <c r="A1064">
        <v>25</v>
      </c>
      <c r="B1064">
        <v>1</v>
      </c>
      <c r="C1064">
        <v>2</v>
      </c>
      <c r="D1064">
        <v>2</v>
      </c>
      <c r="E1064" t="s">
        <v>9</v>
      </c>
      <c r="F1064" t="s">
        <v>1825</v>
      </c>
      <c r="G1064" t="s">
        <v>1826</v>
      </c>
      <c r="H1064">
        <v>1.7010000000000001</v>
      </c>
      <c r="I1064" t="s">
        <v>12</v>
      </c>
    </row>
    <row r="1065" spans="1:9" x14ac:dyDescent="0.3">
      <c r="A1065">
        <v>25</v>
      </c>
      <c r="B1065">
        <v>1</v>
      </c>
      <c r="C1065">
        <v>2</v>
      </c>
      <c r="D1065">
        <v>2</v>
      </c>
      <c r="E1065" t="s">
        <v>9</v>
      </c>
      <c r="F1065" t="s">
        <v>1827</v>
      </c>
      <c r="G1065" t="s">
        <v>1828</v>
      </c>
      <c r="H1065">
        <v>2.4020000000000001</v>
      </c>
      <c r="I1065" t="s">
        <v>12</v>
      </c>
    </row>
    <row r="1066" spans="1:9" x14ac:dyDescent="0.3">
      <c r="A1066">
        <v>25</v>
      </c>
      <c r="B1066">
        <v>1</v>
      </c>
      <c r="C1066">
        <v>2</v>
      </c>
      <c r="D1066">
        <v>2</v>
      </c>
      <c r="E1066" t="s">
        <v>19</v>
      </c>
      <c r="F1066" t="s">
        <v>1829</v>
      </c>
      <c r="I1066" t="s">
        <v>21</v>
      </c>
    </row>
    <row r="1067" spans="1:9" x14ac:dyDescent="0.3">
      <c r="A1067">
        <v>25</v>
      </c>
      <c r="B1067">
        <v>1</v>
      </c>
      <c r="C1067">
        <v>3</v>
      </c>
      <c r="D1067">
        <v>1</v>
      </c>
      <c r="E1067" t="s">
        <v>22</v>
      </c>
      <c r="F1067" t="s">
        <v>1830</v>
      </c>
      <c r="G1067" t="s">
        <v>1831</v>
      </c>
      <c r="H1067">
        <v>1.585</v>
      </c>
      <c r="I1067" t="s">
        <v>21</v>
      </c>
    </row>
    <row r="1068" spans="1:9" x14ac:dyDescent="0.3">
      <c r="A1068">
        <v>25</v>
      </c>
      <c r="B1068">
        <v>1</v>
      </c>
      <c r="C1068">
        <v>3</v>
      </c>
      <c r="D1068">
        <v>1</v>
      </c>
      <c r="E1068" t="s">
        <v>22</v>
      </c>
      <c r="F1068" t="s">
        <v>1832</v>
      </c>
      <c r="G1068" t="s">
        <v>1833</v>
      </c>
      <c r="H1068">
        <v>0.73399999999999999</v>
      </c>
      <c r="I1068" t="s">
        <v>21</v>
      </c>
    </row>
    <row r="1069" spans="1:9" x14ac:dyDescent="0.3">
      <c r="A1069">
        <v>25</v>
      </c>
      <c r="B1069">
        <v>1</v>
      </c>
      <c r="C1069">
        <v>3</v>
      </c>
      <c r="D1069">
        <v>1</v>
      </c>
      <c r="E1069" t="s">
        <v>9</v>
      </c>
      <c r="F1069" t="s">
        <v>1834</v>
      </c>
      <c r="G1069" t="s">
        <v>1835</v>
      </c>
      <c r="H1069">
        <v>1.468</v>
      </c>
      <c r="I1069" t="s">
        <v>12</v>
      </c>
    </row>
    <row r="1070" spans="1:9" x14ac:dyDescent="0.3">
      <c r="A1070">
        <v>25</v>
      </c>
      <c r="B1070">
        <v>1</v>
      </c>
      <c r="C1070">
        <v>3</v>
      </c>
      <c r="D1070">
        <v>1</v>
      </c>
      <c r="E1070" t="s">
        <v>9</v>
      </c>
      <c r="F1070" t="s">
        <v>1836</v>
      </c>
      <c r="G1070" t="s">
        <v>1837</v>
      </c>
      <c r="H1070">
        <v>1.3340000000000001</v>
      </c>
      <c r="I1070" t="s">
        <v>12</v>
      </c>
    </row>
    <row r="1071" spans="1:9" x14ac:dyDescent="0.3">
      <c r="A1071">
        <v>25</v>
      </c>
      <c r="B1071">
        <v>1</v>
      </c>
      <c r="C1071">
        <v>3</v>
      </c>
      <c r="D1071">
        <v>1</v>
      </c>
      <c r="E1071" t="s">
        <v>19</v>
      </c>
      <c r="F1071" t="s">
        <v>1838</v>
      </c>
      <c r="I1071" t="s">
        <v>21</v>
      </c>
    </row>
    <row r="1072" spans="1:9" x14ac:dyDescent="0.3">
      <c r="A1072">
        <v>25</v>
      </c>
      <c r="B1072">
        <v>3</v>
      </c>
      <c r="C1072">
        <v>1</v>
      </c>
      <c r="D1072">
        <v>1</v>
      </c>
      <c r="E1072" t="s">
        <v>9</v>
      </c>
      <c r="F1072" t="s">
        <v>1839</v>
      </c>
      <c r="G1072" t="s">
        <v>1840</v>
      </c>
      <c r="H1072">
        <v>2.2200000000000002</v>
      </c>
      <c r="I1072" t="s">
        <v>12</v>
      </c>
    </row>
    <row r="1073" spans="1:9" x14ac:dyDescent="0.3">
      <c r="A1073">
        <v>25</v>
      </c>
      <c r="B1073">
        <v>3</v>
      </c>
      <c r="C1073">
        <v>1</v>
      </c>
      <c r="D1073">
        <v>1</v>
      </c>
      <c r="E1073" t="s">
        <v>9</v>
      </c>
      <c r="F1073" t="s">
        <v>1841</v>
      </c>
      <c r="G1073" t="s">
        <v>1842</v>
      </c>
      <c r="H1073">
        <v>2.7690000000000001</v>
      </c>
      <c r="I1073" t="s">
        <v>12</v>
      </c>
    </row>
    <row r="1074" spans="1:9" x14ac:dyDescent="0.3">
      <c r="A1074">
        <v>25</v>
      </c>
      <c r="B1074">
        <v>3</v>
      </c>
      <c r="C1074">
        <v>1</v>
      </c>
      <c r="D1074">
        <v>1</v>
      </c>
      <c r="E1074" t="s">
        <v>22</v>
      </c>
      <c r="F1074" t="s">
        <v>1843</v>
      </c>
      <c r="G1074" t="s">
        <v>1844</v>
      </c>
      <c r="H1074">
        <v>1.6</v>
      </c>
      <c r="I1074" t="s">
        <v>21</v>
      </c>
    </row>
    <row r="1075" spans="1:9" x14ac:dyDescent="0.3">
      <c r="A1075">
        <v>25</v>
      </c>
      <c r="B1075">
        <v>3</v>
      </c>
      <c r="C1075">
        <v>1</v>
      </c>
      <c r="D1075">
        <v>1</v>
      </c>
      <c r="E1075" t="s">
        <v>22</v>
      </c>
      <c r="F1075" t="s">
        <v>1845</v>
      </c>
      <c r="G1075" t="s">
        <v>1846</v>
      </c>
      <c r="H1075">
        <v>1.3680000000000001</v>
      </c>
      <c r="I1075" t="s">
        <v>21</v>
      </c>
    </row>
    <row r="1076" spans="1:9" x14ac:dyDescent="0.3">
      <c r="A1076">
        <v>25</v>
      </c>
      <c r="B1076">
        <v>3</v>
      </c>
      <c r="C1076">
        <v>1</v>
      </c>
      <c r="D1076">
        <v>1</v>
      </c>
      <c r="E1076" t="s">
        <v>19</v>
      </c>
      <c r="F1076" t="s">
        <v>1847</v>
      </c>
      <c r="I1076" t="s">
        <v>21</v>
      </c>
    </row>
    <row r="1077" spans="1:9" x14ac:dyDescent="0.3">
      <c r="A1077">
        <v>25</v>
      </c>
      <c r="B1077">
        <v>3</v>
      </c>
      <c r="C1077">
        <v>1</v>
      </c>
      <c r="D1077">
        <v>2</v>
      </c>
      <c r="E1077" t="s">
        <v>9</v>
      </c>
      <c r="F1077" t="s">
        <v>1848</v>
      </c>
      <c r="G1077" t="s">
        <v>1849</v>
      </c>
      <c r="H1077">
        <v>2.786</v>
      </c>
      <c r="I1077" t="s">
        <v>12</v>
      </c>
    </row>
    <row r="1078" spans="1:9" x14ac:dyDescent="0.3">
      <c r="A1078">
        <v>25</v>
      </c>
      <c r="B1078">
        <v>3</v>
      </c>
      <c r="C1078">
        <v>1</v>
      </c>
      <c r="D1078">
        <v>2</v>
      </c>
      <c r="E1078" t="s">
        <v>9</v>
      </c>
      <c r="F1078" t="s">
        <v>1850</v>
      </c>
      <c r="G1078" t="s">
        <v>1851</v>
      </c>
      <c r="H1078">
        <v>1.534</v>
      </c>
      <c r="I1078" t="s">
        <v>12</v>
      </c>
    </row>
    <row r="1079" spans="1:9" x14ac:dyDescent="0.3">
      <c r="A1079">
        <v>25</v>
      </c>
      <c r="B1079">
        <v>3</v>
      </c>
      <c r="C1079">
        <v>1</v>
      </c>
      <c r="D1079">
        <v>2</v>
      </c>
      <c r="E1079" t="s">
        <v>22</v>
      </c>
      <c r="F1079" t="s">
        <v>1852</v>
      </c>
      <c r="G1079" t="s">
        <v>1853</v>
      </c>
      <c r="H1079">
        <v>1.3680000000000001</v>
      </c>
      <c r="I1079" t="s">
        <v>21</v>
      </c>
    </row>
    <row r="1080" spans="1:9" x14ac:dyDescent="0.3">
      <c r="A1080">
        <v>25</v>
      </c>
      <c r="B1080">
        <v>3</v>
      </c>
      <c r="C1080">
        <v>1</v>
      </c>
      <c r="D1080">
        <v>2</v>
      </c>
      <c r="E1080" t="s">
        <v>22</v>
      </c>
      <c r="F1080" t="s">
        <v>1854</v>
      </c>
      <c r="G1080" t="s">
        <v>1855</v>
      </c>
      <c r="H1080">
        <v>0.56699999999999995</v>
      </c>
      <c r="I1080" t="s">
        <v>21</v>
      </c>
    </row>
    <row r="1081" spans="1:9" x14ac:dyDescent="0.3">
      <c r="A1081">
        <v>25</v>
      </c>
      <c r="B1081">
        <v>3</v>
      </c>
      <c r="C1081">
        <v>1</v>
      </c>
      <c r="D1081">
        <v>2</v>
      </c>
      <c r="E1081" t="s">
        <v>19</v>
      </c>
      <c r="F1081" t="s">
        <v>1856</v>
      </c>
      <c r="I1081" t="s">
        <v>21</v>
      </c>
    </row>
    <row r="1082" spans="1:9" x14ac:dyDescent="0.3">
      <c r="A1082">
        <v>25</v>
      </c>
      <c r="B1082">
        <v>3</v>
      </c>
      <c r="C1082">
        <v>2</v>
      </c>
      <c r="D1082">
        <v>1</v>
      </c>
      <c r="E1082" t="s">
        <v>9</v>
      </c>
      <c r="F1082" t="s">
        <v>1857</v>
      </c>
      <c r="G1082" t="s">
        <v>1858</v>
      </c>
      <c r="H1082">
        <v>3.3860000000000001</v>
      </c>
      <c r="I1082" t="s">
        <v>12</v>
      </c>
    </row>
    <row r="1083" spans="1:9" x14ac:dyDescent="0.3">
      <c r="A1083">
        <v>25</v>
      </c>
      <c r="B1083">
        <v>3</v>
      </c>
      <c r="C1083">
        <v>2</v>
      </c>
      <c r="D1083">
        <v>1</v>
      </c>
      <c r="E1083" t="s">
        <v>9</v>
      </c>
      <c r="F1083" t="s">
        <v>1859</v>
      </c>
      <c r="G1083" t="s">
        <v>1860</v>
      </c>
      <c r="H1083">
        <v>4.4340000000000002</v>
      </c>
      <c r="I1083" t="s">
        <v>12</v>
      </c>
    </row>
    <row r="1084" spans="1:9" x14ac:dyDescent="0.3">
      <c r="A1084">
        <v>25</v>
      </c>
      <c r="B1084">
        <v>3</v>
      </c>
      <c r="C1084">
        <v>2</v>
      </c>
      <c r="D1084">
        <v>1</v>
      </c>
      <c r="E1084" t="s">
        <v>9</v>
      </c>
      <c r="F1084" t="s">
        <v>1861</v>
      </c>
      <c r="G1084" t="s">
        <v>1862</v>
      </c>
      <c r="H1084">
        <v>3.101</v>
      </c>
      <c r="I1084" t="s">
        <v>12</v>
      </c>
    </row>
    <row r="1085" spans="1:9" x14ac:dyDescent="0.3">
      <c r="A1085">
        <v>25</v>
      </c>
      <c r="B1085">
        <v>3</v>
      </c>
      <c r="C1085">
        <v>2</v>
      </c>
      <c r="D1085">
        <v>1</v>
      </c>
      <c r="E1085" t="s">
        <v>22</v>
      </c>
      <c r="F1085" t="s">
        <v>1863</v>
      </c>
      <c r="G1085" t="s">
        <v>1864</v>
      </c>
      <c r="H1085">
        <v>2.0339999999999998</v>
      </c>
      <c r="I1085" t="s">
        <v>21</v>
      </c>
    </row>
    <row r="1086" spans="1:9" x14ac:dyDescent="0.3">
      <c r="A1086">
        <v>25</v>
      </c>
      <c r="B1086">
        <v>3</v>
      </c>
      <c r="C1086">
        <v>2</v>
      </c>
      <c r="D1086">
        <v>1</v>
      </c>
      <c r="E1086" t="s">
        <v>22</v>
      </c>
      <c r="F1086" t="s">
        <v>1865</v>
      </c>
      <c r="G1086" t="s">
        <v>1866</v>
      </c>
      <c r="H1086">
        <v>0.60099999999999998</v>
      </c>
      <c r="I1086" t="s">
        <v>21</v>
      </c>
    </row>
    <row r="1087" spans="1:9" x14ac:dyDescent="0.3">
      <c r="A1087">
        <v>25</v>
      </c>
      <c r="B1087">
        <v>3</v>
      </c>
      <c r="C1087">
        <v>2</v>
      </c>
      <c r="D1087">
        <v>1</v>
      </c>
      <c r="E1087" t="s">
        <v>19</v>
      </c>
      <c r="F1087" t="s">
        <v>1867</v>
      </c>
      <c r="I1087" t="s">
        <v>21</v>
      </c>
    </row>
    <row r="1088" spans="1:9" x14ac:dyDescent="0.3">
      <c r="A1088">
        <v>25</v>
      </c>
      <c r="B1088">
        <v>3</v>
      </c>
      <c r="C1088">
        <v>2</v>
      </c>
      <c r="D1088">
        <v>2</v>
      </c>
      <c r="E1088" t="s">
        <v>9</v>
      </c>
      <c r="F1088" t="s">
        <v>1868</v>
      </c>
      <c r="G1088" t="s">
        <v>1869</v>
      </c>
      <c r="H1088">
        <v>2.2530000000000001</v>
      </c>
      <c r="I1088" t="s">
        <v>12</v>
      </c>
    </row>
    <row r="1089" spans="1:9" x14ac:dyDescent="0.3">
      <c r="A1089">
        <v>25</v>
      </c>
      <c r="B1089">
        <v>3</v>
      </c>
      <c r="C1089">
        <v>2</v>
      </c>
      <c r="D1089">
        <v>2</v>
      </c>
      <c r="E1089" t="s">
        <v>9</v>
      </c>
      <c r="F1089" t="s">
        <v>1870</v>
      </c>
      <c r="G1089" t="s">
        <v>1871</v>
      </c>
      <c r="H1089">
        <v>3.0950000000000002</v>
      </c>
      <c r="I1089" t="s">
        <v>12</v>
      </c>
    </row>
    <row r="1090" spans="1:9" x14ac:dyDescent="0.3">
      <c r="A1090">
        <v>25</v>
      </c>
      <c r="B1090">
        <v>3</v>
      </c>
      <c r="C1090">
        <v>2</v>
      </c>
      <c r="D1090">
        <v>2</v>
      </c>
      <c r="E1090" t="s">
        <v>9</v>
      </c>
      <c r="F1090" t="s">
        <v>1872</v>
      </c>
      <c r="G1090" t="s">
        <v>1873</v>
      </c>
      <c r="H1090">
        <v>2.0009999999999999</v>
      </c>
      <c r="I1090" t="s">
        <v>12</v>
      </c>
    </row>
    <row r="1091" spans="1:9" x14ac:dyDescent="0.3">
      <c r="A1091">
        <v>25</v>
      </c>
      <c r="B1091">
        <v>3</v>
      </c>
      <c r="C1091">
        <v>2</v>
      </c>
      <c r="D1091">
        <v>2</v>
      </c>
      <c r="E1091" t="s">
        <v>22</v>
      </c>
      <c r="F1091" t="s">
        <v>1874</v>
      </c>
      <c r="G1091" t="s">
        <v>1875</v>
      </c>
      <c r="H1091">
        <v>1.9350000000000001</v>
      </c>
      <c r="I1091" t="s">
        <v>21</v>
      </c>
    </row>
    <row r="1092" spans="1:9" x14ac:dyDescent="0.3">
      <c r="A1092">
        <v>25</v>
      </c>
      <c r="B1092">
        <v>3</v>
      </c>
      <c r="C1092">
        <v>2</v>
      </c>
      <c r="D1092">
        <v>2</v>
      </c>
      <c r="E1092" t="s">
        <v>22</v>
      </c>
      <c r="F1092" t="s">
        <v>1876</v>
      </c>
      <c r="G1092" t="s">
        <v>1877</v>
      </c>
      <c r="H1092">
        <v>0.60099999999999998</v>
      </c>
      <c r="I1092" t="s">
        <v>21</v>
      </c>
    </row>
    <row r="1093" spans="1:9" x14ac:dyDescent="0.3">
      <c r="A1093">
        <v>25</v>
      </c>
      <c r="B1093">
        <v>3</v>
      </c>
      <c r="C1093">
        <v>2</v>
      </c>
      <c r="D1093">
        <v>2</v>
      </c>
      <c r="E1093" t="s">
        <v>19</v>
      </c>
      <c r="F1093" t="s">
        <v>1878</v>
      </c>
      <c r="I1093" t="s">
        <v>21</v>
      </c>
    </row>
    <row r="1094" spans="1:9" x14ac:dyDescent="0.3">
      <c r="A1094">
        <v>25</v>
      </c>
      <c r="B1094">
        <v>3</v>
      </c>
      <c r="C1094">
        <v>2</v>
      </c>
      <c r="D1094">
        <v>3</v>
      </c>
      <c r="E1094" t="s">
        <v>9</v>
      </c>
      <c r="F1094" t="s">
        <v>1879</v>
      </c>
      <c r="G1094" t="s">
        <v>1880</v>
      </c>
      <c r="H1094">
        <v>1.72</v>
      </c>
      <c r="I1094" t="s">
        <v>12</v>
      </c>
    </row>
    <row r="1095" spans="1:9" x14ac:dyDescent="0.3">
      <c r="A1095">
        <v>25</v>
      </c>
      <c r="B1095">
        <v>3</v>
      </c>
      <c r="C1095">
        <v>2</v>
      </c>
      <c r="D1095">
        <v>3</v>
      </c>
      <c r="E1095" t="s">
        <v>9</v>
      </c>
      <c r="F1095" t="s">
        <v>1881</v>
      </c>
      <c r="G1095" t="s">
        <v>1882</v>
      </c>
      <c r="H1095">
        <v>2.702</v>
      </c>
      <c r="I1095" t="s">
        <v>12</v>
      </c>
    </row>
    <row r="1096" spans="1:9" x14ac:dyDescent="0.3">
      <c r="A1096">
        <v>25</v>
      </c>
      <c r="B1096">
        <v>3</v>
      </c>
      <c r="C1096">
        <v>2</v>
      </c>
      <c r="D1096">
        <v>3</v>
      </c>
      <c r="E1096" t="s">
        <v>9</v>
      </c>
      <c r="F1096" t="s">
        <v>1883</v>
      </c>
      <c r="G1096" t="s">
        <v>1884</v>
      </c>
      <c r="H1096">
        <v>1.401</v>
      </c>
      <c r="I1096" t="s">
        <v>12</v>
      </c>
    </row>
    <row r="1097" spans="1:9" x14ac:dyDescent="0.3">
      <c r="A1097">
        <v>25</v>
      </c>
      <c r="B1097">
        <v>3</v>
      </c>
      <c r="C1097">
        <v>2</v>
      </c>
      <c r="D1097">
        <v>3</v>
      </c>
      <c r="E1097" t="s">
        <v>22</v>
      </c>
      <c r="F1097" t="s">
        <v>1885</v>
      </c>
      <c r="G1097" t="s">
        <v>1886</v>
      </c>
      <c r="H1097">
        <v>3.1680000000000001</v>
      </c>
      <c r="I1097" t="s">
        <v>21</v>
      </c>
    </row>
    <row r="1098" spans="1:9" x14ac:dyDescent="0.3">
      <c r="A1098">
        <v>25</v>
      </c>
      <c r="B1098">
        <v>3</v>
      </c>
      <c r="C1098">
        <v>2</v>
      </c>
      <c r="D1098">
        <v>3</v>
      </c>
      <c r="E1098" t="s">
        <v>22</v>
      </c>
      <c r="F1098" t="s">
        <v>1887</v>
      </c>
      <c r="G1098" t="s">
        <v>1888</v>
      </c>
      <c r="H1098">
        <v>1.9319999999999999</v>
      </c>
      <c r="I1098" t="s">
        <v>21</v>
      </c>
    </row>
    <row r="1099" spans="1:9" x14ac:dyDescent="0.3">
      <c r="A1099">
        <v>25</v>
      </c>
      <c r="B1099">
        <v>3</v>
      </c>
      <c r="C1099">
        <v>2</v>
      </c>
      <c r="D1099">
        <v>3</v>
      </c>
      <c r="E1099" t="s">
        <v>9</v>
      </c>
      <c r="F1099" t="s">
        <v>1889</v>
      </c>
      <c r="G1099" t="s">
        <v>1890</v>
      </c>
      <c r="H1099">
        <v>2.2949999999999999</v>
      </c>
      <c r="I1099" t="s">
        <v>12</v>
      </c>
    </row>
    <row r="1100" spans="1:9" x14ac:dyDescent="0.3">
      <c r="A1100">
        <v>25</v>
      </c>
      <c r="B1100">
        <v>3</v>
      </c>
      <c r="C1100">
        <v>2</v>
      </c>
      <c r="D1100">
        <v>3</v>
      </c>
      <c r="E1100" t="s">
        <v>19</v>
      </c>
      <c r="F1100" t="s">
        <v>1891</v>
      </c>
      <c r="I1100" t="s">
        <v>21</v>
      </c>
    </row>
    <row r="1101" spans="1:9" x14ac:dyDescent="0.3">
      <c r="A1101">
        <v>25</v>
      </c>
      <c r="B1101">
        <v>3</v>
      </c>
      <c r="C1101">
        <v>2</v>
      </c>
      <c r="D1101">
        <v>4</v>
      </c>
      <c r="E1101" t="s">
        <v>9</v>
      </c>
      <c r="F1101" t="s">
        <v>1892</v>
      </c>
      <c r="G1101" t="s">
        <v>1893</v>
      </c>
      <c r="H1101">
        <v>1.5860000000000001</v>
      </c>
      <c r="I1101" t="s">
        <v>12</v>
      </c>
    </row>
    <row r="1102" spans="1:9" x14ac:dyDescent="0.3">
      <c r="A1102">
        <v>25</v>
      </c>
      <c r="B1102">
        <v>3</v>
      </c>
      <c r="C1102">
        <v>2</v>
      </c>
      <c r="D1102">
        <v>4</v>
      </c>
      <c r="E1102" t="s">
        <v>9</v>
      </c>
      <c r="F1102" t="s">
        <v>1894</v>
      </c>
      <c r="G1102" t="s">
        <v>1895</v>
      </c>
      <c r="H1102">
        <v>2.4009999999999998</v>
      </c>
      <c r="I1102" t="s">
        <v>12</v>
      </c>
    </row>
    <row r="1103" spans="1:9" x14ac:dyDescent="0.3">
      <c r="A1103">
        <v>25</v>
      </c>
      <c r="B1103">
        <v>3</v>
      </c>
      <c r="C1103">
        <v>2</v>
      </c>
      <c r="D1103">
        <v>4</v>
      </c>
      <c r="E1103" t="s">
        <v>9</v>
      </c>
      <c r="F1103" t="s">
        <v>1896</v>
      </c>
      <c r="G1103" t="s">
        <v>1897</v>
      </c>
      <c r="H1103">
        <v>2.1930000000000001</v>
      </c>
      <c r="I1103" t="s">
        <v>12</v>
      </c>
    </row>
    <row r="1104" spans="1:9" x14ac:dyDescent="0.3">
      <c r="A1104">
        <v>25</v>
      </c>
      <c r="B1104">
        <v>3</v>
      </c>
      <c r="C1104">
        <v>2</v>
      </c>
      <c r="D1104">
        <v>4</v>
      </c>
      <c r="E1104" t="s">
        <v>9</v>
      </c>
      <c r="F1104" t="s">
        <v>1898</v>
      </c>
      <c r="G1104" t="s">
        <v>1899</v>
      </c>
      <c r="H1104">
        <v>4.202</v>
      </c>
      <c r="I1104" t="s">
        <v>12</v>
      </c>
    </row>
    <row r="1105" spans="1:9" x14ac:dyDescent="0.3">
      <c r="A1105">
        <v>25</v>
      </c>
      <c r="B1105">
        <v>3</v>
      </c>
      <c r="C1105">
        <v>2</v>
      </c>
      <c r="D1105">
        <v>4</v>
      </c>
      <c r="E1105" t="s">
        <v>22</v>
      </c>
      <c r="F1105" t="s">
        <v>1900</v>
      </c>
      <c r="G1105" t="s">
        <v>1901</v>
      </c>
      <c r="H1105">
        <v>1.7</v>
      </c>
      <c r="I1105" t="s">
        <v>21</v>
      </c>
    </row>
    <row r="1106" spans="1:9" x14ac:dyDescent="0.3">
      <c r="A1106">
        <v>25</v>
      </c>
      <c r="B1106">
        <v>3</v>
      </c>
      <c r="C1106">
        <v>2</v>
      </c>
      <c r="D1106">
        <v>4</v>
      </c>
      <c r="E1106" t="s">
        <v>22</v>
      </c>
      <c r="F1106" t="s">
        <v>1902</v>
      </c>
      <c r="G1106" t="s">
        <v>1903</v>
      </c>
      <c r="H1106">
        <v>1.569</v>
      </c>
      <c r="I1106" t="s">
        <v>21</v>
      </c>
    </row>
    <row r="1107" spans="1:9" x14ac:dyDescent="0.3">
      <c r="A1107">
        <v>25</v>
      </c>
      <c r="B1107">
        <v>3</v>
      </c>
      <c r="C1107">
        <v>2</v>
      </c>
      <c r="D1107">
        <v>4</v>
      </c>
      <c r="E1107" t="s">
        <v>19</v>
      </c>
      <c r="F1107" t="s">
        <v>1904</v>
      </c>
      <c r="I1107" t="s">
        <v>34</v>
      </c>
    </row>
    <row r="1108" spans="1:9" x14ac:dyDescent="0.3">
      <c r="A1108">
        <v>25</v>
      </c>
      <c r="B1108">
        <v>3</v>
      </c>
      <c r="C1108">
        <v>2</v>
      </c>
      <c r="D1108">
        <v>5</v>
      </c>
      <c r="E1108" t="s">
        <v>9</v>
      </c>
      <c r="F1108" t="s">
        <v>1905</v>
      </c>
      <c r="G1108" t="s">
        <v>1906</v>
      </c>
      <c r="H1108">
        <v>1.8839999999999999</v>
      </c>
      <c r="I1108" t="s">
        <v>12</v>
      </c>
    </row>
    <row r="1109" spans="1:9" x14ac:dyDescent="0.3">
      <c r="A1109">
        <v>25</v>
      </c>
      <c r="B1109">
        <v>3</v>
      </c>
      <c r="C1109">
        <v>2</v>
      </c>
      <c r="D1109">
        <v>5</v>
      </c>
      <c r="E1109" t="s">
        <v>9</v>
      </c>
      <c r="F1109" t="s">
        <v>1907</v>
      </c>
      <c r="G1109" t="s">
        <v>1908</v>
      </c>
      <c r="H1109">
        <v>1.76</v>
      </c>
      <c r="I1109" t="s">
        <v>12</v>
      </c>
    </row>
    <row r="1110" spans="1:9" x14ac:dyDescent="0.3">
      <c r="A1110">
        <v>25</v>
      </c>
      <c r="B1110">
        <v>3</v>
      </c>
      <c r="C1110">
        <v>2</v>
      </c>
      <c r="D1110">
        <v>5</v>
      </c>
      <c r="E1110" t="s">
        <v>9</v>
      </c>
      <c r="F1110" t="s">
        <v>1909</v>
      </c>
      <c r="G1110" t="s">
        <v>1910</v>
      </c>
      <c r="H1110">
        <v>2.2999999999999998</v>
      </c>
      <c r="I1110" t="s">
        <v>12</v>
      </c>
    </row>
    <row r="1111" spans="1:9" x14ac:dyDescent="0.3">
      <c r="A1111">
        <v>25</v>
      </c>
      <c r="B1111">
        <v>3</v>
      </c>
      <c r="C1111">
        <v>2</v>
      </c>
      <c r="D1111">
        <v>5</v>
      </c>
      <c r="E1111" t="s">
        <v>9</v>
      </c>
      <c r="F1111" t="s">
        <v>1911</v>
      </c>
      <c r="G1111" t="s">
        <v>1912</v>
      </c>
      <c r="H1111">
        <v>4.3689999999999998</v>
      </c>
      <c r="I1111" t="s">
        <v>12</v>
      </c>
    </row>
    <row r="1112" spans="1:9" x14ac:dyDescent="0.3">
      <c r="A1112">
        <v>25</v>
      </c>
      <c r="B1112">
        <v>3</v>
      </c>
      <c r="C1112">
        <v>2</v>
      </c>
      <c r="D1112">
        <v>5</v>
      </c>
      <c r="E1112" t="s">
        <v>22</v>
      </c>
      <c r="F1112" t="s">
        <v>1913</v>
      </c>
      <c r="G1112" t="s">
        <v>1914</v>
      </c>
      <c r="H1112">
        <v>1.732</v>
      </c>
      <c r="I1112" t="s">
        <v>21</v>
      </c>
    </row>
    <row r="1113" spans="1:9" x14ac:dyDescent="0.3">
      <c r="A1113">
        <v>25</v>
      </c>
      <c r="B1113">
        <v>3</v>
      </c>
      <c r="C1113">
        <v>2</v>
      </c>
      <c r="D1113">
        <v>5</v>
      </c>
      <c r="E1113" t="s">
        <v>22</v>
      </c>
      <c r="F1113" t="s">
        <v>1915</v>
      </c>
      <c r="G1113" t="s">
        <v>1916</v>
      </c>
      <c r="H1113">
        <v>1.468</v>
      </c>
      <c r="I1113" t="s">
        <v>21</v>
      </c>
    </row>
    <row r="1114" spans="1:9" x14ac:dyDescent="0.3">
      <c r="A1114">
        <v>25</v>
      </c>
      <c r="B1114">
        <v>3</v>
      </c>
      <c r="C1114">
        <v>2</v>
      </c>
      <c r="D1114">
        <v>5</v>
      </c>
      <c r="E1114" t="s">
        <v>19</v>
      </c>
      <c r="F1114" t="s">
        <v>1917</v>
      </c>
      <c r="I1114" t="s">
        <v>21</v>
      </c>
    </row>
    <row r="1115" spans="1:9" x14ac:dyDescent="0.3">
      <c r="A1115">
        <v>25</v>
      </c>
      <c r="B1115">
        <v>3</v>
      </c>
      <c r="C1115">
        <v>2</v>
      </c>
      <c r="D1115">
        <v>6</v>
      </c>
      <c r="E1115" t="s">
        <v>19</v>
      </c>
      <c r="F1115" t="s">
        <v>1918</v>
      </c>
      <c r="I1115" t="s">
        <v>21</v>
      </c>
    </row>
    <row r="1116" spans="1:9" x14ac:dyDescent="0.3">
      <c r="A1116">
        <v>25</v>
      </c>
      <c r="B1116">
        <v>3</v>
      </c>
      <c r="C1116">
        <v>2</v>
      </c>
      <c r="D1116">
        <v>6</v>
      </c>
      <c r="E1116" t="s">
        <v>9</v>
      </c>
      <c r="F1116" t="s">
        <v>1919</v>
      </c>
      <c r="G1116" t="s">
        <v>1920</v>
      </c>
      <c r="H1116">
        <v>2.2949999999999999</v>
      </c>
      <c r="I1116" t="s">
        <v>12</v>
      </c>
    </row>
    <row r="1117" spans="1:9" x14ac:dyDescent="0.3">
      <c r="A1117">
        <v>25</v>
      </c>
      <c r="B1117">
        <v>3</v>
      </c>
      <c r="C1117">
        <v>2</v>
      </c>
      <c r="D1117">
        <v>6</v>
      </c>
      <c r="E1117" t="s">
        <v>9</v>
      </c>
      <c r="F1117" t="s">
        <v>1921</v>
      </c>
      <c r="G1117" t="s">
        <v>1922</v>
      </c>
      <c r="H1117">
        <v>1.8009999999999999</v>
      </c>
      <c r="I1117" t="s">
        <v>12</v>
      </c>
    </row>
    <row r="1118" spans="1:9" x14ac:dyDescent="0.3">
      <c r="A1118">
        <v>25</v>
      </c>
      <c r="B1118">
        <v>3</v>
      </c>
      <c r="C1118">
        <v>2</v>
      </c>
      <c r="D1118">
        <v>6</v>
      </c>
      <c r="E1118" t="s">
        <v>9</v>
      </c>
      <c r="F1118" t="s">
        <v>1923</v>
      </c>
      <c r="G1118" t="s">
        <v>1924</v>
      </c>
      <c r="H1118">
        <v>1.534</v>
      </c>
      <c r="I1118" t="s">
        <v>12</v>
      </c>
    </row>
    <row r="1119" spans="1:9" x14ac:dyDescent="0.3">
      <c r="A1119">
        <v>25</v>
      </c>
      <c r="B1119">
        <v>3</v>
      </c>
      <c r="C1119">
        <v>2</v>
      </c>
      <c r="D1119">
        <v>6</v>
      </c>
      <c r="E1119" t="s">
        <v>22</v>
      </c>
      <c r="F1119" t="s">
        <v>1925</v>
      </c>
      <c r="G1119" t="s">
        <v>1926</v>
      </c>
      <c r="H1119">
        <v>2.4300000000000002</v>
      </c>
      <c r="I1119" t="s">
        <v>21</v>
      </c>
    </row>
    <row r="1120" spans="1:9" x14ac:dyDescent="0.3">
      <c r="A1120">
        <v>25</v>
      </c>
      <c r="B1120">
        <v>3</v>
      </c>
      <c r="C1120">
        <v>2</v>
      </c>
      <c r="D1120">
        <v>6</v>
      </c>
      <c r="E1120" t="s">
        <v>22</v>
      </c>
      <c r="F1120" t="s">
        <v>1927</v>
      </c>
      <c r="G1120" t="s">
        <v>1928</v>
      </c>
      <c r="H1120">
        <v>0.66900000000000004</v>
      </c>
      <c r="I1120" t="s">
        <v>21</v>
      </c>
    </row>
    <row r="1121" spans="1:9" x14ac:dyDescent="0.3">
      <c r="A1121">
        <v>25</v>
      </c>
      <c r="B1121">
        <v>3</v>
      </c>
      <c r="C1121">
        <v>2</v>
      </c>
      <c r="D1121">
        <v>6</v>
      </c>
      <c r="E1121" t="s">
        <v>9</v>
      </c>
      <c r="F1121" t="s">
        <v>1929</v>
      </c>
      <c r="G1121" t="s">
        <v>1930</v>
      </c>
      <c r="H1121">
        <v>1.669</v>
      </c>
      <c r="I1121" t="s">
        <v>12</v>
      </c>
    </row>
    <row r="1122" spans="1:9" x14ac:dyDescent="0.3">
      <c r="A1122">
        <v>25</v>
      </c>
      <c r="B1122">
        <v>3</v>
      </c>
      <c r="C1122">
        <v>3</v>
      </c>
      <c r="D1122">
        <v>1</v>
      </c>
      <c r="E1122" t="s">
        <v>9</v>
      </c>
      <c r="F1122" t="s">
        <v>1931</v>
      </c>
      <c r="G1122" t="s">
        <v>1932</v>
      </c>
      <c r="H1122">
        <v>2.7509999999999999</v>
      </c>
      <c r="I1122" t="s">
        <v>12</v>
      </c>
    </row>
    <row r="1123" spans="1:9" x14ac:dyDescent="0.3">
      <c r="A1123">
        <v>25</v>
      </c>
      <c r="B1123">
        <v>3</v>
      </c>
      <c r="C1123">
        <v>3</v>
      </c>
      <c r="D1123">
        <v>1</v>
      </c>
      <c r="E1123" t="s">
        <v>9</v>
      </c>
      <c r="F1123" t="s">
        <v>1933</v>
      </c>
      <c r="G1123" t="s">
        <v>1934</v>
      </c>
      <c r="H1123">
        <v>1.869</v>
      </c>
      <c r="I1123" t="s">
        <v>12</v>
      </c>
    </row>
    <row r="1124" spans="1:9" x14ac:dyDescent="0.3">
      <c r="A1124">
        <v>25</v>
      </c>
      <c r="B1124">
        <v>3</v>
      </c>
      <c r="C1124">
        <v>3</v>
      </c>
      <c r="D1124">
        <v>1</v>
      </c>
      <c r="E1124" t="s">
        <v>9</v>
      </c>
      <c r="F1124" t="s">
        <v>1935</v>
      </c>
      <c r="G1124" t="s">
        <v>1936</v>
      </c>
      <c r="H1124">
        <v>3.165</v>
      </c>
      <c r="I1124" t="s">
        <v>12</v>
      </c>
    </row>
    <row r="1125" spans="1:9" x14ac:dyDescent="0.3">
      <c r="A1125">
        <v>25</v>
      </c>
      <c r="B1125">
        <v>3</v>
      </c>
      <c r="C1125">
        <v>3</v>
      </c>
      <c r="D1125">
        <v>1</v>
      </c>
      <c r="E1125" t="s">
        <v>9</v>
      </c>
      <c r="F1125" t="s">
        <v>1937</v>
      </c>
      <c r="G1125" t="s">
        <v>1938</v>
      </c>
      <c r="H1125">
        <v>2.1989999999999998</v>
      </c>
      <c r="I1125" t="s">
        <v>12</v>
      </c>
    </row>
    <row r="1126" spans="1:9" x14ac:dyDescent="0.3">
      <c r="A1126">
        <v>25</v>
      </c>
      <c r="B1126">
        <v>3</v>
      </c>
      <c r="C1126">
        <v>3</v>
      </c>
      <c r="D1126">
        <v>1</v>
      </c>
      <c r="E1126" t="s">
        <v>22</v>
      </c>
      <c r="F1126" t="s">
        <v>1939</v>
      </c>
      <c r="G1126" t="s">
        <v>1940</v>
      </c>
      <c r="H1126">
        <v>1.371</v>
      </c>
      <c r="I1126" t="s">
        <v>21</v>
      </c>
    </row>
    <row r="1127" spans="1:9" x14ac:dyDescent="0.3">
      <c r="A1127">
        <v>25</v>
      </c>
      <c r="B1127">
        <v>3</v>
      </c>
      <c r="C1127">
        <v>3</v>
      </c>
      <c r="D1127">
        <v>1</v>
      </c>
      <c r="E1127" t="s">
        <v>22</v>
      </c>
      <c r="F1127" t="s">
        <v>1941</v>
      </c>
      <c r="G1127" t="s">
        <v>1942</v>
      </c>
      <c r="H1127">
        <v>0.80100000000000005</v>
      </c>
      <c r="I1127" t="s">
        <v>21</v>
      </c>
    </row>
    <row r="1128" spans="1:9" x14ac:dyDescent="0.3">
      <c r="A1128">
        <v>25</v>
      </c>
      <c r="B1128">
        <v>3</v>
      </c>
      <c r="C1128">
        <v>3</v>
      </c>
      <c r="D1128">
        <v>1</v>
      </c>
      <c r="E1128" t="s">
        <v>19</v>
      </c>
      <c r="F1128" t="s">
        <v>1943</v>
      </c>
      <c r="I1128" t="s">
        <v>34</v>
      </c>
    </row>
    <row r="1129" spans="1:9" x14ac:dyDescent="0.3">
      <c r="A1129">
        <v>25</v>
      </c>
      <c r="B1129">
        <v>3</v>
      </c>
      <c r="C1129">
        <v>3</v>
      </c>
      <c r="D1129">
        <v>1</v>
      </c>
      <c r="E1129" t="s">
        <v>19</v>
      </c>
      <c r="F1129" t="s">
        <v>1944</v>
      </c>
      <c r="I1129" t="s">
        <v>34</v>
      </c>
    </row>
    <row r="1130" spans="1:9" x14ac:dyDescent="0.3">
      <c r="A1130">
        <v>25</v>
      </c>
      <c r="B1130">
        <v>3</v>
      </c>
      <c r="C1130">
        <v>3</v>
      </c>
      <c r="D1130">
        <v>2</v>
      </c>
      <c r="E1130" t="s">
        <v>9</v>
      </c>
      <c r="F1130" t="s">
        <v>1945</v>
      </c>
      <c r="G1130" t="s">
        <v>1946</v>
      </c>
      <c r="H1130">
        <v>2.1339999999999999</v>
      </c>
      <c r="I1130" t="s">
        <v>12</v>
      </c>
    </row>
    <row r="1131" spans="1:9" x14ac:dyDescent="0.3">
      <c r="A1131">
        <v>25</v>
      </c>
      <c r="B1131">
        <v>3</v>
      </c>
      <c r="C1131">
        <v>3</v>
      </c>
      <c r="D1131">
        <v>2</v>
      </c>
      <c r="E1131" t="s">
        <v>9</v>
      </c>
      <c r="F1131" t="s">
        <v>1947</v>
      </c>
      <c r="G1131" t="s">
        <v>1948</v>
      </c>
      <c r="H1131">
        <v>3.1030000000000002</v>
      </c>
      <c r="I1131" t="s">
        <v>12</v>
      </c>
    </row>
    <row r="1132" spans="1:9" x14ac:dyDescent="0.3">
      <c r="A1132">
        <v>25</v>
      </c>
      <c r="B1132">
        <v>3</v>
      </c>
      <c r="C1132">
        <v>3</v>
      </c>
      <c r="D1132">
        <v>2</v>
      </c>
      <c r="E1132" t="s">
        <v>9</v>
      </c>
      <c r="F1132" t="s">
        <v>1949</v>
      </c>
      <c r="G1132" t="s">
        <v>1950</v>
      </c>
      <c r="H1132">
        <v>2.7360000000000002</v>
      </c>
      <c r="I1132" t="s">
        <v>12</v>
      </c>
    </row>
    <row r="1133" spans="1:9" x14ac:dyDescent="0.3">
      <c r="A1133">
        <v>25</v>
      </c>
      <c r="B1133">
        <v>3</v>
      </c>
      <c r="C1133">
        <v>3</v>
      </c>
      <c r="D1133">
        <v>2</v>
      </c>
      <c r="E1133" t="s">
        <v>9</v>
      </c>
      <c r="F1133" t="s">
        <v>1951</v>
      </c>
      <c r="G1133" t="s">
        <v>1952</v>
      </c>
      <c r="H1133">
        <v>1.6020000000000001</v>
      </c>
      <c r="I1133" t="s">
        <v>12</v>
      </c>
    </row>
    <row r="1134" spans="1:9" x14ac:dyDescent="0.3">
      <c r="A1134">
        <v>25</v>
      </c>
      <c r="B1134">
        <v>3</v>
      </c>
      <c r="C1134">
        <v>3</v>
      </c>
      <c r="D1134">
        <v>2</v>
      </c>
      <c r="E1134" t="s">
        <v>22</v>
      </c>
      <c r="F1134" t="s">
        <v>1953</v>
      </c>
      <c r="G1134" t="s">
        <v>1954</v>
      </c>
      <c r="H1134">
        <v>1.2689999999999999</v>
      </c>
      <c r="I1134" t="s">
        <v>21</v>
      </c>
    </row>
    <row r="1135" spans="1:9" x14ac:dyDescent="0.3">
      <c r="A1135">
        <v>25</v>
      </c>
      <c r="B1135">
        <v>3</v>
      </c>
      <c r="C1135">
        <v>3</v>
      </c>
      <c r="D1135">
        <v>2</v>
      </c>
      <c r="E1135" t="s">
        <v>22</v>
      </c>
      <c r="F1135" t="s">
        <v>1955</v>
      </c>
      <c r="G1135" t="s">
        <v>1956</v>
      </c>
      <c r="H1135">
        <v>0.86399999999999999</v>
      </c>
      <c r="I1135" t="s">
        <v>21</v>
      </c>
    </row>
    <row r="1136" spans="1:9" x14ac:dyDescent="0.3">
      <c r="A1136">
        <v>25</v>
      </c>
      <c r="B1136">
        <v>3</v>
      </c>
      <c r="C1136">
        <v>3</v>
      </c>
      <c r="D1136">
        <v>2</v>
      </c>
      <c r="E1136" t="s">
        <v>19</v>
      </c>
      <c r="F1136" t="s">
        <v>1957</v>
      </c>
      <c r="I1136" t="s">
        <v>21</v>
      </c>
    </row>
    <row r="1137" spans="1:9" x14ac:dyDescent="0.3">
      <c r="A1137">
        <v>25</v>
      </c>
      <c r="B1137">
        <v>3</v>
      </c>
      <c r="C1137">
        <v>3</v>
      </c>
      <c r="D1137">
        <v>3</v>
      </c>
      <c r="E1137" t="s">
        <v>9</v>
      </c>
      <c r="F1137" t="s">
        <v>1958</v>
      </c>
      <c r="G1137" t="s">
        <v>1959</v>
      </c>
      <c r="H1137">
        <v>2.1019999999999999</v>
      </c>
      <c r="I1137" t="s">
        <v>12</v>
      </c>
    </row>
    <row r="1138" spans="1:9" x14ac:dyDescent="0.3">
      <c r="A1138">
        <v>25</v>
      </c>
      <c r="B1138">
        <v>3</v>
      </c>
      <c r="C1138">
        <v>3</v>
      </c>
      <c r="D1138">
        <v>3</v>
      </c>
      <c r="E1138" t="s">
        <v>9</v>
      </c>
      <c r="F1138" t="s">
        <v>1960</v>
      </c>
      <c r="G1138" t="s">
        <v>1961</v>
      </c>
      <c r="H1138">
        <v>4.2009999999999996</v>
      </c>
      <c r="I1138" t="s">
        <v>12</v>
      </c>
    </row>
    <row r="1139" spans="1:9" x14ac:dyDescent="0.3">
      <c r="A1139">
        <v>25</v>
      </c>
      <c r="B1139">
        <v>3</v>
      </c>
      <c r="C1139">
        <v>3</v>
      </c>
      <c r="D1139">
        <v>3</v>
      </c>
      <c r="E1139" t="s">
        <v>9</v>
      </c>
      <c r="F1139" t="s">
        <v>1962</v>
      </c>
      <c r="G1139" t="s">
        <v>1963</v>
      </c>
      <c r="H1139">
        <v>1.7350000000000001</v>
      </c>
      <c r="I1139" t="s">
        <v>12</v>
      </c>
    </row>
    <row r="1140" spans="1:9" x14ac:dyDescent="0.3">
      <c r="A1140">
        <v>25</v>
      </c>
      <c r="B1140">
        <v>3</v>
      </c>
      <c r="C1140">
        <v>3</v>
      </c>
      <c r="D1140">
        <v>3</v>
      </c>
      <c r="E1140" t="s">
        <v>9</v>
      </c>
      <c r="F1140" t="s">
        <v>1964</v>
      </c>
      <c r="G1140" t="s">
        <v>1965</v>
      </c>
      <c r="H1140">
        <v>1.9019999999999999</v>
      </c>
      <c r="I1140" t="s">
        <v>12</v>
      </c>
    </row>
    <row r="1141" spans="1:9" x14ac:dyDescent="0.3">
      <c r="A1141">
        <v>25</v>
      </c>
      <c r="B1141">
        <v>3</v>
      </c>
      <c r="C1141">
        <v>3</v>
      </c>
      <c r="D1141">
        <v>3</v>
      </c>
      <c r="E1141" t="s">
        <v>22</v>
      </c>
      <c r="F1141" t="s">
        <v>1966</v>
      </c>
      <c r="G1141" t="s">
        <v>1967</v>
      </c>
      <c r="H1141">
        <v>1.802</v>
      </c>
      <c r="I1141" t="s">
        <v>21</v>
      </c>
    </row>
    <row r="1142" spans="1:9" x14ac:dyDescent="0.3">
      <c r="A1142">
        <v>25</v>
      </c>
      <c r="B1142">
        <v>3</v>
      </c>
      <c r="C1142">
        <v>3</v>
      </c>
      <c r="D1142">
        <v>3</v>
      </c>
      <c r="E1142" t="s">
        <v>22</v>
      </c>
      <c r="F1142" t="s">
        <v>1968</v>
      </c>
      <c r="G1142" t="s">
        <v>1969</v>
      </c>
      <c r="H1142">
        <v>0.90100000000000002</v>
      </c>
      <c r="I1142" t="s">
        <v>21</v>
      </c>
    </row>
    <row r="1143" spans="1:9" x14ac:dyDescent="0.3">
      <c r="A1143">
        <v>25</v>
      </c>
      <c r="B1143">
        <v>3</v>
      </c>
      <c r="C1143">
        <v>3</v>
      </c>
      <c r="D1143">
        <v>3</v>
      </c>
      <c r="E1143" t="s">
        <v>19</v>
      </c>
      <c r="F1143" t="s">
        <v>1970</v>
      </c>
      <c r="I1143" t="s">
        <v>21</v>
      </c>
    </row>
    <row r="1144" spans="1:9" x14ac:dyDescent="0.3">
      <c r="A1144">
        <v>25</v>
      </c>
      <c r="B1144">
        <v>3</v>
      </c>
      <c r="C1144">
        <v>3</v>
      </c>
      <c r="D1144">
        <v>4</v>
      </c>
      <c r="E1144" t="s">
        <v>9</v>
      </c>
      <c r="F1144" t="s">
        <v>1971</v>
      </c>
      <c r="G1144" t="s">
        <v>1972</v>
      </c>
      <c r="H1144">
        <v>4.6280000000000001</v>
      </c>
      <c r="I1144" t="s">
        <v>12</v>
      </c>
    </row>
    <row r="1145" spans="1:9" x14ac:dyDescent="0.3">
      <c r="A1145">
        <v>25</v>
      </c>
      <c r="B1145">
        <v>3</v>
      </c>
      <c r="C1145">
        <v>3</v>
      </c>
      <c r="D1145">
        <v>4</v>
      </c>
      <c r="E1145" t="s">
        <v>9</v>
      </c>
      <c r="F1145" t="s">
        <v>1973</v>
      </c>
      <c r="G1145" t="s">
        <v>1974</v>
      </c>
      <c r="H1145">
        <v>2.4329999999999998</v>
      </c>
      <c r="I1145" t="s">
        <v>12</v>
      </c>
    </row>
    <row r="1146" spans="1:9" x14ac:dyDescent="0.3">
      <c r="A1146">
        <v>25</v>
      </c>
      <c r="B1146">
        <v>3</v>
      </c>
      <c r="C1146">
        <v>3</v>
      </c>
      <c r="D1146">
        <v>4</v>
      </c>
      <c r="E1146" t="s">
        <v>9</v>
      </c>
      <c r="F1146" t="s">
        <v>1975</v>
      </c>
      <c r="G1146" t="s">
        <v>1976</v>
      </c>
      <c r="H1146">
        <v>1.5029999999999999</v>
      </c>
      <c r="I1146" t="s">
        <v>12</v>
      </c>
    </row>
    <row r="1147" spans="1:9" x14ac:dyDescent="0.3">
      <c r="A1147">
        <v>25</v>
      </c>
      <c r="B1147">
        <v>3</v>
      </c>
      <c r="C1147">
        <v>3</v>
      </c>
      <c r="D1147">
        <v>4</v>
      </c>
      <c r="E1147" t="s">
        <v>9</v>
      </c>
      <c r="F1147" t="s">
        <v>1977</v>
      </c>
      <c r="G1147" t="s">
        <v>1978</v>
      </c>
      <c r="H1147">
        <v>1.536</v>
      </c>
      <c r="I1147" t="s">
        <v>12</v>
      </c>
    </row>
    <row r="1148" spans="1:9" x14ac:dyDescent="0.3">
      <c r="A1148">
        <v>25</v>
      </c>
      <c r="B1148">
        <v>3</v>
      </c>
      <c r="C1148">
        <v>3</v>
      </c>
      <c r="D1148">
        <v>4</v>
      </c>
      <c r="E1148" t="s">
        <v>22</v>
      </c>
      <c r="F1148" t="s">
        <v>1979</v>
      </c>
      <c r="G1148" t="s">
        <v>1980</v>
      </c>
      <c r="H1148">
        <v>0.96799999999999997</v>
      </c>
      <c r="I1148" t="s">
        <v>21</v>
      </c>
    </row>
    <row r="1149" spans="1:9" x14ac:dyDescent="0.3">
      <c r="A1149">
        <v>25</v>
      </c>
      <c r="B1149">
        <v>3</v>
      </c>
      <c r="C1149">
        <v>3</v>
      </c>
      <c r="D1149">
        <v>4</v>
      </c>
      <c r="E1149" t="s">
        <v>22</v>
      </c>
      <c r="F1149" t="s">
        <v>1981</v>
      </c>
      <c r="G1149" t="s">
        <v>1982</v>
      </c>
      <c r="H1149">
        <v>1.002</v>
      </c>
      <c r="I1149" t="s">
        <v>21</v>
      </c>
    </row>
    <row r="1150" spans="1:9" x14ac:dyDescent="0.3">
      <c r="A1150">
        <v>25</v>
      </c>
      <c r="B1150">
        <v>3</v>
      </c>
      <c r="C1150">
        <v>3</v>
      </c>
      <c r="D1150">
        <v>4</v>
      </c>
      <c r="E1150" t="s">
        <v>19</v>
      </c>
      <c r="F1150" t="s">
        <v>1983</v>
      </c>
      <c r="I1150" t="s">
        <v>34</v>
      </c>
    </row>
    <row r="1151" spans="1:9" x14ac:dyDescent="0.3">
      <c r="A1151">
        <v>25</v>
      </c>
      <c r="B1151">
        <v>3</v>
      </c>
      <c r="C1151">
        <v>3</v>
      </c>
      <c r="D1151">
        <v>5</v>
      </c>
      <c r="E1151" t="s">
        <v>9</v>
      </c>
      <c r="F1151" t="s">
        <v>1984</v>
      </c>
      <c r="G1151" t="s">
        <v>1985</v>
      </c>
      <c r="H1151">
        <v>1.6619999999999999</v>
      </c>
      <c r="I1151" t="s">
        <v>12</v>
      </c>
    </row>
    <row r="1152" spans="1:9" x14ac:dyDescent="0.3">
      <c r="A1152">
        <v>25</v>
      </c>
      <c r="B1152">
        <v>3</v>
      </c>
      <c r="C1152">
        <v>3</v>
      </c>
      <c r="D1152">
        <v>5</v>
      </c>
      <c r="E1152" t="s">
        <v>9</v>
      </c>
      <c r="F1152" t="s">
        <v>1986</v>
      </c>
      <c r="G1152" t="s">
        <v>1987</v>
      </c>
      <c r="H1152">
        <v>4.49</v>
      </c>
      <c r="I1152" t="s">
        <v>12</v>
      </c>
    </row>
    <row r="1153" spans="1:9" x14ac:dyDescent="0.3">
      <c r="A1153">
        <v>25</v>
      </c>
      <c r="B1153">
        <v>3</v>
      </c>
      <c r="C1153">
        <v>3</v>
      </c>
      <c r="D1153">
        <v>5</v>
      </c>
      <c r="E1153" t="s">
        <v>9</v>
      </c>
      <c r="F1153" t="s">
        <v>1988</v>
      </c>
      <c r="G1153" t="s">
        <v>1989</v>
      </c>
      <c r="H1153">
        <v>2.1349999999999998</v>
      </c>
      <c r="I1153" t="s">
        <v>12</v>
      </c>
    </row>
    <row r="1154" spans="1:9" x14ac:dyDescent="0.3">
      <c r="A1154">
        <v>25</v>
      </c>
      <c r="B1154">
        <v>3</v>
      </c>
      <c r="C1154">
        <v>3</v>
      </c>
      <c r="D1154">
        <v>5</v>
      </c>
      <c r="E1154" t="s">
        <v>9</v>
      </c>
      <c r="F1154" t="s">
        <v>1990</v>
      </c>
      <c r="G1154" t="s">
        <v>1991</v>
      </c>
      <c r="H1154">
        <v>2.97</v>
      </c>
      <c r="I1154" t="s">
        <v>12</v>
      </c>
    </row>
    <row r="1155" spans="1:9" x14ac:dyDescent="0.3">
      <c r="A1155">
        <v>25</v>
      </c>
      <c r="B1155">
        <v>3</v>
      </c>
      <c r="C1155">
        <v>3</v>
      </c>
      <c r="D1155">
        <v>5</v>
      </c>
      <c r="E1155" t="s">
        <v>22</v>
      </c>
      <c r="F1155" t="s">
        <v>1992</v>
      </c>
      <c r="G1155" t="s">
        <v>1993</v>
      </c>
      <c r="H1155">
        <v>1.401</v>
      </c>
      <c r="I1155" t="s">
        <v>21</v>
      </c>
    </row>
    <row r="1156" spans="1:9" x14ac:dyDescent="0.3">
      <c r="A1156">
        <v>25</v>
      </c>
      <c r="B1156">
        <v>3</v>
      </c>
      <c r="C1156">
        <v>3</v>
      </c>
      <c r="D1156">
        <v>5</v>
      </c>
      <c r="E1156" t="s">
        <v>22</v>
      </c>
      <c r="F1156" t="s">
        <v>1994</v>
      </c>
      <c r="G1156" t="s">
        <v>1995</v>
      </c>
      <c r="H1156">
        <v>0.76800000000000002</v>
      </c>
      <c r="I1156" t="s">
        <v>21</v>
      </c>
    </row>
    <row r="1157" spans="1:9" x14ac:dyDescent="0.3">
      <c r="A1157">
        <v>25</v>
      </c>
      <c r="B1157">
        <v>3</v>
      </c>
      <c r="C1157">
        <v>3</v>
      </c>
      <c r="D1157">
        <v>5</v>
      </c>
      <c r="E1157" t="s">
        <v>19</v>
      </c>
      <c r="F1157" t="s">
        <v>1996</v>
      </c>
      <c r="I1157" t="s">
        <v>34</v>
      </c>
    </row>
    <row r="1158" spans="1:9" x14ac:dyDescent="0.3">
      <c r="A1158">
        <v>25</v>
      </c>
      <c r="B1158">
        <v>3</v>
      </c>
      <c r="C1158">
        <v>3</v>
      </c>
      <c r="D1158">
        <v>5</v>
      </c>
      <c r="E1158" t="s">
        <v>19</v>
      </c>
      <c r="F1158" t="s">
        <v>1997</v>
      </c>
      <c r="I1158" t="s">
        <v>21</v>
      </c>
    </row>
    <row r="1159" spans="1:9" x14ac:dyDescent="0.3">
      <c r="A1159">
        <v>25</v>
      </c>
      <c r="B1159">
        <v>3</v>
      </c>
      <c r="C1159">
        <v>3</v>
      </c>
      <c r="D1159">
        <v>6</v>
      </c>
      <c r="E1159" t="s">
        <v>9</v>
      </c>
      <c r="F1159" t="s">
        <v>1998</v>
      </c>
      <c r="G1159" t="s">
        <v>1999</v>
      </c>
      <c r="H1159">
        <v>1.4219999999999999</v>
      </c>
      <c r="I1159" t="s">
        <v>12</v>
      </c>
    </row>
    <row r="1160" spans="1:9" x14ac:dyDescent="0.3">
      <c r="A1160">
        <v>25</v>
      </c>
      <c r="B1160">
        <v>3</v>
      </c>
      <c r="C1160">
        <v>3</v>
      </c>
      <c r="D1160">
        <v>6</v>
      </c>
      <c r="E1160" t="s">
        <v>9</v>
      </c>
      <c r="F1160" t="s">
        <v>2000</v>
      </c>
      <c r="G1160" t="s">
        <v>2001</v>
      </c>
      <c r="H1160">
        <v>1.135</v>
      </c>
      <c r="I1160" t="s">
        <v>12</v>
      </c>
    </row>
    <row r="1161" spans="1:9" x14ac:dyDescent="0.3">
      <c r="A1161">
        <v>25</v>
      </c>
      <c r="B1161">
        <v>3</v>
      </c>
      <c r="C1161">
        <v>3</v>
      </c>
      <c r="D1161">
        <v>6</v>
      </c>
      <c r="E1161" t="s">
        <v>9</v>
      </c>
      <c r="F1161" t="s">
        <v>2002</v>
      </c>
      <c r="G1161" t="s">
        <v>2003</v>
      </c>
      <c r="H1161">
        <v>2.9340000000000002</v>
      </c>
      <c r="I1161" t="s">
        <v>12</v>
      </c>
    </row>
    <row r="1162" spans="1:9" x14ac:dyDescent="0.3">
      <c r="A1162">
        <v>25</v>
      </c>
      <c r="B1162">
        <v>3</v>
      </c>
      <c r="C1162">
        <v>3</v>
      </c>
      <c r="D1162">
        <v>6</v>
      </c>
      <c r="E1162" t="s">
        <v>9</v>
      </c>
      <c r="F1162" t="s">
        <v>2004</v>
      </c>
      <c r="G1162" t="s">
        <v>2005</v>
      </c>
      <c r="H1162">
        <v>2.57</v>
      </c>
      <c r="I1162" t="s">
        <v>12</v>
      </c>
    </row>
    <row r="1163" spans="1:9" x14ac:dyDescent="0.3">
      <c r="A1163">
        <v>25</v>
      </c>
      <c r="B1163">
        <v>3</v>
      </c>
      <c r="C1163">
        <v>3</v>
      </c>
      <c r="D1163">
        <v>6</v>
      </c>
      <c r="E1163" t="s">
        <v>22</v>
      </c>
      <c r="F1163" t="s">
        <v>2006</v>
      </c>
      <c r="G1163" t="s">
        <v>2007</v>
      </c>
      <c r="H1163">
        <v>1.6359999999999999</v>
      </c>
      <c r="I1163" t="s">
        <v>21</v>
      </c>
    </row>
    <row r="1164" spans="1:9" x14ac:dyDescent="0.3">
      <c r="A1164">
        <v>25</v>
      </c>
      <c r="B1164">
        <v>3</v>
      </c>
      <c r="C1164">
        <v>3</v>
      </c>
      <c r="D1164">
        <v>6</v>
      </c>
      <c r="E1164" t="s">
        <v>22</v>
      </c>
      <c r="F1164" t="s">
        <v>2008</v>
      </c>
      <c r="G1164" t="s">
        <v>2009</v>
      </c>
      <c r="H1164">
        <v>1.1659999999999999</v>
      </c>
      <c r="I1164" t="s">
        <v>21</v>
      </c>
    </row>
    <row r="1165" spans="1:9" x14ac:dyDescent="0.3">
      <c r="A1165">
        <v>25</v>
      </c>
      <c r="B1165">
        <v>3</v>
      </c>
      <c r="C1165">
        <v>3</v>
      </c>
      <c r="D1165">
        <v>6</v>
      </c>
      <c r="E1165" t="s">
        <v>19</v>
      </c>
      <c r="F1165" t="s">
        <v>2010</v>
      </c>
      <c r="I1165" t="s">
        <v>34</v>
      </c>
    </row>
    <row r="1166" spans="1:9" x14ac:dyDescent="0.3">
      <c r="A1166">
        <v>25</v>
      </c>
      <c r="B1166">
        <v>3</v>
      </c>
      <c r="C1166">
        <v>3</v>
      </c>
      <c r="D1166">
        <v>6</v>
      </c>
      <c r="E1166" t="s">
        <v>19</v>
      </c>
      <c r="F1166" t="s">
        <v>2011</v>
      </c>
      <c r="I1166" t="s">
        <v>21</v>
      </c>
    </row>
    <row r="1167" spans="1:9" x14ac:dyDescent="0.3">
      <c r="A1167">
        <v>25</v>
      </c>
      <c r="B1167">
        <v>3</v>
      </c>
      <c r="C1167">
        <v>3</v>
      </c>
      <c r="D1167">
        <v>7</v>
      </c>
      <c r="E1167" t="s">
        <v>9</v>
      </c>
      <c r="F1167" t="s">
        <v>2012</v>
      </c>
      <c r="G1167" t="s">
        <v>2013</v>
      </c>
      <c r="H1167">
        <v>2.169</v>
      </c>
      <c r="I1167" t="s">
        <v>12</v>
      </c>
    </row>
    <row r="1168" spans="1:9" x14ac:dyDescent="0.3">
      <c r="A1168">
        <v>25</v>
      </c>
      <c r="B1168">
        <v>3</v>
      </c>
      <c r="C1168">
        <v>3</v>
      </c>
      <c r="D1168">
        <v>7</v>
      </c>
      <c r="E1168" t="s">
        <v>9</v>
      </c>
      <c r="F1168" t="s">
        <v>2014</v>
      </c>
      <c r="G1168" t="s">
        <v>2015</v>
      </c>
      <c r="H1168">
        <v>1.4670000000000001</v>
      </c>
      <c r="I1168" t="s">
        <v>12</v>
      </c>
    </row>
    <row r="1169" spans="1:9" x14ac:dyDescent="0.3">
      <c r="A1169">
        <v>25</v>
      </c>
      <c r="B1169">
        <v>3</v>
      </c>
      <c r="C1169">
        <v>3</v>
      </c>
      <c r="D1169">
        <v>7</v>
      </c>
      <c r="E1169" t="s">
        <v>9</v>
      </c>
      <c r="F1169" t="s">
        <v>2016</v>
      </c>
      <c r="G1169" t="s">
        <v>2017</v>
      </c>
      <c r="H1169">
        <v>0.86599999999999999</v>
      </c>
      <c r="I1169" t="s">
        <v>12</v>
      </c>
    </row>
    <row r="1170" spans="1:9" x14ac:dyDescent="0.3">
      <c r="A1170">
        <v>25</v>
      </c>
      <c r="B1170">
        <v>3</v>
      </c>
      <c r="C1170">
        <v>3</v>
      </c>
      <c r="D1170">
        <v>7</v>
      </c>
      <c r="E1170" t="s">
        <v>9</v>
      </c>
      <c r="F1170" t="s">
        <v>2018</v>
      </c>
      <c r="G1170" t="s">
        <v>2019</v>
      </c>
      <c r="H1170">
        <v>3.198</v>
      </c>
      <c r="I1170" t="s">
        <v>12</v>
      </c>
    </row>
    <row r="1171" spans="1:9" x14ac:dyDescent="0.3">
      <c r="A1171">
        <v>25</v>
      </c>
      <c r="B1171">
        <v>3</v>
      </c>
      <c r="C1171">
        <v>3</v>
      </c>
      <c r="D1171">
        <v>7</v>
      </c>
      <c r="E1171" t="s">
        <v>22</v>
      </c>
      <c r="F1171" t="s">
        <v>2020</v>
      </c>
      <c r="G1171" t="s">
        <v>2021</v>
      </c>
      <c r="H1171">
        <v>0.56899999999999995</v>
      </c>
      <c r="I1171" t="s">
        <v>21</v>
      </c>
    </row>
    <row r="1172" spans="1:9" x14ac:dyDescent="0.3">
      <c r="A1172">
        <v>25</v>
      </c>
      <c r="B1172">
        <v>3</v>
      </c>
      <c r="C1172">
        <v>3</v>
      </c>
      <c r="D1172">
        <v>7</v>
      </c>
      <c r="E1172" t="s">
        <v>22</v>
      </c>
      <c r="F1172" t="s">
        <v>2022</v>
      </c>
      <c r="G1172" t="s">
        <v>2023</v>
      </c>
      <c r="H1172">
        <v>1.0009999999999999</v>
      </c>
      <c r="I1172" t="s">
        <v>21</v>
      </c>
    </row>
    <row r="1173" spans="1:9" x14ac:dyDescent="0.3">
      <c r="A1173">
        <v>25</v>
      </c>
      <c r="B1173">
        <v>3</v>
      </c>
      <c r="C1173">
        <v>3</v>
      </c>
      <c r="D1173">
        <v>7</v>
      </c>
      <c r="E1173" t="s">
        <v>19</v>
      </c>
      <c r="F1173" t="s">
        <v>2024</v>
      </c>
      <c r="I1173" t="s">
        <v>21</v>
      </c>
    </row>
    <row r="1174" spans="1:9" x14ac:dyDescent="0.3">
      <c r="A1174">
        <v>26</v>
      </c>
      <c r="B1174">
        <v>1</v>
      </c>
      <c r="C1174">
        <v>1</v>
      </c>
      <c r="D1174">
        <v>1</v>
      </c>
      <c r="E1174" t="s">
        <v>9</v>
      </c>
      <c r="F1174" t="s">
        <v>2025</v>
      </c>
      <c r="G1174" t="s">
        <v>2026</v>
      </c>
      <c r="H1174">
        <v>8.3490000000000002</v>
      </c>
      <c r="I1174" t="s">
        <v>12</v>
      </c>
    </row>
    <row r="1175" spans="1:9" x14ac:dyDescent="0.3">
      <c r="A1175">
        <v>26</v>
      </c>
      <c r="B1175">
        <v>1</v>
      </c>
      <c r="C1175">
        <v>1</v>
      </c>
      <c r="D1175">
        <v>3</v>
      </c>
      <c r="E1175" t="s">
        <v>9</v>
      </c>
      <c r="F1175" t="s">
        <v>2027</v>
      </c>
      <c r="H1175" t="s">
        <v>81</v>
      </c>
      <c r="I1175" t="s">
        <v>34</v>
      </c>
    </row>
    <row r="1176" spans="1:9" x14ac:dyDescent="0.3">
      <c r="A1176">
        <v>26</v>
      </c>
      <c r="B1176">
        <v>1</v>
      </c>
      <c r="C1176">
        <v>1</v>
      </c>
      <c r="D1176">
        <v>3</v>
      </c>
      <c r="E1176" t="s">
        <v>9</v>
      </c>
      <c r="F1176" t="s">
        <v>2028</v>
      </c>
      <c r="G1176" t="s">
        <v>2029</v>
      </c>
      <c r="H1176">
        <v>8.1869999999999994</v>
      </c>
      <c r="I1176" t="s">
        <v>12</v>
      </c>
    </row>
    <row r="1177" spans="1:9" x14ac:dyDescent="0.3">
      <c r="A1177">
        <v>26</v>
      </c>
      <c r="B1177">
        <v>1</v>
      </c>
      <c r="C1177">
        <v>1</v>
      </c>
      <c r="D1177">
        <v>4</v>
      </c>
      <c r="E1177" t="s">
        <v>22</v>
      </c>
      <c r="F1177" t="s">
        <v>2030</v>
      </c>
      <c r="G1177" t="s">
        <v>2031</v>
      </c>
      <c r="H1177">
        <v>6.42</v>
      </c>
      <c r="I1177" t="s">
        <v>21</v>
      </c>
    </row>
    <row r="1178" spans="1:9" x14ac:dyDescent="0.3">
      <c r="A1178">
        <v>26</v>
      </c>
      <c r="B1178">
        <v>1</v>
      </c>
      <c r="C1178">
        <v>1</v>
      </c>
      <c r="D1178">
        <v>4</v>
      </c>
      <c r="E1178" t="s">
        <v>9</v>
      </c>
      <c r="F1178" t="s">
        <v>2032</v>
      </c>
      <c r="G1178" t="s">
        <v>2033</v>
      </c>
      <c r="H1178">
        <v>6.0469999999999997</v>
      </c>
      <c r="I1178" t="s">
        <v>12</v>
      </c>
    </row>
    <row r="1179" spans="1:9" x14ac:dyDescent="0.3">
      <c r="A1179">
        <v>26</v>
      </c>
      <c r="B1179">
        <v>1</v>
      </c>
      <c r="C1179">
        <v>1</v>
      </c>
      <c r="D1179">
        <v>4</v>
      </c>
      <c r="E1179" t="s">
        <v>9</v>
      </c>
      <c r="F1179" t="s">
        <v>2034</v>
      </c>
      <c r="G1179" t="s">
        <v>2035</v>
      </c>
      <c r="H1179">
        <v>5.1680000000000001</v>
      </c>
      <c r="I1179" t="s">
        <v>12</v>
      </c>
    </row>
    <row r="1180" spans="1:9" x14ac:dyDescent="0.3">
      <c r="A1180">
        <v>26</v>
      </c>
      <c r="B1180">
        <v>1</v>
      </c>
      <c r="C1180">
        <v>1</v>
      </c>
      <c r="D1180">
        <v>4</v>
      </c>
      <c r="E1180" t="s">
        <v>19</v>
      </c>
      <c r="F1180" t="s">
        <v>2036</v>
      </c>
      <c r="I1180" t="s">
        <v>21</v>
      </c>
    </row>
    <row r="1181" spans="1:9" x14ac:dyDescent="0.3">
      <c r="A1181">
        <v>26</v>
      </c>
      <c r="B1181">
        <v>1</v>
      </c>
      <c r="C1181">
        <v>1</v>
      </c>
      <c r="D1181">
        <v>5</v>
      </c>
      <c r="E1181" t="s">
        <v>22</v>
      </c>
      <c r="F1181" t="s">
        <v>2037</v>
      </c>
      <c r="G1181" t="s">
        <v>2038</v>
      </c>
      <c r="H1181">
        <v>2.9529999999999998</v>
      </c>
      <c r="I1181" t="s">
        <v>21</v>
      </c>
    </row>
    <row r="1182" spans="1:9" x14ac:dyDescent="0.3">
      <c r="A1182">
        <v>26</v>
      </c>
      <c r="B1182">
        <v>1</v>
      </c>
      <c r="C1182">
        <v>1</v>
      </c>
      <c r="D1182">
        <v>5</v>
      </c>
      <c r="E1182" t="s">
        <v>9</v>
      </c>
      <c r="F1182" t="s">
        <v>2039</v>
      </c>
      <c r="G1182" t="s">
        <v>2040</v>
      </c>
      <c r="H1182">
        <v>4.5</v>
      </c>
      <c r="I1182" t="s">
        <v>12</v>
      </c>
    </row>
    <row r="1183" spans="1:9" x14ac:dyDescent="0.3">
      <c r="A1183">
        <v>26</v>
      </c>
      <c r="B1183">
        <v>1</v>
      </c>
      <c r="C1183">
        <v>1</v>
      </c>
      <c r="D1183">
        <v>5</v>
      </c>
      <c r="E1183" t="s">
        <v>9</v>
      </c>
      <c r="F1183" t="s">
        <v>2041</v>
      </c>
      <c r="G1183" t="s">
        <v>2042</v>
      </c>
      <c r="H1183">
        <v>8.5860000000000003</v>
      </c>
      <c r="I1183" t="s">
        <v>12</v>
      </c>
    </row>
    <row r="1184" spans="1:9" x14ac:dyDescent="0.3">
      <c r="A1184">
        <v>26</v>
      </c>
      <c r="B1184">
        <v>1</v>
      </c>
      <c r="C1184">
        <v>1</v>
      </c>
      <c r="D1184">
        <v>5</v>
      </c>
      <c r="E1184" t="s">
        <v>19</v>
      </c>
      <c r="F1184" t="s">
        <v>2043</v>
      </c>
      <c r="I1184" t="s">
        <v>21</v>
      </c>
    </row>
    <row r="1185" spans="1:9" x14ac:dyDescent="0.3">
      <c r="A1185">
        <v>26</v>
      </c>
      <c r="B1185">
        <v>1</v>
      </c>
      <c r="C1185">
        <v>1</v>
      </c>
      <c r="D1185">
        <v>6</v>
      </c>
      <c r="E1185" t="s">
        <v>9</v>
      </c>
      <c r="F1185" t="s">
        <v>2044</v>
      </c>
      <c r="G1185" t="s">
        <v>2045</v>
      </c>
      <c r="H1185">
        <v>2.585</v>
      </c>
      <c r="I1185" t="s">
        <v>12</v>
      </c>
    </row>
    <row r="1186" spans="1:9" x14ac:dyDescent="0.3">
      <c r="A1186">
        <v>26</v>
      </c>
      <c r="B1186">
        <v>1</v>
      </c>
      <c r="C1186">
        <v>1</v>
      </c>
      <c r="D1186">
        <v>6</v>
      </c>
      <c r="E1186" t="s">
        <v>9</v>
      </c>
      <c r="F1186" t="s">
        <v>2046</v>
      </c>
      <c r="G1186" t="s">
        <v>2047</v>
      </c>
      <c r="H1186">
        <v>2.8519999999999999</v>
      </c>
      <c r="I1186" t="s">
        <v>12</v>
      </c>
    </row>
    <row r="1187" spans="1:9" x14ac:dyDescent="0.3">
      <c r="A1187">
        <v>26</v>
      </c>
      <c r="B1187">
        <v>1</v>
      </c>
      <c r="C1187">
        <v>1</v>
      </c>
      <c r="D1187">
        <v>6</v>
      </c>
      <c r="E1187" t="s">
        <v>22</v>
      </c>
      <c r="F1187" t="s">
        <v>2048</v>
      </c>
      <c r="G1187" t="s">
        <v>2049</v>
      </c>
      <c r="H1187">
        <v>2.6680000000000001</v>
      </c>
      <c r="I1187" t="s">
        <v>21</v>
      </c>
    </row>
    <row r="1188" spans="1:9" x14ac:dyDescent="0.3">
      <c r="A1188">
        <v>26</v>
      </c>
      <c r="B1188">
        <v>1</v>
      </c>
      <c r="C1188">
        <v>1</v>
      </c>
      <c r="D1188">
        <v>6</v>
      </c>
      <c r="E1188" t="s">
        <v>19</v>
      </c>
      <c r="F1188" t="s">
        <v>2050</v>
      </c>
      <c r="I1188" t="s">
        <v>21</v>
      </c>
    </row>
    <row r="1189" spans="1:9" x14ac:dyDescent="0.3">
      <c r="A1189">
        <v>26</v>
      </c>
      <c r="B1189">
        <v>1</v>
      </c>
      <c r="C1189">
        <v>2</v>
      </c>
      <c r="D1189">
        <v>1</v>
      </c>
      <c r="E1189" t="s">
        <v>9</v>
      </c>
      <c r="F1189" t="s">
        <v>2051</v>
      </c>
      <c r="G1189" t="s">
        <v>2052</v>
      </c>
      <c r="H1189">
        <v>2.5190000000000001</v>
      </c>
      <c r="I1189" t="s">
        <v>12</v>
      </c>
    </row>
    <row r="1190" spans="1:9" x14ac:dyDescent="0.3">
      <c r="A1190">
        <v>26</v>
      </c>
      <c r="B1190">
        <v>1</v>
      </c>
      <c r="C1190">
        <v>2</v>
      </c>
      <c r="D1190">
        <v>1</v>
      </c>
      <c r="E1190" t="s">
        <v>9</v>
      </c>
      <c r="F1190" t="s">
        <v>2053</v>
      </c>
      <c r="G1190" t="s">
        <v>2054</v>
      </c>
      <c r="H1190">
        <v>3.3860000000000001</v>
      </c>
      <c r="I1190" t="s">
        <v>12</v>
      </c>
    </row>
    <row r="1191" spans="1:9" x14ac:dyDescent="0.3">
      <c r="A1191">
        <v>26</v>
      </c>
      <c r="B1191">
        <v>1</v>
      </c>
      <c r="C1191">
        <v>2</v>
      </c>
      <c r="D1191">
        <v>1</v>
      </c>
      <c r="E1191" t="s">
        <v>9</v>
      </c>
      <c r="F1191" t="s">
        <v>5361</v>
      </c>
      <c r="H1191" t="s">
        <v>81</v>
      </c>
      <c r="I1191" t="s">
        <v>34</v>
      </c>
    </row>
    <row r="1192" spans="1:9" x14ac:dyDescent="0.3">
      <c r="A1192">
        <v>26</v>
      </c>
      <c r="B1192">
        <v>3</v>
      </c>
      <c r="C1192">
        <v>1</v>
      </c>
      <c r="D1192">
        <v>1</v>
      </c>
      <c r="E1192" t="s">
        <v>9</v>
      </c>
      <c r="F1192" t="s">
        <v>2055</v>
      </c>
      <c r="G1192" t="s">
        <v>2056</v>
      </c>
      <c r="H1192">
        <v>3.3530000000000002</v>
      </c>
      <c r="I1192" t="s">
        <v>12</v>
      </c>
    </row>
    <row r="1193" spans="1:9" x14ac:dyDescent="0.3">
      <c r="A1193">
        <v>26</v>
      </c>
      <c r="B1193">
        <v>3</v>
      </c>
      <c r="C1193">
        <v>1</v>
      </c>
      <c r="D1193">
        <v>1</v>
      </c>
      <c r="E1193" t="s">
        <v>9</v>
      </c>
      <c r="F1193" t="s">
        <v>2057</v>
      </c>
      <c r="G1193" t="s">
        <v>2058</v>
      </c>
      <c r="H1193">
        <v>5.452</v>
      </c>
      <c r="I1193" t="s">
        <v>12</v>
      </c>
    </row>
    <row r="1194" spans="1:9" x14ac:dyDescent="0.3">
      <c r="A1194">
        <v>26</v>
      </c>
      <c r="B1194">
        <v>3</v>
      </c>
      <c r="C1194">
        <v>1</v>
      </c>
      <c r="D1194">
        <v>1</v>
      </c>
      <c r="E1194" t="s">
        <v>22</v>
      </c>
      <c r="F1194" t="s">
        <v>2059</v>
      </c>
      <c r="G1194" t="s">
        <v>2060</v>
      </c>
      <c r="H1194">
        <v>2.6669999999999998</v>
      </c>
      <c r="I1194" t="s">
        <v>21</v>
      </c>
    </row>
    <row r="1195" spans="1:9" x14ac:dyDescent="0.3">
      <c r="A1195">
        <v>26</v>
      </c>
      <c r="B1195">
        <v>3</v>
      </c>
      <c r="C1195">
        <v>1</v>
      </c>
      <c r="D1195">
        <v>1</v>
      </c>
      <c r="E1195" t="s">
        <v>19</v>
      </c>
      <c r="F1195" t="s">
        <v>2061</v>
      </c>
      <c r="I1195" t="s">
        <v>34</v>
      </c>
    </row>
    <row r="1196" spans="1:9" x14ac:dyDescent="0.3">
      <c r="A1196">
        <v>26</v>
      </c>
      <c r="B1196">
        <v>3</v>
      </c>
      <c r="C1196">
        <v>1</v>
      </c>
      <c r="D1196">
        <v>2</v>
      </c>
      <c r="E1196" t="s">
        <v>9</v>
      </c>
      <c r="F1196" t="s">
        <v>2062</v>
      </c>
      <c r="G1196" t="s">
        <v>2063</v>
      </c>
      <c r="H1196">
        <v>4.5179999999999998</v>
      </c>
      <c r="I1196" t="s">
        <v>12</v>
      </c>
    </row>
    <row r="1197" spans="1:9" x14ac:dyDescent="0.3">
      <c r="A1197">
        <v>26</v>
      </c>
      <c r="B1197">
        <v>3</v>
      </c>
      <c r="C1197">
        <v>1</v>
      </c>
      <c r="D1197">
        <v>2</v>
      </c>
      <c r="E1197" t="s">
        <v>9</v>
      </c>
      <c r="F1197" t="s">
        <v>2064</v>
      </c>
      <c r="G1197" t="s">
        <v>2065</v>
      </c>
      <c r="H1197">
        <v>4.2859999999999996</v>
      </c>
      <c r="I1197" t="s">
        <v>12</v>
      </c>
    </row>
    <row r="1198" spans="1:9" x14ac:dyDescent="0.3">
      <c r="A1198">
        <v>26</v>
      </c>
      <c r="B1198">
        <v>3</v>
      </c>
      <c r="C1198">
        <v>1</v>
      </c>
      <c r="D1198">
        <v>2</v>
      </c>
      <c r="E1198" t="s">
        <v>22</v>
      </c>
      <c r="F1198" t="s">
        <v>2066</v>
      </c>
      <c r="G1198" t="s">
        <v>2067</v>
      </c>
      <c r="H1198">
        <v>2.6669999999999998</v>
      </c>
      <c r="I1198" t="s">
        <v>21</v>
      </c>
    </row>
    <row r="1199" spans="1:9" x14ac:dyDescent="0.3">
      <c r="A1199">
        <v>26</v>
      </c>
      <c r="B1199">
        <v>3</v>
      </c>
      <c r="C1199">
        <v>1</v>
      </c>
      <c r="D1199">
        <v>2</v>
      </c>
      <c r="E1199" t="s">
        <v>19</v>
      </c>
      <c r="F1199" t="s">
        <v>2068</v>
      </c>
      <c r="I1199" t="s">
        <v>21</v>
      </c>
    </row>
    <row r="1200" spans="1:9" x14ac:dyDescent="0.3">
      <c r="A1200">
        <v>26</v>
      </c>
      <c r="B1200">
        <v>3</v>
      </c>
      <c r="C1200">
        <v>1</v>
      </c>
      <c r="D1200">
        <v>3</v>
      </c>
      <c r="E1200" t="s">
        <v>22</v>
      </c>
      <c r="F1200" t="s">
        <v>2069</v>
      </c>
      <c r="G1200" t="s">
        <v>2070</v>
      </c>
      <c r="H1200">
        <v>2.5840000000000001</v>
      </c>
      <c r="I1200" t="s">
        <v>21</v>
      </c>
    </row>
    <row r="1201" spans="1:9" x14ac:dyDescent="0.3">
      <c r="A1201">
        <v>26</v>
      </c>
      <c r="B1201">
        <v>3</v>
      </c>
      <c r="C1201">
        <v>1</v>
      </c>
      <c r="D1201">
        <v>3</v>
      </c>
      <c r="E1201" t="s">
        <v>9</v>
      </c>
      <c r="F1201" t="s">
        <v>2071</v>
      </c>
      <c r="G1201" t="s">
        <v>2072</v>
      </c>
      <c r="H1201">
        <v>3.2669999999999999</v>
      </c>
      <c r="I1201" t="s">
        <v>12</v>
      </c>
    </row>
    <row r="1202" spans="1:9" x14ac:dyDescent="0.3">
      <c r="A1202">
        <v>26</v>
      </c>
      <c r="B1202">
        <v>3</v>
      </c>
      <c r="C1202">
        <v>1</v>
      </c>
      <c r="D1202">
        <v>3</v>
      </c>
      <c r="E1202" t="s">
        <v>22</v>
      </c>
      <c r="F1202" t="s">
        <v>2073</v>
      </c>
      <c r="G1202" t="s">
        <v>2074</v>
      </c>
      <c r="H1202">
        <v>3.101</v>
      </c>
      <c r="I1202" t="s">
        <v>21</v>
      </c>
    </row>
    <row r="1203" spans="1:9" x14ac:dyDescent="0.3">
      <c r="A1203">
        <v>26</v>
      </c>
      <c r="B1203">
        <v>3</v>
      </c>
      <c r="C1203">
        <v>1</v>
      </c>
      <c r="D1203">
        <v>3</v>
      </c>
      <c r="E1203" t="s">
        <v>9</v>
      </c>
      <c r="F1203" t="s">
        <v>2075</v>
      </c>
      <c r="G1203" t="s">
        <v>2076</v>
      </c>
      <c r="H1203">
        <v>2.6520000000000001</v>
      </c>
      <c r="I1203" t="s">
        <v>12</v>
      </c>
    </row>
    <row r="1204" spans="1:9" x14ac:dyDescent="0.3">
      <c r="A1204">
        <v>26</v>
      </c>
      <c r="B1204">
        <v>3</v>
      </c>
      <c r="C1204">
        <v>1</v>
      </c>
      <c r="D1204">
        <v>3</v>
      </c>
      <c r="E1204" t="s">
        <v>19</v>
      </c>
      <c r="F1204" t="s">
        <v>2077</v>
      </c>
      <c r="I1204" t="s">
        <v>21</v>
      </c>
    </row>
    <row r="1205" spans="1:9" x14ac:dyDescent="0.3">
      <c r="A1205">
        <v>26</v>
      </c>
      <c r="B1205">
        <v>3</v>
      </c>
      <c r="C1205">
        <v>2</v>
      </c>
      <c r="D1205">
        <v>1</v>
      </c>
      <c r="E1205" t="s">
        <v>9</v>
      </c>
      <c r="F1205" t="s">
        <v>2078</v>
      </c>
      <c r="G1205" t="s">
        <v>2079</v>
      </c>
      <c r="H1205">
        <v>2.8860000000000001</v>
      </c>
      <c r="I1205" t="s">
        <v>12</v>
      </c>
    </row>
    <row r="1206" spans="1:9" x14ac:dyDescent="0.3">
      <c r="A1206">
        <v>26</v>
      </c>
      <c r="B1206">
        <v>3</v>
      </c>
      <c r="C1206">
        <v>2</v>
      </c>
      <c r="D1206">
        <v>1</v>
      </c>
      <c r="E1206" t="s">
        <v>19</v>
      </c>
      <c r="F1206" t="s">
        <v>2080</v>
      </c>
      <c r="I1206" t="s">
        <v>34</v>
      </c>
    </row>
    <row r="1207" spans="1:9" x14ac:dyDescent="0.3">
      <c r="A1207">
        <v>26</v>
      </c>
      <c r="B1207">
        <v>3</v>
      </c>
      <c r="C1207">
        <v>2</v>
      </c>
      <c r="D1207">
        <v>2</v>
      </c>
      <c r="E1207" t="s">
        <v>9</v>
      </c>
      <c r="F1207" t="s">
        <v>2081</v>
      </c>
      <c r="G1207" t="s">
        <v>2082</v>
      </c>
      <c r="H1207">
        <v>3.6339999999999999</v>
      </c>
      <c r="I1207" t="s">
        <v>12</v>
      </c>
    </row>
    <row r="1208" spans="1:9" x14ac:dyDescent="0.3">
      <c r="A1208">
        <v>26</v>
      </c>
      <c r="B1208">
        <v>3</v>
      </c>
      <c r="C1208">
        <v>2</v>
      </c>
      <c r="D1208">
        <v>2</v>
      </c>
      <c r="E1208" t="s">
        <v>9</v>
      </c>
      <c r="F1208" t="s">
        <v>2083</v>
      </c>
      <c r="G1208" t="s">
        <v>2084</v>
      </c>
      <c r="H1208">
        <v>2.7850000000000001</v>
      </c>
      <c r="I1208" t="s">
        <v>12</v>
      </c>
    </row>
    <row r="1209" spans="1:9" x14ac:dyDescent="0.3">
      <c r="A1209">
        <v>26</v>
      </c>
      <c r="B1209">
        <v>3</v>
      </c>
      <c r="C1209">
        <v>2</v>
      </c>
      <c r="D1209">
        <v>2</v>
      </c>
      <c r="E1209" t="s">
        <v>9</v>
      </c>
      <c r="F1209" t="s">
        <v>2085</v>
      </c>
      <c r="G1209" t="s">
        <v>2086</v>
      </c>
      <c r="H1209">
        <v>2.234</v>
      </c>
      <c r="I1209" t="s">
        <v>12</v>
      </c>
    </row>
    <row r="1210" spans="1:9" x14ac:dyDescent="0.3">
      <c r="A1210">
        <v>26</v>
      </c>
      <c r="B1210">
        <v>3</v>
      </c>
      <c r="C1210">
        <v>2</v>
      </c>
      <c r="D1210">
        <v>2</v>
      </c>
      <c r="E1210" t="s">
        <v>22</v>
      </c>
      <c r="F1210" t="s">
        <v>2087</v>
      </c>
      <c r="G1210" t="s">
        <v>2088</v>
      </c>
      <c r="H1210">
        <v>1.0680000000000001</v>
      </c>
      <c r="I1210" t="s">
        <v>21</v>
      </c>
    </row>
    <row r="1211" spans="1:9" x14ac:dyDescent="0.3">
      <c r="A1211">
        <v>26</v>
      </c>
      <c r="B1211">
        <v>3</v>
      </c>
      <c r="C1211">
        <v>2</v>
      </c>
      <c r="D1211">
        <v>2</v>
      </c>
      <c r="E1211" t="s">
        <v>19</v>
      </c>
      <c r="F1211" t="s">
        <v>2089</v>
      </c>
      <c r="I1211" t="s">
        <v>34</v>
      </c>
    </row>
    <row r="1212" spans="1:9" x14ac:dyDescent="0.3">
      <c r="A1212">
        <v>26</v>
      </c>
      <c r="B1212">
        <v>3</v>
      </c>
      <c r="C1212">
        <v>2</v>
      </c>
      <c r="D1212">
        <v>3</v>
      </c>
      <c r="E1212" t="s">
        <v>9</v>
      </c>
      <c r="F1212" t="s">
        <v>2090</v>
      </c>
      <c r="H1212" t="s">
        <v>81</v>
      </c>
      <c r="I1212" t="s">
        <v>34</v>
      </c>
    </row>
    <row r="1213" spans="1:9" x14ac:dyDescent="0.3">
      <c r="A1213">
        <v>26</v>
      </c>
      <c r="B1213">
        <v>3</v>
      </c>
      <c r="C1213">
        <v>2</v>
      </c>
      <c r="D1213">
        <v>4</v>
      </c>
      <c r="E1213" t="s">
        <v>9</v>
      </c>
      <c r="F1213" t="s">
        <v>2091</v>
      </c>
      <c r="G1213" t="s">
        <v>2092</v>
      </c>
      <c r="H1213">
        <v>4.3810000000000002</v>
      </c>
      <c r="I1213" t="s">
        <v>12</v>
      </c>
    </row>
    <row r="1214" spans="1:9" x14ac:dyDescent="0.3">
      <c r="A1214">
        <v>26</v>
      </c>
      <c r="B1214">
        <v>3</v>
      </c>
      <c r="C1214">
        <v>2</v>
      </c>
      <c r="D1214">
        <v>4</v>
      </c>
      <c r="E1214" t="s">
        <v>9</v>
      </c>
      <c r="F1214" t="s">
        <v>2093</v>
      </c>
      <c r="G1214" t="s">
        <v>2094</v>
      </c>
      <c r="H1214">
        <v>2.0670000000000002</v>
      </c>
      <c r="I1214" t="s">
        <v>12</v>
      </c>
    </row>
    <row r="1215" spans="1:9" x14ac:dyDescent="0.3">
      <c r="A1215">
        <v>26</v>
      </c>
      <c r="B1215">
        <v>3</v>
      </c>
      <c r="C1215">
        <v>2</v>
      </c>
      <c r="D1215">
        <v>4</v>
      </c>
      <c r="E1215" t="s">
        <v>9</v>
      </c>
      <c r="F1215" t="s">
        <v>2095</v>
      </c>
      <c r="G1215" t="s">
        <v>2096</v>
      </c>
      <c r="H1215">
        <v>3.0840000000000001</v>
      </c>
      <c r="I1215" t="s">
        <v>12</v>
      </c>
    </row>
    <row r="1216" spans="1:9" x14ac:dyDescent="0.3">
      <c r="A1216">
        <v>26</v>
      </c>
      <c r="B1216">
        <v>3</v>
      </c>
      <c r="C1216">
        <v>2</v>
      </c>
      <c r="D1216">
        <v>4</v>
      </c>
      <c r="E1216" t="s">
        <v>22</v>
      </c>
      <c r="F1216" t="s">
        <v>2097</v>
      </c>
      <c r="G1216" t="s">
        <v>2098</v>
      </c>
      <c r="H1216">
        <v>2.0009999999999999</v>
      </c>
      <c r="I1216" t="s">
        <v>21</v>
      </c>
    </row>
    <row r="1217" spans="1:9" x14ac:dyDescent="0.3">
      <c r="A1217">
        <v>26</v>
      </c>
      <c r="B1217">
        <v>3</v>
      </c>
      <c r="C1217">
        <v>2</v>
      </c>
      <c r="D1217">
        <v>4</v>
      </c>
      <c r="E1217" t="s">
        <v>19</v>
      </c>
      <c r="F1217" t="s">
        <v>2099</v>
      </c>
      <c r="I1217" t="s">
        <v>21</v>
      </c>
    </row>
    <row r="1218" spans="1:9" x14ac:dyDescent="0.3">
      <c r="A1218">
        <v>26</v>
      </c>
      <c r="B1218">
        <v>3</v>
      </c>
      <c r="C1218">
        <v>2</v>
      </c>
      <c r="D1218">
        <v>5</v>
      </c>
      <c r="E1218" t="s">
        <v>9</v>
      </c>
      <c r="F1218" t="s">
        <v>2100</v>
      </c>
      <c r="G1218" t="s">
        <v>2101</v>
      </c>
      <c r="H1218">
        <v>3.4180000000000001</v>
      </c>
      <c r="I1218" t="s">
        <v>12</v>
      </c>
    </row>
    <row r="1219" spans="1:9" x14ac:dyDescent="0.3">
      <c r="A1219">
        <v>26</v>
      </c>
      <c r="B1219">
        <v>3</v>
      </c>
      <c r="C1219">
        <v>2</v>
      </c>
      <c r="D1219">
        <v>5</v>
      </c>
      <c r="E1219" t="s">
        <v>9</v>
      </c>
      <c r="F1219" t="s">
        <v>2102</v>
      </c>
      <c r="G1219" t="s">
        <v>2103</v>
      </c>
      <c r="H1219">
        <v>3.286</v>
      </c>
      <c r="I1219" t="s">
        <v>12</v>
      </c>
    </row>
    <row r="1220" spans="1:9" x14ac:dyDescent="0.3">
      <c r="A1220">
        <v>26</v>
      </c>
      <c r="B1220">
        <v>3</v>
      </c>
      <c r="C1220">
        <v>2</v>
      </c>
      <c r="D1220">
        <v>5</v>
      </c>
      <c r="E1220" t="s">
        <v>9</v>
      </c>
      <c r="F1220" t="s">
        <v>2104</v>
      </c>
      <c r="H1220" t="s">
        <v>81</v>
      </c>
      <c r="I1220" t="s">
        <v>34</v>
      </c>
    </row>
    <row r="1221" spans="1:9" x14ac:dyDescent="0.3">
      <c r="A1221">
        <v>26</v>
      </c>
      <c r="B1221">
        <v>3</v>
      </c>
      <c r="C1221">
        <v>2</v>
      </c>
      <c r="D1221">
        <v>5</v>
      </c>
      <c r="E1221" t="s">
        <v>22</v>
      </c>
      <c r="F1221" t="s">
        <v>2105</v>
      </c>
      <c r="G1221" t="s">
        <v>2106</v>
      </c>
      <c r="H1221">
        <v>1.367</v>
      </c>
      <c r="I1221" t="s">
        <v>21</v>
      </c>
    </row>
    <row r="1222" spans="1:9" x14ac:dyDescent="0.3">
      <c r="A1222">
        <v>26</v>
      </c>
      <c r="B1222">
        <v>3</v>
      </c>
      <c r="C1222">
        <v>2</v>
      </c>
      <c r="D1222">
        <v>5</v>
      </c>
      <c r="E1222" t="s">
        <v>19</v>
      </c>
      <c r="F1222" t="s">
        <v>2107</v>
      </c>
      <c r="I1222" t="s">
        <v>21</v>
      </c>
    </row>
    <row r="1223" spans="1:9" x14ac:dyDescent="0.3">
      <c r="A1223">
        <v>26</v>
      </c>
      <c r="B1223">
        <v>3</v>
      </c>
      <c r="C1223">
        <v>2</v>
      </c>
      <c r="D1223">
        <v>6</v>
      </c>
      <c r="E1223" t="s">
        <v>9</v>
      </c>
      <c r="F1223" t="s">
        <v>2108</v>
      </c>
      <c r="G1223" t="s">
        <v>2109</v>
      </c>
      <c r="H1223">
        <v>3.085</v>
      </c>
      <c r="I1223" t="s">
        <v>12</v>
      </c>
    </row>
    <row r="1224" spans="1:9" x14ac:dyDescent="0.3">
      <c r="A1224">
        <v>26</v>
      </c>
      <c r="B1224">
        <v>3</v>
      </c>
      <c r="C1224">
        <v>2</v>
      </c>
      <c r="D1224">
        <v>6</v>
      </c>
      <c r="E1224" t="s">
        <v>9</v>
      </c>
      <c r="F1224" t="s">
        <v>2110</v>
      </c>
      <c r="G1224" t="s">
        <v>2111</v>
      </c>
      <c r="H1224">
        <v>4.0519999999999996</v>
      </c>
      <c r="I1224" t="s">
        <v>12</v>
      </c>
    </row>
    <row r="1225" spans="1:9" x14ac:dyDescent="0.3">
      <c r="A1225">
        <v>26</v>
      </c>
      <c r="B1225">
        <v>3</v>
      </c>
      <c r="C1225">
        <v>2</v>
      </c>
      <c r="D1225">
        <v>6</v>
      </c>
      <c r="E1225" t="s">
        <v>9</v>
      </c>
      <c r="F1225" t="s">
        <v>2112</v>
      </c>
      <c r="G1225" t="s">
        <v>2113</v>
      </c>
      <c r="H1225">
        <v>3.734</v>
      </c>
      <c r="I1225" t="s">
        <v>12</v>
      </c>
    </row>
    <row r="1226" spans="1:9" x14ac:dyDescent="0.3">
      <c r="A1226">
        <v>26</v>
      </c>
      <c r="B1226">
        <v>3</v>
      </c>
      <c r="C1226">
        <v>2</v>
      </c>
      <c r="D1226">
        <v>6</v>
      </c>
      <c r="E1226" t="s">
        <v>22</v>
      </c>
      <c r="F1226" t="s">
        <v>2114</v>
      </c>
      <c r="G1226" t="s">
        <v>2115</v>
      </c>
      <c r="H1226">
        <v>1.468</v>
      </c>
      <c r="I1226" t="s">
        <v>21</v>
      </c>
    </row>
    <row r="1227" spans="1:9" x14ac:dyDescent="0.3">
      <c r="A1227">
        <v>26</v>
      </c>
      <c r="B1227">
        <v>3</v>
      </c>
      <c r="C1227">
        <v>2</v>
      </c>
      <c r="D1227">
        <v>6</v>
      </c>
      <c r="E1227" t="s">
        <v>19</v>
      </c>
      <c r="F1227" t="s">
        <v>2116</v>
      </c>
      <c r="I1227" t="s">
        <v>21</v>
      </c>
    </row>
    <row r="1228" spans="1:9" x14ac:dyDescent="0.3">
      <c r="A1228">
        <v>26</v>
      </c>
      <c r="B1228">
        <v>3</v>
      </c>
      <c r="C1228">
        <v>2</v>
      </c>
      <c r="D1228">
        <v>7</v>
      </c>
      <c r="E1228" t="s">
        <v>9</v>
      </c>
      <c r="F1228" t="s">
        <v>2117</v>
      </c>
      <c r="G1228" t="s">
        <v>2118</v>
      </c>
      <c r="H1228">
        <v>3.8180000000000001</v>
      </c>
      <c r="I1228" t="s">
        <v>12</v>
      </c>
    </row>
    <row r="1229" spans="1:9" x14ac:dyDescent="0.3">
      <c r="A1229">
        <v>26</v>
      </c>
      <c r="B1229">
        <v>3</v>
      </c>
      <c r="C1229">
        <v>2</v>
      </c>
      <c r="D1229">
        <v>7</v>
      </c>
      <c r="E1229" t="s">
        <v>9</v>
      </c>
      <c r="F1229" t="s">
        <v>2119</v>
      </c>
      <c r="G1229" t="s">
        <v>2120</v>
      </c>
      <c r="H1229">
        <v>4.468</v>
      </c>
      <c r="I1229" t="s">
        <v>12</v>
      </c>
    </row>
    <row r="1230" spans="1:9" x14ac:dyDescent="0.3">
      <c r="A1230">
        <v>26</v>
      </c>
      <c r="B1230">
        <v>3</v>
      </c>
      <c r="C1230">
        <v>2</v>
      </c>
      <c r="D1230">
        <v>7</v>
      </c>
      <c r="E1230" t="s">
        <v>9</v>
      </c>
      <c r="F1230" t="s">
        <v>2121</v>
      </c>
      <c r="G1230" t="s">
        <v>2122</v>
      </c>
      <c r="H1230">
        <v>3.585</v>
      </c>
      <c r="I1230" t="s">
        <v>12</v>
      </c>
    </row>
    <row r="1231" spans="1:9" x14ac:dyDescent="0.3">
      <c r="A1231">
        <v>26</v>
      </c>
      <c r="B1231">
        <v>3</v>
      </c>
      <c r="C1231">
        <v>2</v>
      </c>
      <c r="D1231">
        <v>7</v>
      </c>
      <c r="E1231" t="s">
        <v>22</v>
      </c>
      <c r="F1231" t="s">
        <v>2123</v>
      </c>
      <c r="G1231" t="s">
        <v>2124</v>
      </c>
      <c r="H1231">
        <v>3.0680000000000001</v>
      </c>
      <c r="I1231" t="s">
        <v>21</v>
      </c>
    </row>
    <row r="1232" spans="1:9" x14ac:dyDescent="0.3">
      <c r="A1232">
        <v>26</v>
      </c>
      <c r="B1232">
        <v>3</v>
      </c>
      <c r="C1232">
        <v>2</v>
      </c>
      <c r="D1232">
        <v>7</v>
      </c>
      <c r="E1232" t="s">
        <v>19</v>
      </c>
      <c r="F1232" t="s">
        <v>2125</v>
      </c>
      <c r="I1232" t="s">
        <v>21</v>
      </c>
    </row>
    <row r="1233" spans="1:9" x14ac:dyDescent="0.3">
      <c r="A1233">
        <v>26</v>
      </c>
      <c r="B1233">
        <v>3</v>
      </c>
      <c r="C1233">
        <v>2</v>
      </c>
      <c r="D1233">
        <v>8</v>
      </c>
      <c r="E1233" t="s">
        <v>9</v>
      </c>
      <c r="F1233" t="s">
        <v>2126</v>
      </c>
      <c r="G1233" t="s">
        <v>2127</v>
      </c>
      <c r="H1233">
        <v>3.7490000000000001</v>
      </c>
      <c r="I1233" t="s">
        <v>12</v>
      </c>
    </row>
    <row r="1234" spans="1:9" x14ac:dyDescent="0.3">
      <c r="A1234">
        <v>26</v>
      </c>
      <c r="B1234">
        <v>3</v>
      </c>
      <c r="C1234">
        <v>2</v>
      </c>
      <c r="D1234">
        <v>8</v>
      </c>
      <c r="E1234" t="s">
        <v>9</v>
      </c>
      <c r="F1234" t="s">
        <v>2128</v>
      </c>
      <c r="G1234" t="s">
        <v>2129</v>
      </c>
      <c r="H1234">
        <v>2.2189999999999999</v>
      </c>
      <c r="I1234" t="s">
        <v>12</v>
      </c>
    </row>
    <row r="1235" spans="1:9" x14ac:dyDescent="0.3">
      <c r="A1235">
        <v>26</v>
      </c>
      <c r="B1235">
        <v>3</v>
      </c>
      <c r="C1235">
        <v>2</v>
      </c>
      <c r="D1235">
        <v>8</v>
      </c>
      <c r="E1235" t="s">
        <v>9</v>
      </c>
      <c r="F1235" t="s">
        <v>2130</v>
      </c>
      <c r="G1235" t="s">
        <v>2131</v>
      </c>
      <c r="H1235">
        <v>2.7749999999999999</v>
      </c>
      <c r="I1235" t="s">
        <v>12</v>
      </c>
    </row>
    <row r="1236" spans="1:9" x14ac:dyDescent="0.3">
      <c r="A1236">
        <v>26</v>
      </c>
      <c r="B1236">
        <v>3</v>
      </c>
      <c r="C1236">
        <v>2</v>
      </c>
      <c r="D1236">
        <v>8</v>
      </c>
      <c r="E1236" t="s">
        <v>9</v>
      </c>
      <c r="F1236" t="s">
        <v>2132</v>
      </c>
      <c r="G1236" t="s">
        <v>2133</v>
      </c>
      <c r="H1236">
        <v>3.101</v>
      </c>
      <c r="I1236" t="s">
        <v>12</v>
      </c>
    </row>
    <row r="1237" spans="1:9" x14ac:dyDescent="0.3">
      <c r="A1237">
        <v>26</v>
      </c>
      <c r="B1237">
        <v>3</v>
      </c>
      <c r="C1237">
        <v>2</v>
      </c>
      <c r="D1237">
        <v>8</v>
      </c>
      <c r="E1237" t="s">
        <v>22</v>
      </c>
      <c r="F1237" t="s">
        <v>2134</v>
      </c>
      <c r="G1237" t="s">
        <v>2135</v>
      </c>
      <c r="H1237">
        <v>1.1339999999999999</v>
      </c>
      <c r="I1237" t="s">
        <v>21</v>
      </c>
    </row>
    <row r="1238" spans="1:9" x14ac:dyDescent="0.3">
      <c r="A1238">
        <v>26</v>
      </c>
      <c r="B1238">
        <v>3</v>
      </c>
      <c r="C1238">
        <v>2</v>
      </c>
      <c r="D1238">
        <v>8</v>
      </c>
      <c r="E1238" t="s">
        <v>19</v>
      </c>
      <c r="F1238" t="s">
        <v>2136</v>
      </c>
      <c r="I1238" t="s">
        <v>34</v>
      </c>
    </row>
    <row r="1239" spans="1:9" x14ac:dyDescent="0.3">
      <c r="A1239">
        <v>26</v>
      </c>
      <c r="B1239">
        <v>3</v>
      </c>
      <c r="C1239">
        <v>2</v>
      </c>
      <c r="D1239">
        <v>8</v>
      </c>
      <c r="E1239" t="s">
        <v>22</v>
      </c>
      <c r="F1239" t="s">
        <v>2137</v>
      </c>
      <c r="G1239" t="s">
        <v>2138</v>
      </c>
      <c r="H1239">
        <v>2.7669999999999999</v>
      </c>
      <c r="I1239" t="s">
        <v>21</v>
      </c>
    </row>
    <row r="1240" spans="1:9" x14ac:dyDescent="0.3">
      <c r="A1240">
        <v>26</v>
      </c>
      <c r="B1240">
        <v>3</v>
      </c>
      <c r="C1240">
        <v>2</v>
      </c>
      <c r="D1240">
        <v>8</v>
      </c>
      <c r="E1240" t="s">
        <v>22</v>
      </c>
      <c r="F1240" t="s">
        <v>2139</v>
      </c>
      <c r="G1240" t="s">
        <v>2140</v>
      </c>
      <c r="H1240">
        <v>1.7350000000000001</v>
      </c>
      <c r="I1240" t="s">
        <v>21</v>
      </c>
    </row>
    <row r="1241" spans="1:9" x14ac:dyDescent="0.3">
      <c r="A1241">
        <v>26</v>
      </c>
      <c r="B1241">
        <v>3</v>
      </c>
      <c r="C1241">
        <v>2</v>
      </c>
      <c r="D1241">
        <v>8</v>
      </c>
      <c r="E1241" t="s">
        <v>19</v>
      </c>
      <c r="F1241" t="s">
        <v>2141</v>
      </c>
      <c r="I1241" t="s">
        <v>34</v>
      </c>
    </row>
    <row r="1242" spans="1:9" x14ac:dyDescent="0.3">
      <c r="A1242">
        <v>26</v>
      </c>
      <c r="B1242">
        <v>3</v>
      </c>
      <c r="C1242">
        <v>2</v>
      </c>
      <c r="D1242">
        <v>8</v>
      </c>
      <c r="E1242" t="s">
        <v>22</v>
      </c>
      <c r="F1242" t="s">
        <v>2142</v>
      </c>
      <c r="G1242" t="s">
        <v>2143</v>
      </c>
      <c r="H1242">
        <v>1.8720000000000001</v>
      </c>
      <c r="I1242" t="s">
        <v>21</v>
      </c>
    </row>
    <row r="1243" spans="1:9" x14ac:dyDescent="0.3">
      <c r="A1243">
        <v>26</v>
      </c>
      <c r="B1243">
        <v>3</v>
      </c>
      <c r="C1243">
        <v>2</v>
      </c>
      <c r="D1243">
        <v>8</v>
      </c>
      <c r="E1243" t="s">
        <v>22</v>
      </c>
      <c r="F1243" t="s">
        <v>2144</v>
      </c>
      <c r="G1243" t="s">
        <v>2145</v>
      </c>
      <c r="H1243">
        <v>1.8009999999999999</v>
      </c>
      <c r="I1243" t="s">
        <v>21</v>
      </c>
    </row>
    <row r="1244" spans="1:9" x14ac:dyDescent="0.3">
      <c r="A1244">
        <v>26</v>
      </c>
      <c r="B1244">
        <v>3</v>
      </c>
      <c r="C1244">
        <v>2</v>
      </c>
      <c r="D1244">
        <v>8</v>
      </c>
      <c r="E1244" t="s">
        <v>19</v>
      </c>
      <c r="F1244" t="s">
        <v>2146</v>
      </c>
      <c r="I1244" t="s">
        <v>34</v>
      </c>
    </row>
    <row r="1245" spans="1:9" x14ac:dyDescent="0.3">
      <c r="A1245">
        <v>26</v>
      </c>
      <c r="B1245">
        <v>3</v>
      </c>
      <c r="C1245">
        <v>2</v>
      </c>
      <c r="D1245">
        <v>8</v>
      </c>
      <c r="E1245" t="s">
        <v>22</v>
      </c>
      <c r="F1245" t="s">
        <v>2147</v>
      </c>
      <c r="G1245" t="s">
        <v>2148</v>
      </c>
      <c r="H1245">
        <v>1.839</v>
      </c>
      <c r="I1245" t="s">
        <v>21</v>
      </c>
    </row>
    <row r="1246" spans="1:9" x14ac:dyDescent="0.3">
      <c r="A1246">
        <v>26</v>
      </c>
      <c r="B1246">
        <v>3</v>
      </c>
      <c r="C1246">
        <v>2</v>
      </c>
      <c r="D1246">
        <v>8</v>
      </c>
      <c r="E1246" t="s">
        <v>19</v>
      </c>
      <c r="F1246" t="s">
        <v>2149</v>
      </c>
      <c r="I1246" t="s">
        <v>34</v>
      </c>
    </row>
    <row r="1247" spans="1:9" x14ac:dyDescent="0.3">
      <c r="A1247">
        <v>26</v>
      </c>
      <c r="B1247">
        <v>3</v>
      </c>
      <c r="C1247">
        <v>2</v>
      </c>
      <c r="D1247">
        <v>9</v>
      </c>
      <c r="E1247" t="s">
        <v>9</v>
      </c>
      <c r="F1247" t="s">
        <v>2150</v>
      </c>
      <c r="G1247" t="s">
        <v>2151</v>
      </c>
      <c r="H1247">
        <v>3.1850000000000001</v>
      </c>
      <c r="I1247" t="s">
        <v>12</v>
      </c>
    </row>
    <row r="1248" spans="1:9" x14ac:dyDescent="0.3">
      <c r="A1248">
        <v>26</v>
      </c>
      <c r="B1248">
        <v>3</v>
      </c>
      <c r="C1248">
        <v>2</v>
      </c>
      <c r="D1248">
        <v>9</v>
      </c>
      <c r="E1248" t="s">
        <v>9</v>
      </c>
      <c r="F1248" t="s">
        <v>2152</v>
      </c>
      <c r="G1248" t="s">
        <v>2153</v>
      </c>
      <c r="H1248">
        <v>2.673</v>
      </c>
      <c r="I1248" t="s">
        <v>12</v>
      </c>
    </row>
    <row r="1249" spans="1:9" x14ac:dyDescent="0.3">
      <c r="A1249">
        <v>26</v>
      </c>
      <c r="B1249">
        <v>3</v>
      </c>
      <c r="C1249">
        <v>3</v>
      </c>
      <c r="D1249">
        <v>1</v>
      </c>
      <c r="E1249" t="s">
        <v>9</v>
      </c>
      <c r="F1249" t="s">
        <v>2154</v>
      </c>
      <c r="G1249" t="s">
        <v>2155</v>
      </c>
      <c r="H1249">
        <v>4.7519999999999998</v>
      </c>
      <c r="I1249" t="s">
        <v>12</v>
      </c>
    </row>
    <row r="1250" spans="1:9" x14ac:dyDescent="0.3">
      <c r="A1250">
        <v>27</v>
      </c>
      <c r="B1250">
        <v>1</v>
      </c>
      <c r="C1250">
        <v>1</v>
      </c>
      <c r="D1250">
        <v>1</v>
      </c>
      <c r="E1250" t="s">
        <v>9</v>
      </c>
      <c r="F1250" t="s">
        <v>2156</v>
      </c>
      <c r="G1250" t="s">
        <v>2157</v>
      </c>
      <c r="H1250">
        <v>1.72</v>
      </c>
      <c r="I1250" t="s">
        <v>12</v>
      </c>
    </row>
    <row r="1251" spans="1:9" x14ac:dyDescent="0.3">
      <c r="A1251">
        <v>27</v>
      </c>
      <c r="B1251">
        <v>1</v>
      </c>
      <c r="C1251">
        <v>1</v>
      </c>
      <c r="D1251">
        <v>2</v>
      </c>
      <c r="E1251" t="s">
        <v>9</v>
      </c>
      <c r="F1251" t="s">
        <v>2158</v>
      </c>
      <c r="G1251" t="s">
        <v>2159</v>
      </c>
      <c r="H1251">
        <v>5.7</v>
      </c>
      <c r="I1251" t="s">
        <v>12</v>
      </c>
    </row>
    <row r="1252" spans="1:9" x14ac:dyDescent="0.3">
      <c r="A1252">
        <v>27</v>
      </c>
      <c r="B1252">
        <v>1</v>
      </c>
      <c r="C1252">
        <v>1</v>
      </c>
      <c r="D1252">
        <v>2</v>
      </c>
      <c r="E1252" t="s">
        <v>9</v>
      </c>
      <c r="F1252" t="s">
        <v>2160</v>
      </c>
      <c r="G1252" t="s">
        <v>2161</v>
      </c>
      <c r="H1252">
        <v>4.468</v>
      </c>
      <c r="I1252" t="s">
        <v>12</v>
      </c>
    </row>
    <row r="1253" spans="1:9" x14ac:dyDescent="0.3">
      <c r="A1253">
        <v>27</v>
      </c>
      <c r="B1253">
        <v>1</v>
      </c>
      <c r="C1253">
        <v>1</v>
      </c>
      <c r="D1253">
        <v>2</v>
      </c>
      <c r="E1253" t="s">
        <v>22</v>
      </c>
      <c r="F1253" t="s">
        <v>2162</v>
      </c>
      <c r="G1253" t="s">
        <v>2163</v>
      </c>
      <c r="H1253">
        <v>1.452</v>
      </c>
      <c r="I1253" t="s">
        <v>21</v>
      </c>
    </row>
    <row r="1254" spans="1:9" x14ac:dyDescent="0.3">
      <c r="A1254">
        <v>27</v>
      </c>
      <c r="B1254">
        <v>1</v>
      </c>
      <c r="C1254">
        <v>1</v>
      </c>
      <c r="D1254">
        <v>2</v>
      </c>
      <c r="E1254" t="s">
        <v>9</v>
      </c>
      <c r="F1254" t="s">
        <v>2164</v>
      </c>
      <c r="G1254" t="s">
        <v>2165</v>
      </c>
      <c r="H1254">
        <v>2.601</v>
      </c>
      <c r="I1254" t="s">
        <v>12</v>
      </c>
    </row>
    <row r="1255" spans="1:9" x14ac:dyDescent="0.3">
      <c r="A1255">
        <v>27</v>
      </c>
      <c r="B1255">
        <v>1</v>
      </c>
      <c r="C1255">
        <v>1</v>
      </c>
      <c r="D1255">
        <v>2</v>
      </c>
      <c r="E1255" t="s">
        <v>9</v>
      </c>
      <c r="F1255" t="s">
        <v>2166</v>
      </c>
      <c r="G1255" t="s">
        <v>2167</v>
      </c>
      <c r="H1255">
        <v>1.8340000000000001</v>
      </c>
      <c r="I1255" t="s">
        <v>12</v>
      </c>
    </row>
    <row r="1256" spans="1:9" x14ac:dyDescent="0.3">
      <c r="A1256">
        <v>27</v>
      </c>
      <c r="B1256">
        <v>1</v>
      </c>
      <c r="C1256">
        <v>1</v>
      </c>
      <c r="D1256">
        <v>2</v>
      </c>
      <c r="E1256" t="s">
        <v>19</v>
      </c>
      <c r="F1256" t="s">
        <v>2168</v>
      </c>
      <c r="I1256" t="s">
        <v>34</v>
      </c>
    </row>
    <row r="1257" spans="1:9" x14ac:dyDescent="0.3">
      <c r="A1257">
        <v>27</v>
      </c>
      <c r="B1257">
        <v>1</v>
      </c>
      <c r="C1257">
        <v>1</v>
      </c>
      <c r="D1257">
        <v>2</v>
      </c>
      <c r="E1257" t="s">
        <v>22</v>
      </c>
      <c r="F1257" t="s">
        <v>2169</v>
      </c>
      <c r="G1257" t="s">
        <v>2170</v>
      </c>
      <c r="H1257">
        <v>4.4329999999999998</v>
      </c>
      <c r="I1257" t="s">
        <v>21</v>
      </c>
    </row>
    <row r="1258" spans="1:9" x14ac:dyDescent="0.3">
      <c r="A1258">
        <v>27</v>
      </c>
      <c r="B1258">
        <v>1</v>
      </c>
      <c r="C1258">
        <v>1</v>
      </c>
      <c r="D1258">
        <v>2</v>
      </c>
      <c r="E1258" t="s">
        <v>19</v>
      </c>
      <c r="F1258" t="s">
        <v>2171</v>
      </c>
      <c r="I1258" t="s">
        <v>34</v>
      </c>
    </row>
    <row r="1259" spans="1:9" x14ac:dyDescent="0.3">
      <c r="A1259">
        <v>27</v>
      </c>
      <c r="B1259">
        <v>1</v>
      </c>
      <c r="C1259">
        <v>1</v>
      </c>
      <c r="D1259">
        <v>3</v>
      </c>
      <c r="E1259" t="s">
        <v>22</v>
      </c>
      <c r="F1259" t="s">
        <v>2172</v>
      </c>
      <c r="G1259" t="s">
        <v>2173</v>
      </c>
      <c r="H1259">
        <v>1.986</v>
      </c>
      <c r="I1259" t="s">
        <v>21</v>
      </c>
    </row>
    <row r="1260" spans="1:9" x14ac:dyDescent="0.3">
      <c r="A1260">
        <v>27</v>
      </c>
      <c r="B1260">
        <v>1</v>
      </c>
      <c r="C1260">
        <v>1</v>
      </c>
      <c r="D1260">
        <v>3</v>
      </c>
      <c r="E1260" t="s">
        <v>9</v>
      </c>
      <c r="F1260" t="s">
        <v>2174</v>
      </c>
      <c r="G1260" t="s">
        <v>2175</v>
      </c>
      <c r="H1260">
        <v>5.7190000000000003</v>
      </c>
      <c r="I1260" t="s">
        <v>12</v>
      </c>
    </row>
    <row r="1261" spans="1:9" x14ac:dyDescent="0.3">
      <c r="A1261">
        <v>27</v>
      </c>
      <c r="B1261">
        <v>1</v>
      </c>
      <c r="C1261">
        <v>1</v>
      </c>
      <c r="D1261">
        <v>3</v>
      </c>
      <c r="E1261" t="s">
        <v>9</v>
      </c>
      <c r="F1261" t="s">
        <v>2176</v>
      </c>
      <c r="G1261" t="s">
        <v>2177</v>
      </c>
      <c r="H1261">
        <v>3.069</v>
      </c>
      <c r="I1261" t="s">
        <v>12</v>
      </c>
    </row>
    <row r="1262" spans="1:9" x14ac:dyDescent="0.3">
      <c r="A1262">
        <v>27</v>
      </c>
      <c r="B1262">
        <v>1</v>
      </c>
      <c r="C1262">
        <v>1</v>
      </c>
      <c r="D1262">
        <v>3</v>
      </c>
      <c r="E1262" t="s">
        <v>19</v>
      </c>
      <c r="F1262" t="s">
        <v>2178</v>
      </c>
      <c r="I1262" t="s">
        <v>34</v>
      </c>
    </row>
    <row r="1263" spans="1:9" x14ac:dyDescent="0.3">
      <c r="A1263">
        <v>27</v>
      </c>
      <c r="B1263">
        <v>1</v>
      </c>
      <c r="C1263">
        <v>1</v>
      </c>
      <c r="D1263">
        <v>4</v>
      </c>
      <c r="E1263" t="s">
        <v>22</v>
      </c>
      <c r="F1263" t="s">
        <v>2179</v>
      </c>
      <c r="G1263" t="s">
        <v>2180</v>
      </c>
      <c r="H1263">
        <v>1.4850000000000001</v>
      </c>
      <c r="I1263" t="s">
        <v>21</v>
      </c>
    </row>
    <row r="1264" spans="1:9" x14ac:dyDescent="0.3">
      <c r="A1264">
        <v>27</v>
      </c>
      <c r="B1264">
        <v>1</v>
      </c>
      <c r="C1264">
        <v>1</v>
      </c>
      <c r="D1264">
        <v>4</v>
      </c>
      <c r="E1264" t="s">
        <v>9</v>
      </c>
      <c r="F1264" t="s">
        <v>2181</v>
      </c>
      <c r="G1264" t="s">
        <v>2182</v>
      </c>
      <c r="H1264">
        <v>4.4009999999999998</v>
      </c>
      <c r="I1264" t="s">
        <v>12</v>
      </c>
    </row>
    <row r="1265" spans="1:9" x14ac:dyDescent="0.3">
      <c r="A1265">
        <v>27</v>
      </c>
      <c r="B1265">
        <v>1</v>
      </c>
      <c r="C1265">
        <v>1</v>
      </c>
      <c r="D1265">
        <v>4</v>
      </c>
      <c r="E1265" t="s">
        <v>9</v>
      </c>
      <c r="F1265" t="s">
        <v>2183</v>
      </c>
      <c r="G1265" t="s">
        <v>2184</v>
      </c>
      <c r="H1265">
        <v>2.7679999999999998</v>
      </c>
      <c r="I1265" t="s">
        <v>12</v>
      </c>
    </row>
    <row r="1266" spans="1:9" x14ac:dyDescent="0.3">
      <c r="A1266">
        <v>27</v>
      </c>
      <c r="B1266">
        <v>1</v>
      </c>
      <c r="C1266">
        <v>1</v>
      </c>
      <c r="D1266">
        <v>4</v>
      </c>
      <c r="E1266" t="s">
        <v>9</v>
      </c>
      <c r="F1266" t="s">
        <v>2185</v>
      </c>
      <c r="G1266" t="s">
        <v>2186</v>
      </c>
      <c r="H1266">
        <v>5.2750000000000004</v>
      </c>
      <c r="I1266" t="s">
        <v>12</v>
      </c>
    </row>
    <row r="1267" spans="1:9" x14ac:dyDescent="0.3">
      <c r="A1267">
        <v>27</v>
      </c>
      <c r="B1267">
        <v>1</v>
      </c>
      <c r="C1267">
        <v>1</v>
      </c>
      <c r="D1267">
        <v>4</v>
      </c>
      <c r="E1267" t="s">
        <v>9</v>
      </c>
      <c r="F1267" t="s">
        <v>2187</v>
      </c>
      <c r="G1267" t="s">
        <v>2188</v>
      </c>
      <c r="H1267">
        <v>2.867</v>
      </c>
      <c r="I1267" t="s">
        <v>12</v>
      </c>
    </row>
    <row r="1268" spans="1:9" x14ac:dyDescent="0.3">
      <c r="A1268">
        <v>27</v>
      </c>
      <c r="B1268">
        <v>1</v>
      </c>
      <c r="C1268">
        <v>1</v>
      </c>
      <c r="D1268">
        <v>4</v>
      </c>
      <c r="E1268" t="s">
        <v>22</v>
      </c>
      <c r="F1268" t="s">
        <v>2189</v>
      </c>
      <c r="G1268" t="s">
        <v>2190</v>
      </c>
      <c r="H1268">
        <v>3.1339999999999999</v>
      </c>
      <c r="I1268" t="s">
        <v>21</v>
      </c>
    </row>
    <row r="1269" spans="1:9" x14ac:dyDescent="0.3">
      <c r="A1269">
        <v>27</v>
      </c>
      <c r="B1269">
        <v>1</v>
      </c>
      <c r="C1269">
        <v>1</v>
      </c>
      <c r="D1269">
        <v>4</v>
      </c>
      <c r="E1269" t="s">
        <v>19</v>
      </c>
      <c r="F1269" t="s">
        <v>2191</v>
      </c>
      <c r="I1269" t="s">
        <v>34</v>
      </c>
    </row>
    <row r="1270" spans="1:9" x14ac:dyDescent="0.3">
      <c r="A1270">
        <v>27</v>
      </c>
      <c r="B1270">
        <v>1</v>
      </c>
      <c r="C1270">
        <v>1</v>
      </c>
      <c r="D1270">
        <v>5</v>
      </c>
      <c r="E1270" t="s">
        <v>9</v>
      </c>
      <c r="F1270" t="s">
        <v>2192</v>
      </c>
      <c r="G1270" t="s">
        <v>2193</v>
      </c>
      <c r="H1270">
        <v>2.4849999999999999</v>
      </c>
      <c r="I1270" t="s">
        <v>12</v>
      </c>
    </row>
    <row r="1271" spans="1:9" x14ac:dyDescent="0.3">
      <c r="A1271">
        <v>27</v>
      </c>
      <c r="B1271">
        <v>1</v>
      </c>
      <c r="C1271">
        <v>1</v>
      </c>
      <c r="D1271">
        <v>5</v>
      </c>
      <c r="E1271" t="s">
        <v>9</v>
      </c>
      <c r="F1271" t="s">
        <v>2194</v>
      </c>
      <c r="G1271" t="s">
        <v>2195</v>
      </c>
      <c r="H1271">
        <v>2.1850000000000001</v>
      </c>
      <c r="I1271" t="s">
        <v>12</v>
      </c>
    </row>
    <row r="1272" spans="1:9" x14ac:dyDescent="0.3">
      <c r="A1272">
        <v>27</v>
      </c>
      <c r="B1272">
        <v>1</v>
      </c>
      <c r="C1272">
        <v>1</v>
      </c>
      <c r="D1272">
        <v>5</v>
      </c>
      <c r="E1272" t="s">
        <v>9</v>
      </c>
      <c r="F1272" t="s">
        <v>2196</v>
      </c>
      <c r="G1272" t="s">
        <v>2197</v>
      </c>
      <c r="H1272">
        <v>3.9</v>
      </c>
      <c r="I1272" t="s">
        <v>12</v>
      </c>
    </row>
    <row r="1273" spans="1:9" x14ac:dyDescent="0.3">
      <c r="A1273">
        <v>27</v>
      </c>
      <c r="B1273">
        <v>1</v>
      </c>
      <c r="C1273">
        <v>1</v>
      </c>
      <c r="D1273">
        <v>5</v>
      </c>
      <c r="E1273" t="s">
        <v>22</v>
      </c>
      <c r="F1273" t="s">
        <v>2198</v>
      </c>
      <c r="G1273" t="s">
        <v>2199</v>
      </c>
      <c r="H1273">
        <v>2.3679999999999999</v>
      </c>
      <c r="I1273" t="s">
        <v>21</v>
      </c>
    </row>
    <row r="1274" spans="1:9" x14ac:dyDescent="0.3">
      <c r="A1274">
        <v>27</v>
      </c>
      <c r="B1274">
        <v>1</v>
      </c>
      <c r="C1274">
        <v>2</v>
      </c>
      <c r="D1274">
        <v>1</v>
      </c>
      <c r="E1274" t="s">
        <v>9</v>
      </c>
      <c r="F1274" t="s">
        <v>2200</v>
      </c>
      <c r="G1274" t="s">
        <v>2201</v>
      </c>
      <c r="H1274">
        <v>2.92</v>
      </c>
      <c r="I1274" t="s">
        <v>12</v>
      </c>
    </row>
    <row r="1275" spans="1:9" x14ac:dyDescent="0.3">
      <c r="A1275">
        <v>27</v>
      </c>
      <c r="B1275">
        <v>1</v>
      </c>
      <c r="C1275">
        <v>2</v>
      </c>
      <c r="D1275">
        <v>1</v>
      </c>
      <c r="E1275" t="s">
        <v>9</v>
      </c>
      <c r="F1275" t="s">
        <v>5362</v>
      </c>
      <c r="G1275" t="s">
        <v>5363</v>
      </c>
      <c r="H1275">
        <v>2.7669999999999999</v>
      </c>
      <c r="I1275" t="s">
        <v>12</v>
      </c>
    </row>
    <row r="1276" spans="1:9" x14ac:dyDescent="0.3">
      <c r="A1276">
        <v>27</v>
      </c>
      <c r="B1276">
        <v>3</v>
      </c>
      <c r="C1276">
        <v>1</v>
      </c>
      <c r="D1276">
        <v>1</v>
      </c>
      <c r="E1276" t="s">
        <v>9</v>
      </c>
      <c r="F1276" t="s">
        <v>2202</v>
      </c>
      <c r="G1276" t="s">
        <v>2203</v>
      </c>
      <c r="H1276">
        <v>3.62</v>
      </c>
      <c r="I1276" t="s">
        <v>12</v>
      </c>
    </row>
    <row r="1277" spans="1:9" x14ac:dyDescent="0.3">
      <c r="A1277">
        <v>27</v>
      </c>
      <c r="B1277">
        <v>3</v>
      </c>
      <c r="C1277">
        <v>1</v>
      </c>
      <c r="D1277">
        <v>1</v>
      </c>
      <c r="E1277" t="s">
        <v>9</v>
      </c>
      <c r="F1277" t="s">
        <v>2204</v>
      </c>
      <c r="G1277" t="s">
        <v>2205</v>
      </c>
      <c r="H1277">
        <v>4.6340000000000003</v>
      </c>
      <c r="I1277" t="s">
        <v>12</v>
      </c>
    </row>
    <row r="1278" spans="1:9" x14ac:dyDescent="0.3">
      <c r="A1278">
        <v>27</v>
      </c>
      <c r="B1278">
        <v>3</v>
      </c>
      <c r="C1278">
        <v>1</v>
      </c>
      <c r="D1278">
        <v>1</v>
      </c>
      <c r="E1278" t="s">
        <v>22</v>
      </c>
      <c r="F1278" t="s">
        <v>2206</v>
      </c>
      <c r="G1278" t="s">
        <v>2207</v>
      </c>
      <c r="H1278">
        <v>2.0329999999999999</v>
      </c>
      <c r="I1278" t="s">
        <v>21</v>
      </c>
    </row>
    <row r="1279" spans="1:9" x14ac:dyDescent="0.3">
      <c r="A1279">
        <v>27</v>
      </c>
      <c r="B1279">
        <v>3</v>
      </c>
      <c r="C1279">
        <v>1</v>
      </c>
      <c r="D1279">
        <v>2</v>
      </c>
      <c r="E1279" t="s">
        <v>9</v>
      </c>
      <c r="F1279" t="s">
        <v>2208</v>
      </c>
      <c r="G1279" t="s">
        <v>2209</v>
      </c>
      <c r="H1279">
        <v>3.8860000000000001</v>
      </c>
      <c r="I1279" t="s">
        <v>12</v>
      </c>
    </row>
    <row r="1280" spans="1:9" x14ac:dyDescent="0.3">
      <c r="A1280">
        <v>27</v>
      </c>
      <c r="B1280">
        <v>3</v>
      </c>
      <c r="C1280">
        <v>1</v>
      </c>
      <c r="D1280">
        <v>2</v>
      </c>
      <c r="E1280" t="s">
        <v>9</v>
      </c>
      <c r="F1280" t="s">
        <v>2210</v>
      </c>
      <c r="G1280" t="s">
        <v>2211</v>
      </c>
      <c r="H1280">
        <v>3.9670000000000001</v>
      </c>
      <c r="I1280" t="s">
        <v>12</v>
      </c>
    </row>
    <row r="1281" spans="1:9" x14ac:dyDescent="0.3">
      <c r="A1281">
        <v>27</v>
      </c>
      <c r="B1281">
        <v>3</v>
      </c>
      <c r="C1281">
        <v>1</v>
      </c>
      <c r="D1281">
        <v>2</v>
      </c>
      <c r="E1281" t="s">
        <v>22</v>
      </c>
      <c r="F1281" t="s">
        <v>2212</v>
      </c>
      <c r="G1281" t="s">
        <v>2213</v>
      </c>
      <c r="H1281">
        <v>2.4009999999999998</v>
      </c>
      <c r="I1281" t="s">
        <v>21</v>
      </c>
    </row>
    <row r="1282" spans="1:9" x14ac:dyDescent="0.3">
      <c r="A1282">
        <v>27</v>
      </c>
      <c r="B1282">
        <v>3</v>
      </c>
      <c r="C1282">
        <v>2</v>
      </c>
      <c r="D1282">
        <v>1</v>
      </c>
      <c r="E1282" t="s">
        <v>9</v>
      </c>
      <c r="F1282" t="s">
        <v>2214</v>
      </c>
      <c r="G1282" t="s">
        <v>2215</v>
      </c>
      <c r="H1282">
        <v>3.552</v>
      </c>
      <c r="I1282" t="s">
        <v>12</v>
      </c>
    </row>
    <row r="1283" spans="1:9" x14ac:dyDescent="0.3">
      <c r="A1283">
        <v>27</v>
      </c>
      <c r="B1283">
        <v>3</v>
      </c>
      <c r="C1283">
        <v>2</v>
      </c>
      <c r="D1283">
        <v>1</v>
      </c>
      <c r="E1283" t="s">
        <v>9</v>
      </c>
      <c r="F1283" t="s">
        <v>2216</v>
      </c>
      <c r="G1283" t="s">
        <v>2217</v>
      </c>
      <c r="H1283">
        <v>1.3</v>
      </c>
      <c r="I1283" t="s">
        <v>12</v>
      </c>
    </row>
    <row r="1284" spans="1:9" x14ac:dyDescent="0.3">
      <c r="A1284">
        <v>27</v>
      </c>
      <c r="B1284">
        <v>3</v>
      </c>
      <c r="C1284">
        <v>2</v>
      </c>
      <c r="D1284">
        <v>1</v>
      </c>
      <c r="E1284" t="s">
        <v>9</v>
      </c>
      <c r="F1284" t="s">
        <v>2218</v>
      </c>
      <c r="G1284" t="s">
        <v>2219</v>
      </c>
      <c r="H1284">
        <v>3.2669999999999999</v>
      </c>
      <c r="I1284" t="s">
        <v>12</v>
      </c>
    </row>
    <row r="1285" spans="1:9" x14ac:dyDescent="0.3">
      <c r="A1285">
        <v>27</v>
      </c>
      <c r="B1285">
        <v>3</v>
      </c>
      <c r="C1285">
        <v>2</v>
      </c>
      <c r="D1285">
        <v>1</v>
      </c>
      <c r="E1285" t="s">
        <v>22</v>
      </c>
      <c r="F1285" t="s">
        <v>2220</v>
      </c>
      <c r="G1285" t="s">
        <v>2221</v>
      </c>
      <c r="H1285">
        <v>1.734</v>
      </c>
      <c r="I1285" t="s">
        <v>21</v>
      </c>
    </row>
    <row r="1286" spans="1:9" x14ac:dyDescent="0.3">
      <c r="A1286">
        <v>27</v>
      </c>
      <c r="B1286">
        <v>3</v>
      </c>
      <c r="C1286">
        <v>2</v>
      </c>
      <c r="D1286">
        <v>2</v>
      </c>
      <c r="E1286" t="s">
        <v>9</v>
      </c>
      <c r="F1286" t="s">
        <v>2222</v>
      </c>
      <c r="H1286" t="s">
        <v>81</v>
      </c>
      <c r="I1286" t="s">
        <v>34</v>
      </c>
    </row>
    <row r="1287" spans="1:9" x14ac:dyDescent="0.3">
      <c r="A1287">
        <v>27</v>
      </c>
      <c r="B1287">
        <v>3</v>
      </c>
      <c r="C1287">
        <v>2</v>
      </c>
      <c r="D1287">
        <v>3</v>
      </c>
      <c r="E1287" t="s">
        <v>9</v>
      </c>
      <c r="F1287" t="s">
        <v>2223</v>
      </c>
      <c r="G1287" t="s">
        <v>2224</v>
      </c>
      <c r="H1287">
        <v>2.2200000000000002</v>
      </c>
      <c r="I1287" t="s">
        <v>12</v>
      </c>
    </row>
    <row r="1288" spans="1:9" x14ac:dyDescent="0.3">
      <c r="A1288">
        <v>27</v>
      </c>
      <c r="B1288">
        <v>3</v>
      </c>
      <c r="C1288">
        <v>2</v>
      </c>
      <c r="D1288">
        <v>3</v>
      </c>
      <c r="E1288" t="s">
        <v>9</v>
      </c>
      <c r="F1288" t="s">
        <v>2225</v>
      </c>
      <c r="G1288" t="s">
        <v>2226</v>
      </c>
      <c r="H1288">
        <v>2.9860000000000002</v>
      </c>
      <c r="I1288" t="s">
        <v>12</v>
      </c>
    </row>
    <row r="1289" spans="1:9" x14ac:dyDescent="0.3">
      <c r="A1289">
        <v>27</v>
      </c>
      <c r="B1289">
        <v>3</v>
      </c>
      <c r="C1289">
        <v>2</v>
      </c>
      <c r="D1289">
        <v>4</v>
      </c>
      <c r="E1289" t="s">
        <v>9</v>
      </c>
      <c r="F1289" t="s">
        <v>2227</v>
      </c>
      <c r="G1289" t="s">
        <v>2228</v>
      </c>
      <c r="H1289">
        <v>2.1539999999999999</v>
      </c>
      <c r="I1289" t="s">
        <v>12</v>
      </c>
    </row>
    <row r="1290" spans="1:9" x14ac:dyDescent="0.3">
      <c r="A1290">
        <v>27</v>
      </c>
      <c r="B1290">
        <v>3</v>
      </c>
      <c r="C1290">
        <v>2</v>
      </c>
      <c r="D1290">
        <v>4</v>
      </c>
      <c r="E1290" t="s">
        <v>22</v>
      </c>
      <c r="F1290" t="s">
        <v>2229</v>
      </c>
      <c r="G1290" t="s">
        <v>2230</v>
      </c>
      <c r="H1290">
        <v>2.286</v>
      </c>
      <c r="I1290" t="s">
        <v>21</v>
      </c>
    </row>
    <row r="1291" spans="1:9" x14ac:dyDescent="0.3">
      <c r="A1291">
        <v>27</v>
      </c>
      <c r="B1291">
        <v>3</v>
      </c>
      <c r="C1291">
        <v>2</v>
      </c>
      <c r="D1291">
        <v>4</v>
      </c>
      <c r="E1291" t="s">
        <v>9</v>
      </c>
      <c r="F1291" t="s">
        <v>2231</v>
      </c>
      <c r="G1291" t="s">
        <v>2232</v>
      </c>
      <c r="H1291">
        <v>4.133</v>
      </c>
      <c r="I1291" t="s">
        <v>12</v>
      </c>
    </row>
    <row r="1292" spans="1:9" x14ac:dyDescent="0.3">
      <c r="A1292">
        <v>27</v>
      </c>
      <c r="B1292">
        <v>3</v>
      </c>
      <c r="C1292">
        <v>2</v>
      </c>
      <c r="D1292">
        <v>4</v>
      </c>
      <c r="E1292" t="s">
        <v>9</v>
      </c>
      <c r="F1292" t="s">
        <v>2233</v>
      </c>
      <c r="G1292" t="s">
        <v>2234</v>
      </c>
      <c r="H1292">
        <v>2.0329999999999999</v>
      </c>
      <c r="I1292" t="s">
        <v>12</v>
      </c>
    </row>
    <row r="1293" spans="1:9" x14ac:dyDescent="0.3">
      <c r="A1293">
        <v>27</v>
      </c>
      <c r="B1293">
        <v>3</v>
      </c>
      <c r="C1293">
        <v>2</v>
      </c>
      <c r="D1293">
        <v>4</v>
      </c>
      <c r="E1293" t="s">
        <v>22</v>
      </c>
      <c r="F1293" t="s">
        <v>2235</v>
      </c>
      <c r="G1293" t="s">
        <v>2236</v>
      </c>
      <c r="H1293">
        <v>1.4339999999999999</v>
      </c>
      <c r="I1293" t="s">
        <v>21</v>
      </c>
    </row>
    <row r="1294" spans="1:9" x14ac:dyDescent="0.3">
      <c r="A1294">
        <v>27</v>
      </c>
      <c r="B1294">
        <v>3</v>
      </c>
      <c r="C1294">
        <v>2</v>
      </c>
      <c r="D1294">
        <v>5</v>
      </c>
      <c r="E1294" t="s">
        <v>9</v>
      </c>
      <c r="F1294" t="s">
        <v>2237</v>
      </c>
      <c r="H1294" t="s">
        <v>81</v>
      </c>
      <c r="I1294" t="s">
        <v>34</v>
      </c>
    </row>
    <row r="1295" spans="1:9" x14ac:dyDescent="0.3">
      <c r="A1295">
        <v>27</v>
      </c>
      <c r="B1295">
        <v>3</v>
      </c>
      <c r="C1295">
        <v>2</v>
      </c>
      <c r="D1295">
        <v>5</v>
      </c>
      <c r="E1295" t="s">
        <v>9</v>
      </c>
      <c r="F1295" t="s">
        <v>2238</v>
      </c>
      <c r="G1295" t="s">
        <v>2239</v>
      </c>
      <c r="H1295">
        <v>1.9179999999999999</v>
      </c>
      <c r="I1295" t="s">
        <v>12</v>
      </c>
    </row>
    <row r="1296" spans="1:9" x14ac:dyDescent="0.3">
      <c r="A1296">
        <v>27</v>
      </c>
      <c r="B1296">
        <v>3</v>
      </c>
      <c r="C1296">
        <v>2</v>
      </c>
      <c r="D1296">
        <v>5</v>
      </c>
      <c r="E1296" t="s">
        <v>22</v>
      </c>
      <c r="F1296" t="s">
        <v>2240</v>
      </c>
      <c r="G1296" t="s">
        <v>2241</v>
      </c>
      <c r="H1296">
        <v>2.8</v>
      </c>
      <c r="I1296" t="s">
        <v>21</v>
      </c>
    </row>
    <row r="1297" spans="1:9" x14ac:dyDescent="0.3">
      <c r="A1297">
        <v>27</v>
      </c>
      <c r="B1297">
        <v>3</v>
      </c>
      <c r="C1297">
        <v>2</v>
      </c>
      <c r="D1297">
        <v>7</v>
      </c>
      <c r="E1297" t="s">
        <v>9</v>
      </c>
      <c r="F1297" t="s">
        <v>2242</v>
      </c>
      <c r="G1297" t="s">
        <v>2243</v>
      </c>
      <c r="H1297">
        <v>3.585</v>
      </c>
      <c r="I1297" t="s">
        <v>12</v>
      </c>
    </row>
    <row r="1298" spans="1:9" x14ac:dyDescent="0.3">
      <c r="A1298">
        <v>27</v>
      </c>
      <c r="B1298">
        <v>3</v>
      </c>
      <c r="C1298">
        <v>2</v>
      </c>
      <c r="D1298">
        <v>7</v>
      </c>
      <c r="E1298" t="s">
        <v>9</v>
      </c>
      <c r="F1298" t="s">
        <v>2244</v>
      </c>
      <c r="G1298" t="s">
        <v>2245</v>
      </c>
      <c r="H1298">
        <v>3.9340000000000002</v>
      </c>
      <c r="I1298" t="s">
        <v>12</v>
      </c>
    </row>
    <row r="1299" spans="1:9" x14ac:dyDescent="0.3">
      <c r="A1299">
        <v>27</v>
      </c>
      <c r="B1299">
        <v>3</v>
      </c>
      <c r="C1299">
        <v>2</v>
      </c>
      <c r="D1299">
        <v>8</v>
      </c>
      <c r="E1299" t="s">
        <v>9</v>
      </c>
      <c r="F1299" t="s">
        <v>2246</v>
      </c>
      <c r="G1299" t="s">
        <v>2247</v>
      </c>
      <c r="H1299">
        <v>1.986</v>
      </c>
      <c r="I1299" t="s">
        <v>12</v>
      </c>
    </row>
    <row r="1300" spans="1:9" x14ac:dyDescent="0.3">
      <c r="A1300">
        <v>27</v>
      </c>
      <c r="B1300">
        <v>3</v>
      </c>
      <c r="C1300">
        <v>2</v>
      </c>
      <c r="D1300">
        <v>8</v>
      </c>
      <c r="E1300" t="s">
        <v>22</v>
      </c>
      <c r="F1300" t="s">
        <v>2248</v>
      </c>
      <c r="G1300" t="s">
        <v>2249</v>
      </c>
      <c r="H1300">
        <v>2.8519999999999999</v>
      </c>
      <c r="I1300" t="s">
        <v>21</v>
      </c>
    </row>
    <row r="1301" spans="1:9" x14ac:dyDescent="0.3">
      <c r="A1301">
        <v>27</v>
      </c>
      <c r="B1301">
        <v>3</v>
      </c>
      <c r="C1301">
        <v>2</v>
      </c>
      <c r="D1301">
        <v>8</v>
      </c>
      <c r="E1301" t="s">
        <v>9</v>
      </c>
      <c r="F1301" t="s">
        <v>2250</v>
      </c>
      <c r="G1301" t="s">
        <v>2251</v>
      </c>
      <c r="H1301">
        <v>1.768</v>
      </c>
      <c r="I1301" t="s">
        <v>12</v>
      </c>
    </row>
    <row r="1302" spans="1:9" x14ac:dyDescent="0.3">
      <c r="A1302">
        <v>27</v>
      </c>
      <c r="B1302">
        <v>3</v>
      </c>
      <c r="C1302">
        <v>2</v>
      </c>
      <c r="D1302">
        <v>8</v>
      </c>
      <c r="E1302" t="s">
        <v>9</v>
      </c>
      <c r="F1302" t="s">
        <v>2252</v>
      </c>
      <c r="G1302" t="s">
        <v>2253</v>
      </c>
      <c r="H1302">
        <v>2.2010000000000001</v>
      </c>
      <c r="I1302" t="s">
        <v>12</v>
      </c>
    </row>
    <row r="1303" spans="1:9" x14ac:dyDescent="0.3">
      <c r="A1303">
        <v>27</v>
      </c>
      <c r="B1303">
        <v>3</v>
      </c>
      <c r="C1303">
        <v>2</v>
      </c>
      <c r="D1303">
        <v>8</v>
      </c>
      <c r="E1303" t="s">
        <v>9</v>
      </c>
      <c r="F1303" t="s">
        <v>2254</v>
      </c>
      <c r="G1303" t="s">
        <v>2255</v>
      </c>
      <c r="H1303">
        <v>5.069</v>
      </c>
      <c r="I1303" t="s">
        <v>12</v>
      </c>
    </row>
    <row r="1304" spans="1:9" x14ac:dyDescent="0.3">
      <c r="A1304">
        <v>27</v>
      </c>
      <c r="B1304">
        <v>3</v>
      </c>
      <c r="C1304">
        <v>2</v>
      </c>
      <c r="D1304">
        <v>8</v>
      </c>
      <c r="E1304" t="s">
        <v>22</v>
      </c>
      <c r="F1304" t="s">
        <v>2256</v>
      </c>
      <c r="G1304" t="s">
        <v>2257</v>
      </c>
      <c r="H1304">
        <v>1.6339999999999999</v>
      </c>
      <c r="I1304" t="s">
        <v>21</v>
      </c>
    </row>
    <row r="1305" spans="1:9" x14ac:dyDescent="0.3">
      <c r="A1305">
        <v>27</v>
      </c>
      <c r="B1305">
        <v>3</v>
      </c>
      <c r="C1305">
        <v>2</v>
      </c>
      <c r="D1305">
        <v>9</v>
      </c>
      <c r="E1305" t="s">
        <v>9</v>
      </c>
      <c r="F1305" t="s">
        <v>2258</v>
      </c>
      <c r="G1305" t="s">
        <v>2259</v>
      </c>
      <c r="H1305">
        <v>2.68</v>
      </c>
      <c r="I1305" t="s">
        <v>12</v>
      </c>
    </row>
    <row r="1306" spans="1:9" x14ac:dyDescent="0.3">
      <c r="A1306">
        <v>27</v>
      </c>
      <c r="B1306">
        <v>3</v>
      </c>
      <c r="C1306">
        <v>2</v>
      </c>
      <c r="D1306">
        <v>9</v>
      </c>
      <c r="E1306" t="s">
        <v>9</v>
      </c>
      <c r="F1306" t="s">
        <v>2260</v>
      </c>
      <c r="G1306" t="s">
        <v>2261</v>
      </c>
      <c r="H1306">
        <v>3.1349999999999998</v>
      </c>
      <c r="I1306" t="s">
        <v>12</v>
      </c>
    </row>
    <row r="1307" spans="1:9" x14ac:dyDescent="0.3">
      <c r="A1307">
        <v>27</v>
      </c>
      <c r="B1307">
        <v>3</v>
      </c>
      <c r="C1307">
        <v>2</v>
      </c>
      <c r="D1307">
        <v>9</v>
      </c>
      <c r="E1307" t="s">
        <v>9</v>
      </c>
      <c r="F1307" t="s">
        <v>2262</v>
      </c>
      <c r="G1307" t="s">
        <v>2263</v>
      </c>
      <c r="H1307">
        <v>4.6840000000000002</v>
      </c>
      <c r="I1307" t="s">
        <v>12</v>
      </c>
    </row>
    <row r="1308" spans="1:9" x14ac:dyDescent="0.3">
      <c r="A1308">
        <v>27</v>
      </c>
      <c r="B1308">
        <v>3</v>
      </c>
      <c r="C1308">
        <v>2</v>
      </c>
      <c r="D1308">
        <v>9</v>
      </c>
      <c r="E1308" t="s">
        <v>22</v>
      </c>
      <c r="F1308" t="s">
        <v>2264</v>
      </c>
      <c r="G1308" t="s">
        <v>2265</v>
      </c>
      <c r="H1308">
        <v>2.2679999999999998</v>
      </c>
      <c r="I1308" t="s">
        <v>21</v>
      </c>
    </row>
    <row r="1309" spans="1:9" x14ac:dyDescent="0.3">
      <c r="A1309">
        <v>27</v>
      </c>
      <c r="B1309">
        <v>3</v>
      </c>
      <c r="C1309">
        <v>2</v>
      </c>
      <c r="D1309">
        <v>11</v>
      </c>
      <c r="E1309" t="s">
        <v>9</v>
      </c>
      <c r="F1309" t="s">
        <v>2266</v>
      </c>
      <c r="G1309" t="s">
        <v>2267</v>
      </c>
      <c r="H1309">
        <v>4.3849999999999998</v>
      </c>
      <c r="I1309" t="s">
        <v>12</v>
      </c>
    </row>
    <row r="1310" spans="1:9" x14ac:dyDescent="0.3">
      <c r="A1310">
        <v>27</v>
      </c>
      <c r="B1310">
        <v>3</v>
      </c>
      <c r="C1310">
        <v>2</v>
      </c>
      <c r="D1310">
        <v>11</v>
      </c>
      <c r="E1310" t="s">
        <v>9</v>
      </c>
      <c r="F1310" t="s">
        <v>2268</v>
      </c>
      <c r="G1310" t="s">
        <v>2269</v>
      </c>
      <c r="H1310">
        <v>2.2669999999999999</v>
      </c>
      <c r="I1310" t="s">
        <v>12</v>
      </c>
    </row>
    <row r="1311" spans="1:9" x14ac:dyDescent="0.3">
      <c r="A1311">
        <v>27</v>
      </c>
      <c r="B1311">
        <v>3</v>
      </c>
      <c r="C1311">
        <v>2</v>
      </c>
      <c r="D1311">
        <v>11</v>
      </c>
      <c r="E1311" t="s">
        <v>9</v>
      </c>
      <c r="F1311" t="s">
        <v>2270</v>
      </c>
      <c r="G1311" t="s">
        <v>2271</v>
      </c>
      <c r="H1311">
        <v>1.946</v>
      </c>
      <c r="I1311" t="s">
        <v>12</v>
      </c>
    </row>
    <row r="1312" spans="1:9" x14ac:dyDescent="0.3">
      <c r="A1312">
        <v>27</v>
      </c>
      <c r="B1312">
        <v>3</v>
      </c>
      <c r="C1312">
        <v>2</v>
      </c>
      <c r="D1312">
        <v>11</v>
      </c>
      <c r="E1312" t="s">
        <v>22</v>
      </c>
      <c r="F1312" t="s">
        <v>2272</v>
      </c>
      <c r="G1312" t="s">
        <v>2273</v>
      </c>
      <c r="H1312">
        <v>1.6339999999999999</v>
      </c>
      <c r="I1312" t="s">
        <v>21</v>
      </c>
    </row>
    <row r="1313" spans="1:9" x14ac:dyDescent="0.3">
      <c r="A1313">
        <v>27</v>
      </c>
      <c r="B1313">
        <v>3</v>
      </c>
      <c r="C1313">
        <v>1</v>
      </c>
      <c r="D1313">
        <v>1</v>
      </c>
      <c r="E1313" t="s">
        <v>9</v>
      </c>
      <c r="F1313" t="s">
        <v>2274</v>
      </c>
      <c r="G1313" t="s">
        <v>2275</v>
      </c>
      <c r="H1313">
        <v>4.5510000000000002</v>
      </c>
      <c r="I1313" t="s">
        <v>12</v>
      </c>
    </row>
    <row r="1314" spans="1:9" x14ac:dyDescent="0.3">
      <c r="A1314">
        <v>27</v>
      </c>
      <c r="B1314">
        <v>3</v>
      </c>
      <c r="C1314">
        <v>1</v>
      </c>
      <c r="D1314">
        <v>1</v>
      </c>
      <c r="E1314" t="s">
        <v>9</v>
      </c>
      <c r="F1314" t="s">
        <v>2276</v>
      </c>
      <c r="G1314" t="s">
        <v>2277</v>
      </c>
      <c r="H1314">
        <v>4.234</v>
      </c>
      <c r="I1314" t="s">
        <v>12</v>
      </c>
    </row>
    <row r="1315" spans="1:9" x14ac:dyDescent="0.3">
      <c r="A1315">
        <v>27</v>
      </c>
      <c r="B1315">
        <v>3</v>
      </c>
      <c r="C1315">
        <v>1</v>
      </c>
      <c r="D1315">
        <v>1</v>
      </c>
      <c r="E1315" t="s">
        <v>22</v>
      </c>
      <c r="F1315" t="s">
        <v>2278</v>
      </c>
      <c r="G1315" t="s">
        <v>2279</v>
      </c>
      <c r="H1315">
        <v>3.0670000000000002</v>
      </c>
      <c r="I1315" t="s">
        <v>21</v>
      </c>
    </row>
    <row r="1316" spans="1:9" x14ac:dyDescent="0.3">
      <c r="A1316">
        <v>27</v>
      </c>
      <c r="B1316">
        <v>3</v>
      </c>
      <c r="C1316">
        <v>1</v>
      </c>
      <c r="D1316">
        <v>1</v>
      </c>
      <c r="E1316" t="s">
        <v>9</v>
      </c>
      <c r="F1316" t="s">
        <v>2280</v>
      </c>
      <c r="G1316" t="s">
        <v>2281</v>
      </c>
      <c r="H1316">
        <v>3.3</v>
      </c>
      <c r="I1316" t="s">
        <v>12</v>
      </c>
    </row>
    <row r="1317" spans="1:9" x14ac:dyDescent="0.3">
      <c r="A1317">
        <v>27</v>
      </c>
      <c r="B1317">
        <v>3</v>
      </c>
      <c r="C1317">
        <v>1</v>
      </c>
      <c r="D1317">
        <v>1</v>
      </c>
      <c r="E1317" t="s">
        <v>9</v>
      </c>
      <c r="F1317" t="s">
        <v>2282</v>
      </c>
      <c r="G1317" t="s">
        <v>2283</v>
      </c>
      <c r="H1317">
        <v>7.2009999999999996</v>
      </c>
      <c r="I1317" t="s">
        <v>12</v>
      </c>
    </row>
    <row r="1318" spans="1:9" x14ac:dyDescent="0.3">
      <c r="A1318">
        <v>27</v>
      </c>
      <c r="B1318">
        <v>3</v>
      </c>
      <c r="C1318">
        <v>1</v>
      </c>
      <c r="D1318">
        <v>1</v>
      </c>
      <c r="E1318" t="s">
        <v>19</v>
      </c>
      <c r="F1318" t="s">
        <v>2284</v>
      </c>
      <c r="I1318" t="s">
        <v>34</v>
      </c>
    </row>
    <row r="1319" spans="1:9" x14ac:dyDescent="0.3">
      <c r="A1319">
        <v>27</v>
      </c>
      <c r="B1319">
        <v>3</v>
      </c>
      <c r="C1319">
        <v>1</v>
      </c>
      <c r="D1319">
        <v>1</v>
      </c>
      <c r="E1319" t="s">
        <v>22</v>
      </c>
      <c r="F1319" t="s">
        <v>2285</v>
      </c>
      <c r="G1319" t="s">
        <v>2286</v>
      </c>
      <c r="H1319">
        <v>4</v>
      </c>
      <c r="I1319" t="s">
        <v>21</v>
      </c>
    </row>
    <row r="1320" spans="1:9" x14ac:dyDescent="0.3">
      <c r="A1320">
        <v>27</v>
      </c>
      <c r="B1320">
        <v>3</v>
      </c>
      <c r="C1320">
        <v>2</v>
      </c>
      <c r="D1320">
        <v>1</v>
      </c>
      <c r="E1320" t="s">
        <v>9</v>
      </c>
      <c r="F1320" t="s">
        <v>2287</v>
      </c>
      <c r="G1320" t="s">
        <v>2288</v>
      </c>
      <c r="H1320">
        <v>2.5179999999999998</v>
      </c>
      <c r="I1320" t="s">
        <v>12</v>
      </c>
    </row>
    <row r="1321" spans="1:9" x14ac:dyDescent="0.3">
      <c r="A1321">
        <v>27</v>
      </c>
      <c r="B1321">
        <v>3</v>
      </c>
      <c r="C1321">
        <v>2</v>
      </c>
      <c r="D1321">
        <v>1</v>
      </c>
      <c r="E1321" t="s">
        <v>9</v>
      </c>
      <c r="F1321" t="s">
        <v>2289</v>
      </c>
      <c r="H1321" t="s">
        <v>81</v>
      </c>
      <c r="I1321" t="s">
        <v>34</v>
      </c>
    </row>
    <row r="1322" spans="1:9" x14ac:dyDescent="0.3">
      <c r="A1322">
        <v>27</v>
      </c>
      <c r="B1322">
        <v>3</v>
      </c>
      <c r="C1322">
        <v>3</v>
      </c>
      <c r="D1322">
        <v>1</v>
      </c>
      <c r="E1322" t="s">
        <v>9</v>
      </c>
      <c r="F1322" t="s">
        <v>2290</v>
      </c>
      <c r="G1322" t="s">
        <v>2291</v>
      </c>
      <c r="H1322">
        <v>2.9849999999999999</v>
      </c>
      <c r="I1322" t="s">
        <v>12</v>
      </c>
    </row>
    <row r="1323" spans="1:9" x14ac:dyDescent="0.3">
      <c r="A1323">
        <v>27</v>
      </c>
      <c r="B1323">
        <v>3</v>
      </c>
      <c r="C1323">
        <v>3</v>
      </c>
      <c r="D1323">
        <v>1</v>
      </c>
      <c r="E1323" t="s">
        <v>9</v>
      </c>
      <c r="F1323" t="s">
        <v>2292</v>
      </c>
      <c r="G1323" t="s">
        <v>2293</v>
      </c>
      <c r="H1323">
        <v>3.234</v>
      </c>
      <c r="I1323" t="s">
        <v>12</v>
      </c>
    </row>
    <row r="1324" spans="1:9" x14ac:dyDescent="0.3">
      <c r="A1324">
        <v>27</v>
      </c>
      <c r="B1324">
        <v>3</v>
      </c>
      <c r="C1324">
        <v>3</v>
      </c>
      <c r="D1324">
        <v>1</v>
      </c>
      <c r="E1324" t="s">
        <v>22</v>
      </c>
      <c r="F1324" t="s">
        <v>2294</v>
      </c>
      <c r="G1324" t="s">
        <v>2295</v>
      </c>
      <c r="H1324">
        <v>2.3330000000000002</v>
      </c>
      <c r="I1324" t="s">
        <v>21</v>
      </c>
    </row>
    <row r="1325" spans="1:9" x14ac:dyDescent="0.3">
      <c r="A1325">
        <v>27</v>
      </c>
      <c r="B1325">
        <v>3</v>
      </c>
      <c r="C1325">
        <v>3</v>
      </c>
      <c r="D1325">
        <v>1</v>
      </c>
      <c r="E1325" t="s">
        <v>9</v>
      </c>
      <c r="F1325" t="s">
        <v>2296</v>
      </c>
      <c r="G1325" t="s">
        <v>2297</v>
      </c>
      <c r="H1325">
        <v>2.734</v>
      </c>
      <c r="I1325" t="s">
        <v>12</v>
      </c>
    </row>
    <row r="1326" spans="1:9" x14ac:dyDescent="0.3">
      <c r="A1326">
        <v>27</v>
      </c>
      <c r="B1326">
        <v>3</v>
      </c>
      <c r="C1326">
        <v>3</v>
      </c>
      <c r="D1326">
        <v>1</v>
      </c>
      <c r="E1326" t="s">
        <v>9</v>
      </c>
      <c r="F1326" t="s">
        <v>2298</v>
      </c>
      <c r="G1326" t="s">
        <v>2299</v>
      </c>
      <c r="H1326">
        <v>3.5339999999999998</v>
      </c>
      <c r="I1326" t="s">
        <v>12</v>
      </c>
    </row>
    <row r="1327" spans="1:9" x14ac:dyDescent="0.3">
      <c r="A1327">
        <v>27</v>
      </c>
      <c r="B1327">
        <v>3</v>
      </c>
      <c r="C1327">
        <v>3</v>
      </c>
      <c r="D1327">
        <v>1</v>
      </c>
      <c r="E1327" t="s">
        <v>19</v>
      </c>
      <c r="F1327" t="s">
        <v>2300</v>
      </c>
      <c r="I1327" t="s">
        <v>34</v>
      </c>
    </row>
    <row r="1328" spans="1:9" x14ac:dyDescent="0.3">
      <c r="A1328">
        <v>27</v>
      </c>
      <c r="B1328">
        <v>3</v>
      </c>
      <c r="C1328">
        <v>3</v>
      </c>
      <c r="D1328">
        <v>1</v>
      </c>
      <c r="E1328" t="s">
        <v>22</v>
      </c>
      <c r="F1328" t="s">
        <v>2301</v>
      </c>
      <c r="G1328" t="s">
        <v>2302</v>
      </c>
      <c r="H1328">
        <v>2.3530000000000002</v>
      </c>
      <c r="I1328" t="s">
        <v>34</v>
      </c>
    </row>
    <row r="1329" spans="1:9" x14ac:dyDescent="0.3">
      <c r="A1329">
        <v>27</v>
      </c>
      <c r="B1329">
        <v>3</v>
      </c>
      <c r="C1329">
        <v>3</v>
      </c>
      <c r="D1329">
        <v>2</v>
      </c>
      <c r="E1329" t="s">
        <v>9</v>
      </c>
      <c r="F1329" t="s">
        <v>2303</v>
      </c>
      <c r="G1329" t="s">
        <v>2304</v>
      </c>
      <c r="H1329">
        <v>3.452</v>
      </c>
      <c r="I1329" t="s">
        <v>12</v>
      </c>
    </row>
    <row r="1330" spans="1:9" x14ac:dyDescent="0.3">
      <c r="A1330">
        <v>27</v>
      </c>
      <c r="B1330">
        <v>3</v>
      </c>
      <c r="C1330">
        <v>3</v>
      </c>
      <c r="D1330">
        <v>2</v>
      </c>
      <c r="E1330" t="s">
        <v>9</v>
      </c>
      <c r="F1330" t="s">
        <v>2305</v>
      </c>
      <c r="G1330" t="s">
        <v>2306</v>
      </c>
      <c r="H1330">
        <v>2.7679999999999998</v>
      </c>
      <c r="I1330" t="s">
        <v>12</v>
      </c>
    </row>
    <row r="1331" spans="1:9" x14ac:dyDescent="0.3">
      <c r="A1331">
        <v>27</v>
      </c>
      <c r="B1331">
        <v>3</v>
      </c>
      <c r="C1331">
        <v>3</v>
      </c>
      <c r="D1331">
        <v>2</v>
      </c>
      <c r="E1331" t="s">
        <v>22</v>
      </c>
      <c r="F1331" t="s">
        <v>2307</v>
      </c>
      <c r="G1331" t="s">
        <v>2308</v>
      </c>
      <c r="H1331">
        <v>2.8010000000000002</v>
      </c>
      <c r="I1331" t="s">
        <v>21</v>
      </c>
    </row>
    <row r="1332" spans="1:9" x14ac:dyDescent="0.3">
      <c r="A1332">
        <v>27</v>
      </c>
      <c r="B1332">
        <v>3</v>
      </c>
      <c r="C1332">
        <v>3</v>
      </c>
      <c r="D1332">
        <v>2</v>
      </c>
      <c r="E1332" t="s">
        <v>9</v>
      </c>
      <c r="F1332" t="s">
        <v>2309</v>
      </c>
      <c r="G1332" t="s">
        <v>2310</v>
      </c>
      <c r="H1332">
        <v>2.734</v>
      </c>
      <c r="I1332" t="s">
        <v>12</v>
      </c>
    </row>
    <row r="1333" spans="1:9" x14ac:dyDescent="0.3">
      <c r="A1333">
        <v>27</v>
      </c>
      <c r="B1333">
        <v>3</v>
      </c>
      <c r="C1333">
        <v>3</v>
      </c>
      <c r="D1333">
        <v>2</v>
      </c>
      <c r="E1333" t="s">
        <v>9</v>
      </c>
      <c r="F1333" t="s">
        <v>2311</v>
      </c>
      <c r="G1333" t="s">
        <v>2312</v>
      </c>
      <c r="H1333">
        <v>2.8340000000000001</v>
      </c>
      <c r="I1333" t="s">
        <v>12</v>
      </c>
    </row>
    <row r="1334" spans="1:9" x14ac:dyDescent="0.3">
      <c r="A1334">
        <v>27</v>
      </c>
      <c r="B1334">
        <v>3</v>
      </c>
      <c r="C1334">
        <v>3</v>
      </c>
      <c r="D1334">
        <v>2</v>
      </c>
      <c r="E1334" t="s">
        <v>19</v>
      </c>
      <c r="F1334" t="s">
        <v>2313</v>
      </c>
      <c r="I1334" t="s">
        <v>34</v>
      </c>
    </row>
    <row r="1335" spans="1:9" x14ac:dyDescent="0.3">
      <c r="A1335">
        <v>27</v>
      </c>
      <c r="B1335">
        <v>3</v>
      </c>
      <c r="C1335">
        <v>3</v>
      </c>
      <c r="D1335">
        <v>2</v>
      </c>
      <c r="E1335" t="s">
        <v>22</v>
      </c>
      <c r="F1335" t="s">
        <v>2314</v>
      </c>
      <c r="G1335" t="s">
        <v>2315</v>
      </c>
      <c r="H1335">
        <v>5.1349999999999998</v>
      </c>
      <c r="I1335" t="s">
        <v>21</v>
      </c>
    </row>
    <row r="1336" spans="1:9" x14ac:dyDescent="0.3">
      <c r="A1336">
        <v>27</v>
      </c>
      <c r="B1336">
        <v>3</v>
      </c>
      <c r="C1336">
        <v>3</v>
      </c>
      <c r="D1336">
        <v>2</v>
      </c>
      <c r="E1336" t="s">
        <v>19</v>
      </c>
      <c r="F1336" t="s">
        <v>2316</v>
      </c>
      <c r="I1336" t="s">
        <v>34</v>
      </c>
    </row>
    <row r="1337" spans="1:9" x14ac:dyDescent="0.3">
      <c r="A1337">
        <v>27</v>
      </c>
      <c r="B1337">
        <v>3</v>
      </c>
      <c r="C1337">
        <v>3</v>
      </c>
      <c r="D1337">
        <v>3</v>
      </c>
      <c r="E1337" t="s">
        <v>9</v>
      </c>
      <c r="F1337" t="s">
        <v>2317</v>
      </c>
      <c r="G1337" t="s">
        <v>2318</v>
      </c>
      <c r="H1337">
        <v>2.6859999999999999</v>
      </c>
      <c r="I1337" t="s">
        <v>12</v>
      </c>
    </row>
    <row r="1338" spans="1:9" x14ac:dyDescent="0.3">
      <c r="A1338">
        <v>27</v>
      </c>
      <c r="B1338">
        <v>3</v>
      </c>
      <c r="C1338">
        <v>3</v>
      </c>
      <c r="D1338">
        <v>3</v>
      </c>
      <c r="E1338" t="s">
        <v>9</v>
      </c>
      <c r="F1338" t="s">
        <v>2319</v>
      </c>
      <c r="G1338" t="s">
        <v>2320</v>
      </c>
      <c r="H1338">
        <v>5.4349999999999996</v>
      </c>
      <c r="I1338" t="s">
        <v>12</v>
      </c>
    </row>
    <row r="1339" spans="1:9" x14ac:dyDescent="0.3">
      <c r="A1339">
        <v>27</v>
      </c>
      <c r="B1339">
        <v>3</v>
      </c>
      <c r="C1339">
        <v>3</v>
      </c>
      <c r="D1339">
        <v>3</v>
      </c>
      <c r="E1339" t="s">
        <v>22</v>
      </c>
      <c r="F1339" t="s">
        <v>2321</v>
      </c>
      <c r="G1339" t="s">
        <v>2322</v>
      </c>
      <c r="H1339">
        <v>2.6680000000000001</v>
      </c>
      <c r="I1339" t="s">
        <v>21</v>
      </c>
    </row>
    <row r="1340" spans="1:9" x14ac:dyDescent="0.3">
      <c r="A1340">
        <v>27</v>
      </c>
      <c r="B1340">
        <v>3</v>
      </c>
      <c r="C1340">
        <v>3</v>
      </c>
      <c r="D1340">
        <v>3</v>
      </c>
      <c r="E1340" t="s">
        <v>9</v>
      </c>
      <c r="F1340" t="s">
        <v>2323</v>
      </c>
      <c r="G1340" t="s">
        <v>2324</v>
      </c>
      <c r="H1340">
        <v>3.4340000000000002</v>
      </c>
      <c r="I1340" t="s">
        <v>12</v>
      </c>
    </row>
    <row r="1341" spans="1:9" x14ac:dyDescent="0.3">
      <c r="A1341">
        <v>27</v>
      </c>
      <c r="B1341">
        <v>3</v>
      </c>
      <c r="C1341">
        <v>3</v>
      </c>
      <c r="D1341">
        <v>3</v>
      </c>
      <c r="E1341" t="s">
        <v>9</v>
      </c>
      <c r="F1341" t="s">
        <v>2325</v>
      </c>
      <c r="G1341" t="s">
        <v>2326</v>
      </c>
      <c r="H1341">
        <v>2.4350000000000001</v>
      </c>
      <c r="I1341" t="s">
        <v>12</v>
      </c>
    </row>
    <row r="1342" spans="1:9" x14ac:dyDescent="0.3">
      <c r="A1342">
        <v>27</v>
      </c>
      <c r="B1342">
        <v>3</v>
      </c>
      <c r="C1342">
        <v>3</v>
      </c>
      <c r="D1342">
        <v>3</v>
      </c>
      <c r="E1342" t="s">
        <v>19</v>
      </c>
      <c r="F1342" t="s">
        <v>2327</v>
      </c>
      <c r="I1342" t="s">
        <v>34</v>
      </c>
    </row>
    <row r="1343" spans="1:9" x14ac:dyDescent="0.3">
      <c r="A1343">
        <v>27</v>
      </c>
      <c r="B1343">
        <v>3</v>
      </c>
      <c r="C1343">
        <v>3</v>
      </c>
      <c r="D1343">
        <v>3</v>
      </c>
      <c r="E1343" t="s">
        <v>22</v>
      </c>
      <c r="F1343" t="s">
        <v>2328</v>
      </c>
      <c r="G1343" t="s">
        <v>2329</v>
      </c>
      <c r="H1343">
        <v>1.401</v>
      </c>
      <c r="I1343" t="s">
        <v>21</v>
      </c>
    </row>
    <row r="1344" spans="1:9" x14ac:dyDescent="0.3">
      <c r="A1344">
        <v>27</v>
      </c>
      <c r="B1344">
        <v>3</v>
      </c>
      <c r="C1344">
        <v>3</v>
      </c>
      <c r="D1344">
        <v>3</v>
      </c>
      <c r="E1344" t="s">
        <v>19</v>
      </c>
      <c r="F1344" t="s">
        <v>2330</v>
      </c>
      <c r="I1344" t="s">
        <v>21</v>
      </c>
    </row>
    <row r="1345" spans="1:9" x14ac:dyDescent="0.3">
      <c r="A1345">
        <v>2</v>
      </c>
      <c r="B1345">
        <v>1</v>
      </c>
      <c r="C1345">
        <v>1</v>
      </c>
      <c r="D1345">
        <v>1</v>
      </c>
      <c r="E1345" t="s">
        <v>9</v>
      </c>
      <c r="F1345" t="s">
        <v>2331</v>
      </c>
      <c r="G1345" t="s">
        <v>2332</v>
      </c>
      <c r="H1345">
        <v>8.2530000000000001</v>
      </c>
      <c r="I1345" t="s">
        <v>12</v>
      </c>
    </row>
    <row r="1346" spans="1:9" x14ac:dyDescent="0.3">
      <c r="A1346">
        <v>2</v>
      </c>
      <c r="B1346">
        <v>1</v>
      </c>
      <c r="C1346">
        <v>1</v>
      </c>
      <c r="D1346">
        <v>2</v>
      </c>
      <c r="E1346" t="s">
        <v>9</v>
      </c>
      <c r="F1346" t="s">
        <v>2333</v>
      </c>
      <c r="G1346" t="s">
        <v>2334</v>
      </c>
      <c r="H1346">
        <v>5.6529999999999996</v>
      </c>
      <c r="I1346" t="s">
        <v>12</v>
      </c>
    </row>
    <row r="1347" spans="1:9" x14ac:dyDescent="0.3">
      <c r="A1347">
        <v>2</v>
      </c>
      <c r="B1347">
        <v>1</v>
      </c>
      <c r="C1347">
        <v>1</v>
      </c>
      <c r="D1347">
        <v>3</v>
      </c>
      <c r="E1347" t="s">
        <v>22</v>
      </c>
      <c r="F1347" t="s">
        <v>2335</v>
      </c>
      <c r="G1347" t="s">
        <v>2336</v>
      </c>
      <c r="H1347">
        <v>6.5190000000000001</v>
      </c>
      <c r="I1347" t="s">
        <v>21</v>
      </c>
    </row>
    <row r="1348" spans="1:9" x14ac:dyDescent="0.3">
      <c r="A1348">
        <v>2</v>
      </c>
      <c r="B1348">
        <v>1</v>
      </c>
      <c r="C1348">
        <v>1</v>
      </c>
      <c r="D1348">
        <v>3</v>
      </c>
      <c r="E1348" t="s">
        <v>9</v>
      </c>
      <c r="F1348" t="s">
        <v>2337</v>
      </c>
      <c r="G1348" t="s">
        <v>2338</v>
      </c>
      <c r="H1348">
        <v>7.8860000000000001</v>
      </c>
      <c r="I1348" t="s">
        <v>12</v>
      </c>
    </row>
    <row r="1349" spans="1:9" x14ac:dyDescent="0.3">
      <c r="A1349">
        <v>2</v>
      </c>
      <c r="B1349">
        <v>1</v>
      </c>
      <c r="C1349">
        <v>1</v>
      </c>
      <c r="D1349">
        <v>3</v>
      </c>
      <c r="E1349" t="s">
        <v>9</v>
      </c>
      <c r="F1349" t="s">
        <v>2339</v>
      </c>
      <c r="G1349" t="s">
        <v>2340</v>
      </c>
      <c r="H1349">
        <v>7.1950000000000003</v>
      </c>
      <c r="I1349" t="s">
        <v>12</v>
      </c>
    </row>
    <row r="1350" spans="1:9" x14ac:dyDescent="0.3">
      <c r="A1350">
        <v>2</v>
      </c>
      <c r="B1350">
        <v>1</v>
      </c>
      <c r="C1350">
        <v>1</v>
      </c>
      <c r="D1350">
        <v>3</v>
      </c>
      <c r="E1350" t="s">
        <v>19</v>
      </c>
      <c r="F1350" t="s">
        <v>2341</v>
      </c>
      <c r="I1350" t="s">
        <v>34</v>
      </c>
    </row>
    <row r="1351" spans="1:9" x14ac:dyDescent="0.3">
      <c r="A1351">
        <v>2</v>
      </c>
      <c r="B1351">
        <v>1</v>
      </c>
      <c r="C1351">
        <v>1</v>
      </c>
      <c r="D1351">
        <v>3</v>
      </c>
      <c r="E1351" t="s">
        <v>9</v>
      </c>
      <c r="F1351" t="s">
        <v>2342</v>
      </c>
      <c r="G1351" t="s">
        <v>2343</v>
      </c>
      <c r="H1351">
        <v>6.0339999999999998</v>
      </c>
      <c r="I1351" t="s">
        <v>12</v>
      </c>
    </row>
    <row r="1352" spans="1:9" x14ac:dyDescent="0.3">
      <c r="A1352">
        <v>2</v>
      </c>
      <c r="B1352">
        <v>1</v>
      </c>
      <c r="C1352">
        <v>1</v>
      </c>
      <c r="D1352">
        <v>4</v>
      </c>
      <c r="E1352" t="s">
        <v>22</v>
      </c>
      <c r="F1352" t="s">
        <v>2344</v>
      </c>
      <c r="G1352" t="s">
        <v>2345</v>
      </c>
      <c r="H1352">
        <v>2.319</v>
      </c>
      <c r="I1352" t="s">
        <v>21</v>
      </c>
    </row>
    <row r="1353" spans="1:9" x14ac:dyDescent="0.3">
      <c r="A1353">
        <v>2</v>
      </c>
      <c r="B1353">
        <v>1</v>
      </c>
      <c r="C1353">
        <v>1</v>
      </c>
      <c r="D1353">
        <v>4</v>
      </c>
      <c r="E1353" t="s">
        <v>9</v>
      </c>
      <c r="F1353" t="s">
        <v>2346</v>
      </c>
      <c r="G1353" t="s">
        <v>2347</v>
      </c>
      <c r="H1353">
        <v>2.6030000000000002</v>
      </c>
      <c r="I1353" t="s">
        <v>12</v>
      </c>
    </row>
    <row r="1354" spans="1:9" x14ac:dyDescent="0.3">
      <c r="A1354">
        <v>2</v>
      </c>
      <c r="B1354">
        <v>1</v>
      </c>
      <c r="C1354">
        <v>1</v>
      </c>
      <c r="D1354">
        <v>4</v>
      </c>
      <c r="E1354" t="s">
        <v>9</v>
      </c>
      <c r="F1354" t="s">
        <v>2348</v>
      </c>
      <c r="G1354" t="s">
        <v>2349</v>
      </c>
      <c r="H1354">
        <v>2.7669999999999999</v>
      </c>
      <c r="I1354" t="s">
        <v>12</v>
      </c>
    </row>
    <row r="1355" spans="1:9" x14ac:dyDescent="0.3">
      <c r="A1355">
        <v>2</v>
      </c>
      <c r="B1355">
        <v>1</v>
      </c>
      <c r="C1355">
        <v>1</v>
      </c>
      <c r="D1355">
        <v>4</v>
      </c>
      <c r="E1355" t="s">
        <v>19</v>
      </c>
      <c r="F1355" t="s">
        <v>2350</v>
      </c>
      <c r="I1355" t="s">
        <v>21</v>
      </c>
    </row>
    <row r="1356" spans="1:9" x14ac:dyDescent="0.3">
      <c r="A1356">
        <v>2</v>
      </c>
      <c r="B1356">
        <v>1</v>
      </c>
      <c r="C1356">
        <v>1</v>
      </c>
      <c r="D1356">
        <v>5</v>
      </c>
      <c r="E1356" t="s">
        <v>22</v>
      </c>
      <c r="F1356" t="s">
        <v>2351</v>
      </c>
      <c r="G1356" t="s">
        <v>2352</v>
      </c>
      <c r="H1356">
        <v>2.12</v>
      </c>
      <c r="I1356" t="s">
        <v>21</v>
      </c>
    </row>
    <row r="1357" spans="1:9" x14ac:dyDescent="0.3">
      <c r="A1357">
        <v>2</v>
      </c>
      <c r="B1357">
        <v>1</v>
      </c>
      <c r="C1357">
        <v>1</v>
      </c>
      <c r="D1357">
        <v>5</v>
      </c>
      <c r="E1357" t="s">
        <v>9</v>
      </c>
      <c r="F1357" t="s">
        <v>2353</v>
      </c>
      <c r="G1357" t="s">
        <v>2354</v>
      </c>
      <c r="H1357">
        <v>3.274</v>
      </c>
      <c r="I1357" t="s">
        <v>12</v>
      </c>
    </row>
    <row r="1358" spans="1:9" x14ac:dyDescent="0.3">
      <c r="A1358">
        <v>2</v>
      </c>
      <c r="B1358">
        <v>1</v>
      </c>
      <c r="C1358">
        <v>1</v>
      </c>
      <c r="D1358">
        <v>5</v>
      </c>
      <c r="E1358" t="s">
        <v>19</v>
      </c>
      <c r="F1358" t="s">
        <v>2355</v>
      </c>
      <c r="I1358" t="s">
        <v>21</v>
      </c>
    </row>
    <row r="1359" spans="1:9" x14ac:dyDescent="0.3">
      <c r="A1359">
        <v>2</v>
      </c>
      <c r="B1359">
        <v>1</v>
      </c>
      <c r="C1359">
        <v>1</v>
      </c>
      <c r="D1359">
        <v>5</v>
      </c>
      <c r="E1359" t="s">
        <v>9</v>
      </c>
      <c r="F1359" t="s">
        <v>2356</v>
      </c>
      <c r="G1359" t="s">
        <v>2357</v>
      </c>
      <c r="H1359">
        <v>2.355</v>
      </c>
      <c r="I1359" t="s">
        <v>12</v>
      </c>
    </row>
    <row r="1360" spans="1:9" x14ac:dyDescent="0.3">
      <c r="A1360">
        <v>2</v>
      </c>
      <c r="B1360">
        <v>1</v>
      </c>
      <c r="C1360">
        <v>1</v>
      </c>
      <c r="D1360">
        <v>5</v>
      </c>
      <c r="E1360" t="s">
        <v>19</v>
      </c>
      <c r="F1360" t="s">
        <v>2358</v>
      </c>
      <c r="I1360" t="s">
        <v>21</v>
      </c>
    </row>
    <row r="1361" spans="1:9" x14ac:dyDescent="0.3">
      <c r="A1361">
        <v>2</v>
      </c>
      <c r="B1361">
        <v>1</v>
      </c>
      <c r="C1361">
        <v>1</v>
      </c>
      <c r="D1361">
        <v>5</v>
      </c>
      <c r="E1361" t="s">
        <v>19</v>
      </c>
      <c r="F1361" t="s">
        <v>2359</v>
      </c>
      <c r="I1361" t="s">
        <v>21</v>
      </c>
    </row>
    <row r="1362" spans="1:9" x14ac:dyDescent="0.3">
      <c r="A1362">
        <v>2</v>
      </c>
      <c r="B1362">
        <v>1</v>
      </c>
      <c r="C1362">
        <v>1</v>
      </c>
      <c r="D1362">
        <v>6</v>
      </c>
      <c r="E1362" t="s">
        <v>9</v>
      </c>
      <c r="F1362" t="s">
        <v>2360</v>
      </c>
      <c r="G1362" t="s">
        <v>2361</v>
      </c>
      <c r="H1362">
        <v>4.1189999999999998</v>
      </c>
      <c r="I1362" t="s">
        <v>12</v>
      </c>
    </row>
    <row r="1363" spans="1:9" x14ac:dyDescent="0.3">
      <c r="A1363">
        <v>2</v>
      </c>
      <c r="B1363">
        <v>1</v>
      </c>
      <c r="C1363">
        <v>1</v>
      </c>
      <c r="D1363">
        <v>6</v>
      </c>
      <c r="E1363" t="s">
        <v>9</v>
      </c>
      <c r="F1363" t="s">
        <v>2362</v>
      </c>
      <c r="G1363" t="s">
        <v>2363</v>
      </c>
      <c r="H1363">
        <v>4.0999999999999996</v>
      </c>
      <c r="I1363" t="s">
        <v>12</v>
      </c>
    </row>
    <row r="1364" spans="1:9" x14ac:dyDescent="0.3">
      <c r="A1364">
        <v>2</v>
      </c>
      <c r="B1364">
        <v>1</v>
      </c>
      <c r="C1364">
        <v>1</v>
      </c>
      <c r="D1364">
        <v>6</v>
      </c>
      <c r="E1364" t="s">
        <v>22</v>
      </c>
      <c r="F1364" t="s">
        <v>2364</v>
      </c>
      <c r="G1364" t="s">
        <v>2365</v>
      </c>
      <c r="H1364">
        <v>1.901</v>
      </c>
      <c r="I1364" t="s">
        <v>21</v>
      </c>
    </row>
    <row r="1365" spans="1:9" x14ac:dyDescent="0.3">
      <c r="A1365">
        <v>2</v>
      </c>
      <c r="B1365">
        <v>1</v>
      </c>
      <c r="C1365">
        <v>1</v>
      </c>
      <c r="D1365">
        <v>6</v>
      </c>
      <c r="E1365" t="s">
        <v>22</v>
      </c>
      <c r="F1365" t="s">
        <v>2366</v>
      </c>
      <c r="G1365" t="s">
        <v>2367</v>
      </c>
      <c r="H1365">
        <v>2.1669999999999998</v>
      </c>
      <c r="I1365" t="s">
        <v>21</v>
      </c>
    </row>
    <row r="1366" spans="1:9" x14ac:dyDescent="0.3">
      <c r="A1366">
        <v>2</v>
      </c>
      <c r="B1366">
        <v>1</v>
      </c>
      <c r="C1366">
        <v>1</v>
      </c>
      <c r="D1366">
        <v>6</v>
      </c>
      <c r="E1366" t="s">
        <v>19</v>
      </c>
      <c r="F1366" t="s">
        <v>2368</v>
      </c>
      <c r="I1366" t="s">
        <v>34</v>
      </c>
    </row>
    <row r="1367" spans="1:9" x14ac:dyDescent="0.3">
      <c r="A1367">
        <v>2</v>
      </c>
      <c r="B1367">
        <v>1</v>
      </c>
      <c r="C1367">
        <v>1</v>
      </c>
      <c r="D1367">
        <v>6</v>
      </c>
      <c r="E1367" t="s">
        <v>9</v>
      </c>
      <c r="F1367" t="s">
        <v>2369</v>
      </c>
      <c r="G1367" t="s">
        <v>2370</v>
      </c>
      <c r="H1367">
        <v>3.6669999999999998</v>
      </c>
      <c r="I1367" t="s">
        <v>12</v>
      </c>
    </row>
    <row r="1368" spans="1:9" x14ac:dyDescent="0.3">
      <c r="A1368">
        <v>2</v>
      </c>
      <c r="B1368">
        <v>1</v>
      </c>
      <c r="C1368">
        <v>1</v>
      </c>
      <c r="D1368">
        <v>6</v>
      </c>
      <c r="E1368" t="s">
        <v>9</v>
      </c>
      <c r="F1368" t="s">
        <v>2371</v>
      </c>
      <c r="G1368" t="s">
        <v>2372</v>
      </c>
      <c r="H1368">
        <v>6</v>
      </c>
      <c r="I1368" t="s">
        <v>12</v>
      </c>
    </row>
    <row r="1369" spans="1:9" x14ac:dyDescent="0.3">
      <c r="A1369">
        <v>2</v>
      </c>
      <c r="B1369">
        <v>1</v>
      </c>
      <c r="C1369">
        <v>1</v>
      </c>
      <c r="D1369">
        <v>6</v>
      </c>
      <c r="E1369" t="s">
        <v>19</v>
      </c>
      <c r="F1369" t="s">
        <v>2373</v>
      </c>
      <c r="I1369" t="s">
        <v>21</v>
      </c>
    </row>
    <row r="1370" spans="1:9" x14ac:dyDescent="0.3">
      <c r="A1370">
        <v>2</v>
      </c>
      <c r="B1370">
        <v>1</v>
      </c>
      <c r="C1370">
        <v>1</v>
      </c>
      <c r="D1370">
        <v>7</v>
      </c>
      <c r="E1370" t="s">
        <v>22</v>
      </c>
      <c r="F1370" t="s">
        <v>2374</v>
      </c>
      <c r="G1370" t="s">
        <v>2375</v>
      </c>
      <c r="H1370">
        <v>3.0859999999999999</v>
      </c>
      <c r="I1370" t="s">
        <v>21</v>
      </c>
    </row>
    <row r="1371" spans="1:9" x14ac:dyDescent="0.3">
      <c r="A1371">
        <v>2</v>
      </c>
      <c r="B1371">
        <v>1</v>
      </c>
      <c r="C1371">
        <v>1</v>
      </c>
      <c r="D1371">
        <v>7</v>
      </c>
      <c r="E1371" t="s">
        <v>22</v>
      </c>
      <c r="F1371" t="s">
        <v>2376</v>
      </c>
      <c r="G1371" t="s">
        <v>2377</v>
      </c>
      <c r="H1371">
        <v>1.667</v>
      </c>
      <c r="I1371" t="s">
        <v>21</v>
      </c>
    </row>
    <row r="1372" spans="1:9" x14ac:dyDescent="0.3">
      <c r="A1372">
        <v>2</v>
      </c>
      <c r="B1372">
        <v>1</v>
      </c>
      <c r="C1372">
        <v>1</v>
      </c>
      <c r="D1372">
        <v>7</v>
      </c>
      <c r="E1372" t="s">
        <v>9</v>
      </c>
      <c r="F1372" t="s">
        <v>2378</v>
      </c>
      <c r="G1372" t="s">
        <v>2379</v>
      </c>
      <c r="H1372">
        <v>5.968</v>
      </c>
      <c r="I1372" t="s">
        <v>12</v>
      </c>
    </row>
    <row r="1373" spans="1:9" x14ac:dyDescent="0.3">
      <c r="A1373">
        <v>2</v>
      </c>
      <c r="B1373">
        <v>1</v>
      </c>
      <c r="C1373">
        <v>1</v>
      </c>
      <c r="D1373">
        <v>7</v>
      </c>
      <c r="E1373" t="s">
        <v>9</v>
      </c>
      <c r="F1373" t="s">
        <v>2380</v>
      </c>
      <c r="G1373" t="s">
        <v>2381</v>
      </c>
      <c r="H1373">
        <v>8.3330000000000002</v>
      </c>
      <c r="I1373" t="s">
        <v>12</v>
      </c>
    </row>
    <row r="1374" spans="1:9" x14ac:dyDescent="0.3">
      <c r="A1374">
        <v>2</v>
      </c>
      <c r="B1374">
        <v>1</v>
      </c>
      <c r="C1374">
        <v>1</v>
      </c>
      <c r="D1374">
        <v>7</v>
      </c>
      <c r="E1374" t="s">
        <v>19</v>
      </c>
      <c r="F1374" t="s">
        <v>2382</v>
      </c>
      <c r="I1374" t="s">
        <v>34</v>
      </c>
    </row>
    <row r="1375" spans="1:9" x14ac:dyDescent="0.3">
      <c r="A1375">
        <v>2</v>
      </c>
      <c r="B1375">
        <v>1</v>
      </c>
      <c r="C1375">
        <v>1</v>
      </c>
      <c r="D1375">
        <v>8</v>
      </c>
      <c r="E1375" t="s">
        <v>22</v>
      </c>
      <c r="F1375" t="s">
        <v>2383</v>
      </c>
      <c r="G1375" t="s">
        <v>2384</v>
      </c>
      <c r="H1375">
        <v>3.4529999999999998</v>
      </c>
      <c r="I1375" t="s">
        <v>21</v>
      </c>
    </row>
    <row r="1376" spans="1:9" x14ac:dyDescent="0.3">
      <c r="A1376">
        <v>2</v>
      </c>
      <c r="B1376">
        <v>1</v>
      </c>
      <c r="C1376">
        <v>1</v>
      </c>
      <c r="D1376">
        <v>8</v>
      </c>
      <c r="E1376" t="s">
        <v>9</v>
      </c>
      <c r="F1376" t="s">
        <v>2385</v>
      </c>
      <c r="G1376" t="s">
        <v>2386</v>
      </c>
      <c r="H1376">
        <v>6.0670000000000002</v>
      </c>
      <c r="I1376" t="s">
        <v>12</v>
      </c>
    </row>
    <row r="1377" spans="1:9" x14ac:dyDescent="0.3">
      <c r="A1377">
        <v>2</v>
      </c>
      <c r="B1377">
        <v>1</v>
      </c>
      <c r="C1377">
        <v>1</v>
      </c>
      <c r="D1377">
        <v>8</v>
      </c>
      <c r="E1377" t="s">
        <v>22</v>
      </c>
      <c r="F1377" t="s">
        <v>2387</v>
      </c>
      <c r="G1377" t="s">
        <v>2388</v>
      </c>
      <c r="H1377">
        <v>2.5390000000000001</v>
      </c>
      <c r="I1377" t="s">
        <v>21</v>
      </c>
    </row>
    <row r="1378" spans="1:9" x14ac:dyDescent="0.3">
      <c r="A1378">
        <v>2</v>
      </c>
      <c r="B1378">
        <v>1</v>
      </c>
      <c r="C1378">
        <v>1</v>
      </c>
      <c r="D1378">
        <v>8</v>
      </c>
      <c r="E1378" t="s">
        <v>9</v>
      </c>
      <c r="F1378" t="s">
        <v>2389</v>
      </c>
      <c r="G1378" t="s">
        <v>2390</v>
      </c>
      <c r="H1378">
        <v>4.601</v>
      </c>
      <c r="I1378" t="s">
        <v>12</v>
      </c>
    </row>
    <row r="1379" spans="1:9" x14ac:dyDescent="0.3">
      <c r="A1379">
        <v>2</v>
      </c>
      <c r="B1379">
        <v>1</v>
      </c>
      <c r="C1379">
        <v>1</v>
      </c>
      <c r="D1379">
        <v>8</v>
      </c>
      <c r="E1379" t="s">
        <v>9</v>
      </c>
      <c r="F1379" t="s">
        <v>2391</v>
      </c>
      <c r="G1379" t="s">
        <v>2392</v>
      </c>
      <c r="H1379">
        <v>9.1340000000000003</v>
      </c>
      <c r="I1379" t="s">
        <v>12</v>
      </c>
    </row>
    <row r="1380" spans="1:9" x14ac:dyDescent="0.3">
      <c r="A1380">
        <v>2</v>
      </c>
      <c r="B1380">
        <v>1</v>
      </c>
      <c r="C1380">
        <v>1</v>
      </c>
      <c r="D1380">
        <v>8</v>
      </c>
      <c r="E1380" t="s">
        <v>9</v>
      </c>
      <c r="F1380" t="s">
        <v>2393</v>
      </c>
      <c r="G1380" t="s">
        <v>2394</v>
      </c>
      <c r="H1380">
        <v>7.2670000000000003</v>
      </c>
      <c r="I1380" t="s">
        <v>12</v>
      </c>
    </row>
    <row r="1381" spans="1:9" x14ac:dyDescent="0.3">
      <c r="A1381">
        <v>2</v>
      </c>
      <c r="B1381">
        <v>1</v>
      </c>
      <c r="C1381">
        <v>1</v>
      </c>
      <c r="D1381">
        <v>8</v>
      </c>
      <c r="E1381" t="s">
        <v>19</v>
      </c>
      <c r="F1381" t="s">
        <v>2395</v>
      </c>
      <c r="I1381" t="s">
        <v>21</v>
      </c>
    </row>
    <row r="1382" spans="1:9" x14ac:dyDescent="0.3">
      <c r="A1382">
        <v>2</v>
      </c>
      <c r="B1382">
        <v>1</v>
      </c>
      <c r="C1382">
        <v>1</v>
      </c>
      <c r="D1382">
        <v>9</v>
      </c>
      <c r="E1382" t="s">
        <v>22</v>
      </c>
      <c r="F1382" t="s">
        <v>2396</v>
      </c>
      <c r="G1382" t="s">
        <v>2397</v>
      </c>
      <c r="H1382">
        <v>1.153</v>
      </c>
      <c r="I1382" t="s">
        <v>21</v>
      </c>
    </row>
    <row r="1383" spans="1:9" x14ac:dyDescent="0.3">
      <c r="A1383">
        <v>2</v>
      </c>
      <c r="B1383">
        <v>1</v>
      </c>
      <c r="C1383">
        <v>1</v>
      </c>
      <c r="D1383">
        <v>9</v>
      </c>
      <c r="E1383" t="s">
        <v>22</v>
      </c>
      <c r="F1383" t="s">
        <v>2398</v>
      </c>
      <c r="G1383" t="s">
        <v>2399</v>
      </c>
      <c r="H1383">
        <v>1.0009999999999999</v>
      </c>
      <c r="I1383" t="s">
        <v>21</v>
      </c>
    </row>
    <row r="1384" spans="1:9" x14ac:dyDescent="0.3">
      <c r="A1384">
        <v>2</v>
      </c>
      <c r="B1384">
        <v>1</v>
      </c>
      <c r="C1384">
        <v>1</v>
      </c>
      <c r="D1384">
        <v>9</v>
      </c>
      <c r="E1384" t="s">
        <v>9</v>
      </c>
      <c r="F1384" t="s">
        <v>2400</v>
      </c>
      <c r="G1384" t="s">
        <v>2401</v>
      </c>
      <c r="H1384">
        <v>3.5670000000000002</v>
      </c>
      <c r="I1384" t="s">
        <v>12</v>
      </c>
    </row>
    <row r="1385" spans="1:9" x14ac:dyDescent="0.3">
      <c r="A1385">
        <v>2</v>
      </c>
      <c r="B1385">
        <v>1</v>
      </c>
      <c r="C1385">
        <v>1</v>
      </c>
      <c r="D1385">
        <v>9</v>
      </c>
      <c r="E1385" t="s">
        <v>19</v>
      </c>
      <c r="F1385" t="s">
        <v>2402</v>
      </c>
      <c r="I1385" t="s">
        <v>21</v>
      </c>
    </row>
    <row r="1386" spans="1:9" x14ac:dyDescent="0.3">
      <c r="A1386">
        <v>2</v>
      </c>
      <c r="B1386">
        <v>1</v>
      </c>
      <c r="C1386">
        <v>1</v>
      </c>
      <c r="D1386">
        <v>9</v>
      </c>
      <c r="E1386" t="s">
        <v>9</v>
      </c>
      <c r="F1386" t="s">
        <v>2403</v>
      </c>
      <c r="G1386" t="s">
        <v>2404</v>
      </c>
      <c r="H1386">
        <v>3.3330000000000002</v>
      </c>
      <c r="I1386" t="s">
        <v>12</v>
      </c>
    </row>
    <row r="1387" spans="1:9" x14ac:dyDescent="0.3">
      <c r="A1387">
        <v>2</v>
      </c>
      <c r="B1387">
        <v>1</v>
      </c>
      <c r="C1387">
        <v>1</v>
      </c>
      <c r="D1387">
        <v>9</v>
      </c>
      <c r="E1387" t="s">
        <v>9</v>
      </c>
      <c r="F1387" t="s">
        <v>2405</v>
      </c>
      <c r="G1387" t="s">
        <v>2406</v>
      </c>
      <c r="H1387">
        <v>3.4670000000000001</v>
      </c>
      <c r="I1387" t="s">
        <v>12</v>
      </c>
    </row>
    <row r="1388" spans="1:9" x14ac:dyDescent="0.3">
      <c r="A1388">
        <v>2</v>
      </c>
      <c r="B1388">
        <v>1</v>
      </c>
      <c r="C1388">
        <v>1</v>
      </c>
      <c r="D1388">
        <v>9</v>
      </c>
      <c r="E1388" t="s">
        <v>9</v>
      </c>
      <c r="F1388" t="s">
        <v>2407</v>
      </c>
      <c r="G1388" t="s">
        <v>2408</v>
      </c>
      <c r="H1388">
        <v>3.6669999999999998</v>
      </c>
      <c r="I1388" t="s">
        <v>12</v>
      </c>
    </row>
    <row r="1389" spans="1:9" x14ac:dyDescent="0.3">
      <c r="A1389">
        <v>2</v>
      </c>
      <c r="B1389">
        <v>1</v>
      </c>
      <c r="C1389">
        <v>1</v>
      </c>
      <c r="D1389">
        <v>9</v>
      </c>
      <c r="E1389" t="s">
        <v>19</v>
      </c>
      <c r="F1389" t="s">
        <v>2409</v>
      </c>
      <c r="I1389" t="s">
        <v>21</v>
      </c>
    </row>
    <row r="1390" spans="1:9" x14ac:dyDescent="0.3">
      <c r="A1390">
        <v>2</v>
      </c>
      <c r="B1390">
        <v>1</v>
      </c>
      <c r="C1390">
        <v>2</v>
      </c>
      <c r="D1390">
        <v>1</v>
      </c>
      <c r="E1390" t="s">
        <v>9</v>
      </c>
      <c r="F1390" t="s">
        <v>2410</v>
      </c>
      <c r="H1390" t="s">
        <v>81</v>
      </c>
      <c r="I1390" t="s">
        <v>34</v>
      </c>
    </row>
    <row r="1391" spans="1:9" x14ac:dyDescent="0.3">
      <c r="A1391">
        <v>2</v>
      </c>
      <c r="B1391">
        <v>1</v>
      </c>
      <c r="C1391">
        <v>2</v>
      </c>
      <c r="D1391">
        <v>2</v>
      </c>
      <c r="E1391" t="s">
        <v>9</v>
      </c>
      <c r="F1391" t="s">
        <v>2411</v>
      </c>
      <c r="G1391" t="s">
        <v>2412</v>
      </c>
      <c r="H1391">
        <v>3.22</v>
      </c>
      <c r="I1391" t="s">
        <v>12</v>
      </c>
    </row>
    <row r="1392" spans="1:9" x14ac:dyDescent="0.3">
      <c r="A1392">
        <v>2</v>
      </c>
      <c r="B1392">
        <v>1</v>
      </c>
      <c r="C1392">
        <v>2</v>
      </c>
      <c r="D1392">
        <v>2</v>
      </c>
      <c r="E1392" t="s">
        <v>22</v>
      </c>
      <c r="F1392" t="s">
        <v>2413</v>
      </c>
      <c r="G1392" t="s">
        <v>2414</v>
      </c>
      <c r="H1392">
        <v>2.101</v>
      </c>
      <c r="I1392" t="s">
        <v>21</v>
      </c>
    </row>
    <row r="1393" spans="1:9" x14ac:dyDescent="0.3">
      <c r="A1393">
        <v>2</v>
      </c>
      <c r="B1393">
        <v>1</v>
      </c>
      <c r="C1393">
        <v>2</v>
      </c>
      <c r="D1393">
        <v>2</v>
      </c>
      <c r="E1393" t="s">
        <v>9</v>
      </c>
      <c r="F1393" t="s">
        <v>2415</v>
      </c>
      <c r="G1393" t="s">
        <v>2416</v>
      </c>
      <c r="H1393">
        <v>4.7530000000000001</v>
      </c>
      <c r="I1393" t="s">
        <v>12</v>
      </c>
    </row>
    <row r="1394" spans="1:9" x14ac:dyDescent="0.3">
      <c r="A1394">
        <v>2</v>
      </c>
      <c r="B1394">
        <v>1</v>
      </c>
      <c r="C1394">
        <v>2</v>
      </c>
      <c r="D1394">
        <v>2</v>
      </c>
      <c r="E1394" t="s">
        <v>22</v>
      </c>
      <c r="F1394" t="s">
        <v>2417</v>
      </c>
      <c r="G1394" t="s">
        <v>2418</v>
      </c>
      <c r="H1394">
        <v>1.3680000000000001</v>
      </c>
      <c r="I1394" t="s">
        <v>21</v>
      </c>
    </row>
    <row r="1395" spans="1:9" x14ac:dyDescent="0.3">
      <c r="A1395">
        <v>2</v>
      </c>
      <c r="B1395">
        <v>1</v>
      </c>
      <c r="C1395">
        <v>2</v>
      </c>
      <c r="D1395">
        <v>2</v>
      </c>
      <c r="E1395" t="s">
        <v>9</v>
      </c>
      <c r="F1395" t="s">
        <v>5364</v>
      </c>
      <c r="G1395" t="s">
        <v>5365</v>
      </c>
      <c r="H1395">
        <v>2.702</v>
      </c>
      <c r="I1395" t="s">
        <v>12</v>
      </c>
    </row>
    <row r="1396" spans="1:9" x14ac:dyDescent="0.3">
      <c r="A1396">
        <v>30</v>
      </c>
      <c r="B1396">
        <v>1</v>
      </c>
      <c r="C1396">
        <v>1</v>
      </c>
      <c r="D1396">
        <v>1</v>
      </c>
      <c r="E1396" t="s">
        <v>9</v>
      </c>
      <c r="F1396" t="s">
        <v>2419</v>
      </c>
      <c r="G1396" t="s">
        <v>2420</v>
      </c>
      <c r="H1396">
        <v>3.8519999999999999</v>
      </c>
      <c r="I1396" t="s">
        <v>12</v>
      </c>
    </row>
    <row r="1397" spans="1:9" x14ac:dyDescent="0.3">
      <c r="A1397">
        <v>30</v>
      </c>
      <c r="B1397">
        <v>1</v>
      </c>
      <c r="C1397">
        <v>1</v>
      </c>
      <c r="D1397">
        <v>2</v>
      </c>
      <c r="E1397" t="s">
        <v>9</v>
      </c>
      <c r="F1397" t="s">
        <v>2421</v>
      </c>
      <c r="G1397" t="s">
        <v>2422</v>
      </c>
      <c r="H1397">
        <v>4.319</v>
      </c>
      <c r="I1397" t="s">
        <v>12</v>
      </c>
    </row>
    <row r="1398" spans="1:9" x14ac:dyDescent="0.3">
      <c r="A1398">
        <v>30</v>
      </c>
      <c r="B1398">
        <v>1</v>
      </c>
      <c r="C1398">
        <v>1</v>
      </c>
      <c r="D1398">
        <v>2</v>
      </c>
      <c r="E1398" t="s">
        <v>9</v>
      </c>
      <c r="F1398" t="s">
        <v>2423</v>
      </c>
      <c r="G1398" t="s">
        <v>2424</v>
      </c>
      <c r="H1398">
        <v>3.968</v>
      </c>
      <c r="I1398" t="s">
        <v>12</v>
      </c>
    </row>
    <row r="1399" spans="1:9" x14ac:dyDescent="0.3">
      <c r="A1399">
        <v>30</v>
      </c>
      <c r="B1399">
        <v>1</v>
      </c>
      <c r="C1399">
        <v>1</v>
      </c>
      <c r="D1399">
        <v>2</v>
      </c>
      <c r="E1399" t="s">
        <v>9</v>
      </c>
      <c r="F1399" t="s">
        <v>2425</v>
      </c>
      <c r="G1399" t="s">
        <v>2426</v>
      </c>
      <c r="H1399">
        <v>2.734</v>
      </c>
      <c r="I1399" t="s">
        <v>12</v>
      </c>
    </row>
    <row r="1400" spans="1:9" x14ac:dyDescent="0.3">
      <c r="A1400">
        <v>30</v>
      </c>
      <c r="B1400">
        <v>1</v>
      </c>
      <c r="C1400">
        <v>1</v>
      </c>
      <c r="D1400">
        <v>2</v>
      </c>
      <c r="E1400" t="s">
        <v>22</v>
      </c>
      <c r="F1400" t="s">
        <v>2427</v>
      </c>
      <c r="G1400" t="s">
        <v>2428</v>
      </c>
      <c r="H1400">
        <v>1.9339999999999999</v>
      </c>
      <c r="I1400" t="s">
        <v>21</v>
      </c>
    </row>
    <row r="1401" spans="1:9" x14ac:dyDescent="0.3">
      <c r="A1401">
        <v>30</v>
      </c>
      <c r="B1401">
        <v>1</v>
      </c>
      <c r="C1401">
        <v>1</v>
      </c>
      <c r="D1401">
        <v>2</v>
      </c>
      <c r="E1401" t="s">
        <v>9</v>
      </c>
      <c r="F1401" t="s">
        <v>2429</v>
      </c>
      <c r="G1401" t="s">
        <v>2430</v>
      </c>
      <c r="H1401">
        <v>4.0010000000000003</v>
      </c>
      <c r="I1401" t="s">
        <v>12</v>
      </c>
    </row>
    <row r="1402" spans="1:9" x14ac:dyDescent="0.3">
      <c r="A1402">
        <v>30</v>
      </c>
      <c r="B1402">
        <v>1</v>
      </c>
      <c r="C1402">
        <v>1</v>
      </c>
      <c r="D1402">
        <v>2</v>
      </c>
      <c r="E1402" t="s">
        <v>19</v>
      </c>
      <c r="F1402" t="s">
        <v>2431</v>
      </c>
      <c r="I1402" t="s">
        <v>21</v>
      </c>
    </row>
    <row r="1403" spans="1:9" x14ac:dyDescent="0.3">
      <c r="A1403">
        <v>30</v>
      </c>
      <c r="B1403">
        <v>1</v>
      </c>
      <c r="C1403">
        <v>1</v>
      </c>
      <c r="D1403">
        <v>2</v>
      </c>
      <c r="E1403" t="s">
        <v>22</v>
      </c>
      <c r="F1403" t="s">
        <v>2432</v>
      </c>
      <c r="G1403" t="s">
        <v>2433</v>
      </c>
      <c r="H1403">
        <v>3.0009999999999999</v>
      </c>
      <c r="I1403" t="s">
        <v>21</v>
      </c>
    </row>
    <row r="1404" spans="1:9" x14ac:dyDescent="0.3">
      <c r="A1404">
        <v>30</v>
      </c>
      <c r="B1404">
        <v>1</v>
      </c>
      <c r="C1404">
        <v>1</v>
      </c>
      <c r="D1404">
        <v>2</v>
      </c>
      <c r="E1404" t="s">
        <v>19</v>
      </c>
      <c r="F1404" t="s">
        <v>2434</v>
      </c>
      <c r="I1404" t="s">
        <v>21</v>
      </c>
    </row>
    <row r="1405" spans="1:9" x14ac:dyDescent="0.3">
      <c r="A1405">
        <v>30</v>
      </c>
      <c r="B1405">
        <v>1</v>
      </c>
      <c r="C1405">
        <v>2</v>
      </c>
      <c r="D1405">
        <v>1</v>
      </c>
      <c r="E1405" t="s">
        <v>9</v>
      </c>
      <c r="F1405" t="s">
        <v>2435</v>
      </c>
      <c r="G1405" t="s">
        <v>2436</v>
      </c>
      <c r="H1405">
        <v>3.653</v>
      </c>
      <c r="I1405" t="s">
        <v>12</v>
      </c>
    </row>
    <row r="1406" spans="1:9" x14ac:dyDescent="0.3">
      <c r="A1406">
        <v>30</v>
      </c>
      <c r="B1406">
        <v>1</v>
      </c>
      <c r="C1406">
        <v>2</v>
      </c>
      <c r="D1406">
        <v>1</v>
      </c>
      <c r="E1406" t="s">
        <v>19</v>
      </c>
      <c r="F1406" t="s">
        <v>2437</v>
      </c>
      <c r="I1406" t="s">
        <v>21</v>
      </c>
    </row>
    <row r="1407" spans="1:9" x14ac:dyDescent="0.3">
      <c r="A1407">
        <v>30</v>
      </c>
      <c r="B1407">
        <v>1</v>
      </c>
      <c r="C1407">
        <v>2</v>
      </c>
      <c r="D1407">
        <v>1</v>
      </c>
      <c r="E1407" t="s">
        <v>22</v>
      </c>
      <c r="F1407" t="s">
        <v>2438</v>
      </c>
      <c r="G1407" t="s">
        <v>2439</v>
      </c>
      <c r="H1407">
        <v>1.9670000000000001</v>
      </c>
      <c r="I1407" t="s">
        <v>21</v>
      </c>
    </row>
    <row r="1408" spans="1:9" x14ac:dyDescent="0.3">
      <c r="A1408">
        <v>30</v>
      </c>
      <c r="B1408">
        <v>1</v>
      </c>
      <c r="C1408">
        <v>2</v>
      </c>
      <c r="D1408">
        <v>1</v>
      </c>
      <c r="E1408" t="s">
        <v>9</v>
      </c>
      <c r="F1408" t="s">
        <v>2440</v>
      </c>
      <c r="G1408" t="s">
        <v>2441</v>
      </c>
      <c r="H1408">
        <v>4.8010000000000002</v>
      </c>
      <c r="I1408" t="s">
        <v>12</v>
      </c>
    </row>
    <row r="1409" spans="1:9" x14ac:dyDescent="0.3">
      <c r="A1409">
        <v>30</v>
      </c>
      <c r="B1409">
        <v>1</v>
      </c>
      <c r="C1409">
        <v>2</v>
      </c>
      <c r="D1409">
        <v>1</v>
      </c>
      <c r="E1409" t="s">
        <v>9</v>
      </c>
      <c r="F1409" t="s">
        <v>2442</v>
      </c>
      <c r="G1409" t="s">
        <v>2443</v>
      </c>
      <c r="H1409">
        <v>3.9670000000000001</v>
      </c>
      <c r="I1409" t="s">
        <v>12</v>
      </c>
    </row>
    <row r="1410" spans="1:9" x14ac:dyDescent="0.3">
      <c r="A1410">
        <v>30</v>
      </c>
      <c r="B1410">
        <v>1</v>
      </c>
      <c r="C1410">
        <v>2</v>
      </c>
      <c r="D1410">
        <v>1</v>
      </c>
      <c r="E1410" t="s">
        <v>19</v>
      </c>
      <c r="F1410" t="s">
        <v>2444</v>
      </c>
      <c r="I1410" t="s">
        <v>21</v>
      </c>
    </row>
    <row r="1411" spans="1:9" x14ac:dyDescent="0.3">
      <c r="A1411">
        <v>30</v>
      </c>
      <c r="B1411">
        <v>1</v>
      </c>
      <c r="C1411">
        <v>2</v>
      </c>
      <c r="D1411">
        <v>1</v>
      </c>
      <c r="E1411" t="s">
        <v>22</v>
      </c>
      <c r="F1411" t="s">
        <v>2445</v>
      </c>
      <c r="G1411" t="s">
        <v>2446</v>
      </c>
      <c r="H1411">
        <v>2.0680000000000001</v>
      </c>
      <c r="I1411" t="s">
        <v>21</v>
      </c>
    </row>
    <row r="1412" spans="1:9" x14ac:dyDescent="0.3">
      <c r="A1412">
        <v>30</v>
      </c>
      <c r="B1412">
        <v>1</v>
      </c>
      <c r="C1412">
        <v>2</v>
      </c>
      <c r="D1412">
        <v>1</v>
      </c>
      <c r="E1412" t="s">
        <v>9</v>
      </c>
      <c r="F1412" t="s">
        <v>2447</v>
      </c>
      <c r="G1412" t="s">
        <v>2448</v>
      </c>
      <c r="H1412">
        <v>3.0680000000000001</v>
      </c>
      <c r="I1412" t="s">
        <v>12</v>
      </c>
    </row>
    <row r="1413" spans="1:9" x14ac:dyDescent="0.3">
      <c r="A1413">
        <v>30</v>
      </c>
      <c r="B1413">
        <v>1</v>
      </c>
      <c r="C1413">
        <v>2</v>
      </c>
      <c r="D1413">
        <v>1</v>
      </c>
      <c r="E1413" t="s">
        <v>19</v>
      </c>
      <c r="F1413" t="s">
        <v>2449</v>
      </c>
      <c r="I1413" t="s">
        <v>21</v>
      </c>
    </row>
    <row r="1414" spans="1:9" x14ac:dyDescent="0.3">
      <c r="A1414">
        <v>30</v>
      </c>
      <c r="B1414">
        <v>1</v>
      </c>
      <c r="C1414">
        <v>2</v>
      </c>
      <c r="D1414">
        <v>1</v>
      </c>
      <c r="E1414" t="s">
        <v>19</v>
      </c>
      <c r="F1414" t="s">
        <v>2450</v>
      </c>
      <c r="I1414" t="s">
        <v>21</v>
      </c>
    </row>
    <row r="1415" spans="1:9" x14ac:dyDescent="0.3">
      <c r="A1415">
        <v>30</v>
      </c>
      <c r="B1415">
        <v>1</v>
      </c>
      <c r="C1415">
        <v>3</v>
      </c>
      <c r="D1415">
        <v>1</v>
      </c>
      <c r="E1415" t="s">
        <v>9</v>
      </c>
      <c r="F1415" t="s">
        <v>2451</v>
      </c>
      <c r="G1415" t="s">
        <v>2452</v>
      </c>
      <c r="H1415">
        <v>2.9529999999999998</v>
      </c>
      <c r="I1415" t="s">
        <v>12</v>
      </c>
    </row>
    <row r="1416" spans="1:9" x14ac:dyDescent="0.3">
      <c r="A1416">
        <v>30</v>
      </c>
      <c r="B1416">
        <v>1</v>
      </c>
      <c r="C1416">
        <v>3</v>
      </c>
      <c r="D1416">
        <v>1</v>
      </c>
      <c r="E1416" t="s">
        <v>22</v>
      </c>
      <c r="F1416" t="s">
        <v>2453</v>
      </c>
      <c r="G1416" t="s">
        <v>2454</v>
      </c>
      <c r="H1416">
        <v>1.9339999999999999</v>
      </c>
      <c r="I1416" t="s">
        <v>21</v>
      </c>
    </row>
    <row r="1417" spans="1:9" x14ac:dyDescent="0.3">
      <c r="A1417">
        <v>30</v>
      </c>
      <c r="B1417">
        <v>1</v>
      </c>
      <c r="C1417">
        <v>3</v>
      </c>
      <c r="D1417">
        <v>1</v>
      </c>
      <c r="E1417" t="s">
        <v>9</v>
      </c>
      <c r="F1417" t="s">
        <v>2455</v>
      </c>
      <c r="G1417" t="s">
        <v>2456</v>
      </c>
      <c r="H1417">
        <v>5.5019999999999998</v>
      </c>
      <c r="I1417" t="s">
        <v>12</v>
      </c>
    </row>
    <row r="1418" spans="1:9" x14ac:dyDescent="0.3">
      <c r="A1418">
        <v>30</v>
      </c>
      <c r="B1418">
        <v>1</v>
      </c>
      <c r="C1418">
        <v>3</v>
      </c>
      <c r="D1418">
        <v>1</v>
      </c>
      <c r="E1418" t="s">
        <v>9</v>
      </c>
      <c r="F1418" t="s">
        <v>2457</v>
      </c>
      <c r="G1418" t="s">
        <v>2458</v>
      </c>
      <c r="H1418">
        <v>3.734</v>
      </c>
      <c r="I1418" t="s">
        <v>12</v>
      </c>
    </row>
    <row r="1419" spans="1:9" x14ac:dyDescent="0.3">
      <c r="A1419">
        <v>30</v>
      </c>
      <c r="B1419">
        <v>1</v>
      </c>
      <c r="C1419">
        <v>3</v>
      </c>
      <c r="D1419">
        <v>1</v>
      </c>
      <c r="E1419" t="s">
        <v>9</v>
      </c>
      <c r="F1419" t="s">
        <v>2459</v>
      </c>
      <c r="G1419" t="s">
        <v>2460</v>
      </c>
      <c r="H1419">
        <v>4.5</v>
      </c>
      <c r="I1419" t="s">
        <v>12</v>
      </c>
    </row>
    <row r="1420" spans="1:9" x14ac:dyDescent="0.3">
      <c r="A1420">
        <v>30</v>
      </c>
      <c r="B1420">
        <v>1</v>
      </c>
      <c r="C1420">
        <v>3</v>
      </c>
      <c r="D1420">
        <v>1</v>
      </c>
      <c r="E1420" t="s">
        <v>19</v>
      </c>
      <c r="F1420" t="s">
        <v>2461</v>
      </c>
      <c r="I1420" t="s">
        <v>34</v>
      </c>
    </row>
    <row r="1421" spans="1:9" x14ac:dyDescent="0.3">
      <c r="A1421">
        <v>30</v>
      </c>
      <c r="B1421">
        <v>1</v>
      </c>
      <c r="C1421">
        <v>3</v>
      </c>
      <c r="D1421">
        <v>2</v>
      </c>
      <c r="E1421" t="s">
        <v>22</v>
      </c>
      <c r="F1421" t="s">
        <v>2462</v>
      </c>
      <c r="G1421" t="s">
        <v>2463</v>
      </c>
      <c r="H1421">
        <v>1.4870000000000001</v>
      </c>
      <c r="I1421" t="s">
        <v>21</v>
      </c>
    </row>
    <row r="1422" spans="1:9" x14ac:dyDescent="0.3">
      <c r="A1422">
        <v>30</v>
      </c>
      <c r="B1422">
        <v>1</v>
      </c>
      <c r="C1422">
        <v>3</v>
      </c>
      <c r="D1422">
        <v>2</v>
      </c>
      <c r="E1422" t="s">
        <v>9</v>
      </c>
      <c r="F1422" t="s">
        <v>2464</v>
      </c>
      <c r="G1422" t="s">
        <v>2465</v>
      </c>
      <c r="H1422">
        <v>2.335</v>
      </c>
      <c r="I1422" t="s">
        <v>12</v>
      </c>
    </row>
    <row r="1423" spans="1:9" x14ac:dyDescent="0.3">
      <c r="A1423">
        <v>30</v>
      </c>
      <c r="B1423">
        <v>1</v>
      </c>
      <c r="C1423">
        <v>3</v>
      </c>
      <c r="D1423">
        <v>2</v>
      </c>
      <c r="E1423" t="s">
        <v>9</v>
      </c>
      <c r="F1423" t="s">
        <v>2466</v>
      </c>
      <c r="G1423" t="s">
        <v>2467</v>
      </c>
      <c r="H1423">
        <v>2.968</v>
      </c>
      <c r="I1423" t="s">
        <v>12</v>
      </c>
    </row>
    <row r="1424" spans="1:9" x14ac:dyDescent="0.3">
      <c r="A1424">
        <v>30</v>
      </c>
      <c r="B1424">
        <v>1</v>
      </c>
      <c r="C1424">
        <v>3</v>
      </c>
      <c r="D1424">
        <v>2</v>
      </c>
      <c r="E1424" t="s">
        <v>9</v>
      </c>
      <c r="F1424" t="s">
        <v>2468</v>
      </c>
      <c r="G1424" t="s">
        <v>2469</v>
      </c>
      <c r="H1424">
        <v>2.4670000000000001</v>
      </c>
      <c r="I1424" t="s">
        <v>12</v>
      </c>
    </row>
    <row r="1425" spans="1:9" x14ac:dyDescent="0.3">
      <c r="A1425">
        <v>30</v>
      </c>
      <c r="B1425">
        <v>1</v>
      </c>
      <c r="C1425">
        <v>3</v>
      </c>
      <c r="D1425">
        <v>2</v>
      </c>
      <c r="E1425" t="s">
        <v>19</v>
      </c>
      <c r="F1425" t="s">
        <v>2470</v>
      </c>
      <c r="I1425" t="s">
        <v>21</v>
      </c>
    </row>
    <row r="1426" spans="1:9" x14ac:dyDescent="0.3">
      <c r="A1426">
        <v>30</v>
      </c>
      <c r="B1426">
        <v>1</v>
      </c>
      <c r="C1426">
        <v>3</v>
      </c>
      <c r="D1426">
        <v>2</v>
      </c>
      <c r="E1426" t="s">
        <v>9</v>
      </c>
      <c r="F1426" t="s">
        <v>2471</v>
      </c>
      <c r="G1426" t="s">
        <v>2472</v>
      </c>
      <c r="H1426">
        <v>2.1339999999999999</v>
      </c>
      <c r="I1426" t="s">
        <v>12</v>
      </c>
    </row>
    <row r="1427" spans="1:9" x14ac:dyDescent="0.3">
      <c r="A1427">
        <v>30</v>
      </c>
      <c r="B1427">
        <v>1</v>
      </c>
      <c r="C1427">
        <v>3</v>
      </c>
      <c r="D1427">
        <v>2</v>
      </c>
      <c r="E1427" t="s">
        <v>22</v>
      </c>
      <c r="F1427" t="s">
        <v>2473</v>
      </c>
      <c r="G1427" t="s">
        <v>2474</v>
      </c>
      <c r="H1427">
        <v>0.93400000000000005</v>
      </c>
      <c r="I1427" t="s">
        <v>21</v>
      </c>
    </row>
    <row r="1428" spans="1:9" x14ac:dyDescent="0.3">
      <c r="A1428">
        <v>30</v>
      </c>
      <c r="B1428">
        <v>1</v>
      </c>
      <c r="C1428">
        <v>3</v>
      </c>
      <c r="D1428">
        <v>2</v>
      </c>
      <c r="E1428" t="s">
        <v>19</v>
      </c>
      <c r="F1428" t="s">
        <v>2475</v>
      </c>
      <c r="I1428" t="s">
        <v>21</v>
      </c>
    </row>
    <row r="1429" spans="1:9" x14ac:dyDescent="0.3">
      <c r="A1429">
        <v>30</v>
      </c>
      <c r="B1429">
        <v>1</v>
      </c>
      <c r="C1429">
        <v>3</v>
      </c>
      <c r="D1429">
        <v>4</v>
      </c>
      <c r="E1429" t="s">
        <v>9</v>
      </c>
      <c r="F1429" t="s">
        <v>2476</v>
      </c>
      <c r="G1429" t="s">
        <v>2477</v>
      </c>
      <c r="H1429">
        <v>3.6190000000000002</v>
      </c>
      <c r="I1429" t="s">
        <v>12</v>
      </c>
    </row>
    <row r="1430" spans="1:9" x14ac:dyDescent="0.3">
      <c r="A1430">
        <v>30</v>
      </c>
      <c r="B1430">
        <v>1</v>
      </c>
      <c r="C1430">
        <v>3</v>
      </c>
      <c r="D1430">
        <v>4</v>
      </c>
      <c r="E1430" t="s">
        <v>9</v>
      </c>
      <c r="F1430" t="s">
        <v>2478</v>
      </c>
      <c r="G1430" t="s">
        <v>2479</v>
      </c>
      <c r="H1430">
        <v>3.75</v>
      </c>
      <c r="I1430" t="s">
        <v>12</v>
      </c>
    </row>
    <row r="1431" spans="1:9" x14ac:dyDescent="0.3">
      <c r="A1431">
        <v>30</v>
      </c>
      <c r="B1431">
        <v>1</v>
      </c>
      <c r="C1431">
        <v>3</v>
      </c>
      <c r="D1431">
        <v>4</v>
      </c>
      <c r="E1431" t="s">
        <v>9</v>
      </c>
      <c r="F1431" t="s">
        <v>2480</v>
      </c>
      <c r="G1431" t="s">
        <v>2481</v>
      </c>
      <c r="H1431">
        <v>2.8479999999999999</v>
      </c>
      <c r="I1431" t="s">
        <v>12</v>
      </c>
    </row>
    <row r="1432" spans="1:9" x14ac:dyDescent="0.3">
      <c r="A1432">
        <v>30</v>
      </c>
      <c r="B1432">
        <v>1</v>
      </c>
      <c r="C1432">
        <v>3</v>
      </c>
      <c r="D1432">
        <v>4</v>
      </c>
      <c r="E1432" t="s">
        <v>9</v>
      </c>
      <c r="F1432" t="s">
        <v>2482</v>
      </c>
      <c r="G1432" t="s">
        <v>2483</v>
      </c>
      <c r="H1432">
        <v>3.1349999999999998</v>
      </c>
      <c r="I1432" t="s">
        <v>12</v>
      </c>
    </row>
    <row r="1433" spans="1:9" x14ac:dyDescent="0.3">
      <c r="A1433">
        <v>30</v>
      </c>
      <c r="B1433">
        <v>1</v>
      </c>
      <c r="C1433">
        <v>3</v>
      </c>
      <c r="D1433">
        <v>4</v>
      </c>
      <c r="E1433" t="s">
        <v>22</v>
      </c>
      <c r="F1433" t="s">
        <v>2484</v>
      </c>
      <c r="G1433" t="s">
        <v>2485</v>
      </c>
      <c r="H1433">
        <v>5.4320000000000004</v>
      </c>
      <c r="I1433" t="s">
        <v>21</v>
      </c>
    </row>
    <row r="1434" spans="1:9" x14ac:dyDescent="0.3">
      <c r="A1434">
        <v>30</v>
      </c>
      <c r="B1434">
        <v>1</v>
      </c>
      <c r="C1434">
        <v>3</v>
      </c>
      <c r="D1434">
        <v>4</v>
      </c>
      <c r="E1434" t="s">
        <v>19</v>
      </c>
      <c r="F1434" t="s">
        <v>2486</v>
      </c>
      <c r="I1434" t="s">
        <v>34</v>
      </c>
    </row>
    <row r="1435" spans="1:9" x14ac:dyDescent="0.3">
      <c r="A1435">
        <v>30</v>
      </c>
      <c r="B1435">
        <v>1</v>
      </c>
      <c r="C1435">
        <v>3</v>
      </c>
      <c r="D1435">
        <v>4</v>
      </c>
      <c r="E1435" t="s">
        <v>22</v>
      </c>
      <c r="F1435" t="s">
        <v>2487</v>
      </c>
      <c r="G1435" t="s">
        <v>2488</v>
      </c>
      <c r="H1435">
        <v>3.04</v>
      </c>
      <c r="I1435" t="s">
        <v>21</v>
      </c>
    </row>
    <row r="1436" spans="1:9" x14ac:dyDescent="0.3">
      <c r="A1436">
        <v>30</v>
      </c>
      <c r="B1436">
        <v>1</v>
      </c>
      <c r="C1436">
        <v>3</v>
      </c>
      <c r="D1436">
        <v>4</v>
      </c>
      <c r="E1436" t="s">
        <v>19</v>
      </c>
      <c r="F1436" t="s">
        <v>2489</v>
      </c>
      <c r="I1436" t="s">
        <v>21</v>
      </c>
    </row>
    <row r="1437" spans="1:9" x14ac:dyDescent="0.3">
      <c r="A1437">
        <v>30</v>
      </c>
      <c r="B1437">
        <v>1</v>
      </c>
      <c r="C1437">
        <v>3</v>
      </c>
      <c r="D1437">
        <v>4</v>
      </c>
      <c r="E1437" t="s">
        <v>19</v>
      </c>
      <c r="F1437" t="s">
        <v>2490</v>
      </c>
      <c r="I1437" t="s">
        <v>21</v>
      </c>
    </row>
    <row r="1438" spans="1:9" x14ac:dyDescent="0.3">
      <c r="A1438">
        <v>30</v>
      </c>
      <c r="B1438">
        <v>1</v>
      </c>
      <c r="C1438">
        <v>3</v>
      </c>
      <c r="D1438">
        <v>4</v>
      </c>
      <c r="E1438" t="s">
        <v>19</v>
      </c>
      <c r="F1438" t="s">
        <v>2491</v>
      </c>
      <c r="I1438" t="s">
        <v>21</v>
      </c>
    </row>
    <row r="1439" spans="1:9" x14ac:dyDescent="0.3">
      <c r="A1439">
        <v>30</v>
      </c>
      <c r="B1439">
        <v>1</v>
      </c>
      <c r="C1439">
        <v>3</v>
      </c>
      <c r="D1439">
        <v>6</v>
      </c>
      <c r="E1439" t="s">
        <v>22</v>
      </c>
      <c r="F1439" t="s">
        <v>2492</v>
      </c>
      <c r="G1439" t="s">
        <v>2493</v>
      </c>
      <c r="H1439">
        <v>2.5760000000000001</v>
      </c>
      <c r="I1439" t="s">
        <v>21</v>
      </c>
    </row>
    <row r="1440" spans="1:9" x14ac:dyDescent="0.3">
      <c r="A1440">
        <v>30</v>
      </c>
      <c r="B1440">
        <v>1</v>
      </c>
      <c r="C1440">
        <v>3</v>
      </c>
      <c r="D1440">
        <v>6</v>
      </c>
      <c r="E1440" t="s">
        <v>22</v>
      </c>
      <c r="F1440" t="s">
        <v>2494</v>
      </c>
      <c r="G1440" t="s">
        <v>2495</v>
      </c>
      <c r="H1440">
        <v>1.204</v>
      </c>
      <c r="I1440" t="s">
        <v>21</v>
      </c>
    </row>
    <row r="1441" spans="1:9" x14ac:dyDescent="0.3">
      <c r="A1441">
        <v>30</v>
      </c>
      <c r="B1441">
        <v>1</v>
      </c>
      <c r="C1441">
        <v>3</v>
      </c>
      <c r="D1441">
        <v>6</v>
      </c>
      <c r="E1441" t="s">
        <v>19</v>
      </c>
      <c r="F1441" t="s">
        <v>2496</v>
      </c>
      <c r="I1441" t="s">
        <v>21</v>
      </c>
    </row>
    <row r="1442" spans="1:9" x14ac:dyDescent="0.3">
      <c r="A1442">
        <v>30</v>
      </c>
      <c r="B1442">
        <v>1</v>
      </c>
      <c r="C1442">
        <v>3</v>
      </c>
      <c r="D1442">
        <v>6</v>
      </c>
      <c r="E1442" t="s">
        <v>22</v>
      </c>
      <c r="F1442" t="s">
        <v>2497</v>
      </c>
      <c r="G1442" t="s">
        <v>2498</v>
      </c>
      <c r="H1442">
        <v>1.2</v>
      </c>
      <c r="I1442" t="s">
        <v>21</v>
      </c>
    </row>
    <row r="1443" spans="1:9" x14ac:dyDescent="0.3">
      <c r="A1443">
        <v>30</v>
      </c>
      <c r="B1443">
        <v>1</v>
      </c>
      <c r="C1443">
        <v>3</v>
      </c>
      <c r="D1443">
        <v>6</v>
      </c>
      <c r="E1443" t="s">
        <v>19</v>
      </c>
      <c r="F1443" t="s">
        <v>2499</v>
      </c>
      <c r="I1443" t="s">
        <v>34</v>
      </c>
    </row>
    <row r="1444" spans="1:9" x14ac:dyDescent="0.3">
      <c r="A1444">
        <v>30</v>
      </c>
      <c r="B1444">
        <v>1</v>
      </c>
      <c r="C1444">
        <v>3</v>
      </c>
      <c r="D1444">
        <v>6</v>
      </c>
      <c r="E1444" t="s">
        <v>19</v>
      </c>
      <c r="F1444" t="s">
        <v>2499</v>
      </c>
      <c r="I1444" t="s">
        <v>34</v>
      </c>
    </row>
    <row r="1445" spans="1:9" x14ac:dyDescent="0.3">
      <c r="A1445">
        <v>30</v>
      </c>
      <c r="B1445">
        <v>1</v>
      </c>
      <c r="C1445">
        <v>3</v>
      </c>
      <c r="D1445">
        <v>6</v>
      </c>
      <c r="E1445" t="s">
        <v>19</v>
      </c>
      <c r="F1445" t="s">
        <v>2500</v>
      </c>
      <c r="I1445" t="s">
        <v>21</v>
      </c>
    </row>
    <row r="1446" spans="1:9" x14ac:dyDescent="0.3">
      <c r="A1446">
        <v>30</v>
      </c>
      <c r="B1446">
        <v>1</v>
      </c>
      <c r="C1446">
        <v>3</v>
      </c>
      <c r="D1446">
        <v>6</v>
      </c>
      <c r="E1446" t="s">
        <v>22</v>
      </c>
      <c r="F1446" t="s">
        <v>2501</v>
      </c>
      <c r="G1446" t="s">
        <v>2502</v>
      </c>
      <c r="H1446">
        <v>1.37</v>
      </c>
      <c r="I1446" t="s">
        <v>21</v>
      </c>
    </row>
    <row r="1447" spans="1:9" x14ac:dyDescent="0.3">
      <c r="A1447">
        <v>30</v>
      </c>
      <c r="B1447">
        <v>1</v>
      </c>
      <c r="C1447">
        <v>3</v>
      </c>
      <c r="D1447">
        <v>6</v>
      </c>
      <c r="E1447" t="s">
        <v>19</v>
      </c>
      <c r="F1447" t="s">
        <v>2503</v>
      </c>
      <c r="I1447" t="s">
        <v>34</v>
      </c>
    </row>
    <row r="1448" spans="1:9" x14ac:dyDescent="0.3">
      <c r="A1448">
        <v>30</v>
      </c>
      <c r="B1448">
        <v>1</v>
      </c>
      <c r="C1448">
        <v>3</v>
      </c>
      <c r="D1448">
        <v>6</v>
      </c>
      <c r="E1448" t="s">
        <v>19</v>
      </c>
      <c r="F1448" t="s">
        <v>2503</v>
      </c>
      <c r="I1448" t="s">
        <v>34</v>
      </c>
    </row>
    <row r="1449" spans="1:9" x14ac:dyDescent="0.3">
      <c r="A1449">
        <v>30</v>
      </c>
      <c r="B1449">
        <v>1</v>
      </c>
      <c r="C1449">
        <v>3</v>
      </c>
      <c r="D1449">
        <v>6</v>
      </c>
      <c r="E1449" t="s">
        <v>19</v>
      </c>
      <c r="F1449" t="s">
        <v>2504</v>
      </c>
      <c r="I1449" t="s">
        <v>21</v>
      </c>
    </row>
    <row r="1450" spans="1:9" x14ac:dyDescent="0.3">
      <c r="A1450">
        <v>30</v>
      </c>
      <c r="B1450">
        <v>1</v>
      </c>
      <c r="C1450">
        <v>3</v>
      </c>
      <c r="D1450">
        <v>6</v>
      </c>
      <c r="E1450" t="s">
        <v>22</v>
      </c>
      <c r="F1450" t="s">
        <v>2505</v>
      </c>
      <c r="G1450" t="s">
        <v>2506</v>
      </c>
      <c r="H1450">
        <v>1.1020000000000001</v>
      </c>
      <c r="I1450" t="s">
        <v>21</v>
      </c>
    </row>
    <row r="1451" spans="1:9" x14ac:dyDescent="0.3">
      <c r="A1451">
        <v>30</v>
      </c>
      <c r="B1451">
        <v>1</v>
      </c>
      <c r="C1451">
        <v>3</v>
      </c>
      <c r="D1451">
        <v>6</v>
      </c>
      <c r="E1451" t="s">
        <v>19</v>
      </c>
      <c r="F1451" t="s">
        <v>2507</v>
      </c>
      <c r="I1451" t="s">
        <v>34</v>
      </c>
    </row>
    <row r="1452" spans="1:9" x14ac:dyDescent="0.3">
      <c r="A1452">
        <v>30</v>
      </c>
      <c r="B1452">
        <v>1</v>
      </c>
      <c r="C1452">
        <v>3</v>
      </c>
      <c r="D1452">
        <v>6</v>
      </c>
      <c r="E1452" t="s">
        <v>19</v>
      </c>
      <c r="F1452" t="s">
        <v>2508</v>
      </c>
      <c r="I1452" t="s">
        <v>34</v>
      </c>
    </row>
    <row r="1453" spans="1:9" x14ac:dyDescent="0.3">
      <c r="A1453">
        <v>30</v>
      </c>
      <c r="B1453">
        <v>1</v>
      </c>
      <c r="C1453">
        <v>3</v>
      </c>
      <c r="D1453">
        <v>6</v>
      </c>
      <c r="E1453" t="s">
        <v>19</v>
      </c>
      <c r="F1453" t="s">
        <v>2509</v>
      </c>
      <c r="I1453" t="s">
        <v>21</v>
      </c>
    </row>
    <row r="1454" spans="1:9" x14ac:dyDescent="0.3">
      <c r="A1454">
        <v>30</v>
      </c>
      <c r="B1454">
        <v>1</v>
      </c>
      <c r="C1454">
        <v>3</v>
      </c>
      <c r="D1454">
        <v>6</v>
      </c>
      <c r="E1454" t="s">
        <v>19</v>
      </c>
      <c r="F1454" t="s">
        <v>2510</v>
      </c>
      <c r="I1454" t="s">
        <v>21</v>
      </c>
    </row>
    <row r="1455" spans="1:9" x14ac:dyDescent="0.3">
      <c r="A1455">
        <v>30</v>
      </c>
      <c r="B1455">
        <v>1</v>
      </c>
      <c r="C1455">
        <v>3</v>
      </c>
      <c r="D1455">
        <v>6</v>
      </c>
      <c r="E1455" t="s">
        <v>9</v>
      </c>
      <c r="F1455" t="s">
        <v>2511</v>
      </c>
      <c r="G1455" t="s">
        <v>2512</v>
      </c>
      <c r="H1455">
        <v>2.169</v>
      </c>
      <c r="I1455" t="s">
        <v>12</v>
      </c>
    </row>
    <row r="1456" spans="1:9" x14ac:dyDescent="0.3">
      <c r="A1456">
        <v>30</v>
      </c>
      <c r="B1456">
        <v>1</v>
      </c>
      <c r="C1456">
        <v>3</v>
      </c>
      <c r="D1456">
        <v>6</v>
      </c>
      <c r="E1456" t="s">
        <v>9</v>
      </c>
      <c r="F1456" t="s">
        <v>2513</v>
      </c>
      <c r="G1456" t="s">
        <v>2514</v>
      </c>
      <c r="H1456">
        <v>1.133</v>
      </c>
      <c r="I1456" t="s">
        <v>12</v>
      </c>
    </row>
    <row r="1457" spans="1:9" x14ac:dyDescent="0.3">
      <c r="A1457">
        <v>30</v>
      </c>
      <c r="B1457">
        <v>3</v>
      </c>
      <c r="C1457">
        <v>1</v>
      </c>
      <c r="D1457">
        <v>2</v>
      </c>
      <c r="E1457" t="s">
        <v>22</v>
      </c>
      <c r="F1457" t="s">
        <v>2515</v>
      </c>
      <c r="G1457" t="s">
        <v>2516</v>
      </c>
      <c r="H1457">
        <v>1.919</v>
      </c>
      <c r="I1457" t="s">
        <v>21</v>
      </c>
    </row>
    <row r="1458" spans="1:9" x14ac:dyDescent="0.3">
      <c r="A1458">
        <v>30</v>
      </c>
      <c r="B1458">
        <v>3</v>
      </c>
      <c r="C1458">
        <v>1</v>
      </c>
      <c r="D1458">
        <v>2</v>
      </c>
      <c r="E1458" t="s">
        <v>22</v>
      </c>
      <c r="F1458" t="s">
        <v>2517</v>
      </c>
      <c r="G1458" t="s">
        <v>2518</v>
      </c>
      <c r="H1458">
        <v>1.167</v>
      </c>
      <c r="I1458" t="s">
        <v>21</v>
      </c>
    </row>
    <row r="1459" spans="1:9" x14ac:dyDescent="0.3">
      <c r="A1459">
        <v>30</v>
      </c>
      <c r="B1459">
        <v>3</v>
      </c>
      <c r="C1459">
        <v>1</v>
      </c>
      <c r="D1459">
        <v>2</v>
      </c>
      <c r="E1459" t="s">
        <v>9</v>
      </c>
      <c r="F1459" t="s">
        <v>2519</v>
      </c>
      <c r="G1459" t="s">
        <v>2520</v>
      </c>
      <c r="H1459">
        <v>3.4340000000000002</v>
      </c>
      <c r="I1459" t="s">
        <v>12</v>
      </c>
    </row>
    <row r="1460" spans="1:9" x14ac:dyDescent="0.3">
      <c r="A1460">
        <v>30</v>
      </c>
      <c r="B1460">
        <v>3</v>
      </c>
      <c r="C1460">
        <v>1</v>
      </c>
      <c r="D1460">
        <v>2</v>
      </c>
      <c r="E1460" t="s">
        <v>19</v>
      </c>
      <c r="F1460" t="s">
        <v>2521</v>
      </c>
      <c r="I1460" t="s">
        <v>21</v>
      </c>
    </row>
    <row r="1461" spans="1:9" x14ac:dyDescent="0.3">
      <c r="A1461">
        <v>30</v>
      </c>
      <c r="B1461">
        <v>3</v>
      </c>
      <c r="C1461">
        <v>1</v>
      </c>
      <c r="D1461">
        <v>2</v>
      </c>
      <c r="E1461" t="s">
        <v>9</v>
      </c>
      <c r="F1461" t="s">
        <v>2522</v>
      </c>
      <c r="G1461" t="s">
        <v>2523</v>
      </c>
      <c r="H1461">
        <v>1.587</v>
      </c>
      <c r="I1461" t="s">
        <v>12</v>
      </c>
    </row>
    <row r="1462" spans="1:9" x14ac:dyDescent="0.3">
      <c r="A1462">
        <v>30</v>
      </c>
      <c r="B1462">
        <v>3</v>
      </c>
      <c r="C1462">
        <v>1</v>
      </c>
      <c r="D1462">
        <v>2</v>
      </c>
      <c r="E1462" t="s">
        <v>9</v>
      </c>
      <c r="F1462" t="s">
        <v>2524</v>
      </c>
      <c r="G1462" t="s">
        <v>2525</v>
      </c>
      <c r="H1462">
        <v>1.9</v>
      </c>
      <c r="I1462" t="s">
        <v>12</v>
      </c>
    </row>
    <row r="1463" spans="1:9" x14ac:dyDescent="0.3">
      <c r="A1463">
        <v>30</v>
      </c>
      <c r="B1463">
        <v>3</v>
      </c>
      <c r="C1463">
        <v>1</v>
      </c>
      <c r="D1463">
        <v>2</v>
      </c>
      <c r="E1463" t="s">
        <v>9</v>
      </c>
      <c r="F1463" t="s">
        <v>2526</v>
      </c>
      <c r="G1463" t="s">
        <v>2527</v>
      </c>
      <c r="H1463">
        <v>1.2010000000000001</v>
      </c>
      <c r="I1463" t="s">
        <v>12</v>
      </c>
    </row>
    <row r="1464" spans="1:9" x14ac:dyDescent="0.3">
      <c r="A1464">
        <v>30</v>
      </c>
      <c r="B1464">
        <v>3</v>
      </c>
      <c r="C1464">
        <v>1</v>
      </c>
      <c r="D1464">
        <v>2</v>
      </c>
      <c r="E1464" t="s">
        <v>19</v>
      </c>
      <c r="F1464" t="s">
        <v>2528</v>
      </c>
      <c r="I1464" t="s">
        <v>21</v>
      </c>
    </row>
    <row r="1465" spans="1:9" x14ac:dyDescent="0.3">
      <c r="A1465">
        <v>30</v>
      </c>
      <c r="B1465">
        <v>3</v>
      </c>
      <c r="C1465">
        <v>2</v>
      </c>
      <c r="D1465">
        <v>1</v>
      </c>
      <c r="E1465" t="s">
        <v>9</v>
      </c>
      <c r="F1465" t="s">
        <v>2529</v>
      </c>
      <c r="G1465" t="s">
        <v>2530</v>
      </c>
      <c r="H1465">
        <v>1.353</v>
      </c>
      <c r="I1465" t="s">
        <v>12</v>
      </c>
    </row>
    <row r="1466" spans="1:9" x14ac:dyDescent="0.3">
      <c r="A1466">
        <v>30</v>
      </c>
      <c r="B1466">
        <v>3</v>
      </c>
      <c r="C1466">
        <v>2</v>
      </c>
      <c r="D1466">
        <v>1</v>
      </c>
      <c r="E1466" t="s">
        <v>19</v>
      </c>
      <c r="F1466" t="s">
        <v>2531</v>
      </c>
      <c r="I1466" t="s">
        <v>21</v>
      </c>
    </row>
    <row r="1467" spans="1:9" x14ac:dyDescent="0.3">
      <c r="A1467">
        <v>30</v>
      </c>
      <c r="B1467">
        <v>3</v>
      </c>
      <c r="C1467">
        <v>2</v>
      </c>
      <c r="D1467">
        <v>1</v>
      </c>
      <c r="E1467" t="s">
        <v>22</v>
      </c>
      <c r="F1467" t="s">
        <v>2532</v>
      </c>
      <c r="G1467" t="s">
        <v>2533</v>
      </c>
      <c r="H1467">
        <v>2.1669999999999998</v>
      </c>
      <c r="I1467" t="s">
        <v>21</v>
      </c>
    </row>
    <row r="1468" spans="1:9" x14ac:dyDescent="0.3">
      <c r="A1468">
        <v>30</v>
      </c>
      <c r="B1468">
        <v>3</v>
      </c>
      <c r="C1468">
        <v>2</v>
      </c>
      <c r="D1468">
        <v>1</v>
      </c>
      <c r="E1468" t="s">
        <v>22</v>
      </c>
      <c r="F1468" t="s">
        <v>2534</v>
      </c>
      <c r="G1468" t="s">
        <v>2535</v>
      </c>
      <c r="H1468">
        <v>1.401</v>
      </c>
      <c r="I1468" t="s">
        <v>21</v>
      </c>
    </row>
    <row r="1469" spans="1:9" x14ac:dyDescent="0.3">
      <c r="A1469">
        <v>30</v>
      </c>
      <c r="B1469">
        <v>3</v>
      </c>
      <c r="C1469">
        <v>2</v>
      </c>
      <c r="D1469">
        <v>1</v>
      </c>
      <c r="E1469" t="s">
        <v>9</v>
      </c>
      <c r="F1469" t="s">
        <v>2536</v>
      </c>
      <c r="G1469" t="s">
        <v>2537</v>
      </c>
      <c r="H1469">
        <v>4.0010000000000003</v>
      </c>
      <c r="I1469" t="s">
        <v>12</v>
      </c>
    </row>
    <row r="1470" spans="1:9" x14ac:dyDescent="0.3">
      <c r="A1470">
        <v>30</v>
      </c>
      <c r="B1470">
        <v>3</v>
      </c>
      <c r="C1470">
        <v>2</v>
      </c>
      <c r="D1470">
        <v>1</v>
      </c>
      <c r="E1470" t="s">
        <v>19</v>
      </c>
      <c r="F1470" t="s">
        <v>2538</v>
      </c>
      <c r="I1470" t="s">
        <v>21</v>
      </c>
    </row>
    <row r="1471" spans="1:9" x14ac:dyDescent="0.3">
      <c r="A1471">
        <v>30</v>
      </c>
      <c r="B1471">
        <v>3</v>
      </c>
      <c r="C1471">
        <v>2</v>
      </c>
      <c r="D1471">
        <v>1</v>
      </c>
      <c r="E1471" t="s">
        <v>9</v>
      </c>
      <c r="F1471" t="s">
        <v>2539</v>
      </c>
      <c r="G1471" t="s">
        <v>2540</v>
      </c>
      <c r="H1471">
        <v>2.9849999999999999</v>
      </c>
      <c r="I1471" t="s">
        <v>12</v>
      </c>
    </row>
    <row r="1472" spans="1:9" x14ac:dyDescent="0.3">
      <c r="A1472">
        <v>30</v>
      </c>
      <c r="B1472">
        <v>3</v>
      </c>
      <c r="C1472">
        <v>2</v>
      </c>
      <c r="D1472">
        <v>1</v>
      </c>
      <c r="E1472" t="s">
        <v>9</v>
      </c>
      <c r="F1472" t="s">
        <v>2541</v>
      </c>
      <c r="G1472" t="s">
        <v>2542</v>
      </c>
      <c r="H1472">
        <v>1.2350000000000001</v>
      </c>
      <c r="I1472" t="s">
        <v>12</v>
      </c>
    </row>
    <row r="1473" spans="1:9" x14ac:dyDescent="0.3">
      <c r="A1473">
        <v>30</v>
      </c>
      <c r="B1473">
        <v>3</v>
      </c>
      <c r="C1473">
        <v>2</v>
      </c>
      <c r="D1473">
        <v>1</v>
      </c>
      <c r="E1473" t="s">
        <v>19</v>
      </c>
      <c r="F1473" t="s">
        <v>2543</v>
      </c>
      <c r="I1473" t="s">
        <v>21</v>
      </c>
    </row>
    <row r="1474" spans="1:9" x14ac:dyDescent="0.3">
      <c r="A1474">
        <v>30</v>
      </c>
      <c r="B1474">
        <v>3</v>
      </c>
      <c r="C1474">
        <v>2</v>
      </c>
      <c r="D1474">
        <v>1</v>
      </c>
      <c r="E1474" t="s">
        <v>19</v>
      </c>
      <c r="F1474" t="s">
        <v>2544</v>
      </c>
      <c r="I1474" t="s">
        <v>21</v>
      </c>
    </row>
    <row r="1475" spans="1:9" x14ac:dyDescent="0.3">
      <c r="A1475">
        <v>30</v>
      </c>
      <c r="B1475">
        <v>3</v>
      </c>
      <c r="C1475">
        <v>3</v>
      </c>
      <c r="D1475">
        <v>1</v>
      </c>
      <c r="E1475" t="s">
        <v>22</v>
      </c>
      <c r="F1475" t="s">
        <v>2545</v>
      </c>
      <c r="G1475" t="s">
        <v>2546</v>
      </c>
      <c r="H1475">
        <v>1.2669999999999999</v>
      </c>
      <c r="I1475" t="s">
        <v>21</v>
      </c>
    </row>
    <row r="1476" spans="1:9" x14ac:dyDescent="0.3">
      <c r="A1476">
        <v>30</v>
      </c>
      <c r="B1476">
        <v>3</v>
      </c>
      <c r="C1476">
        <v>3</v>
      </c>
      <c r="D1476">
        <v>1</v>
      </c>
      <c r="E1476" t="s">
        <v>22</v>
      </c>
      <c r="F1476" t="s">
        <v>2547</v>
      </c>
      <c r="G1476" t="s">
        <v>2548</v>
      </c>
      <c r="H1476">
        <v>1.431</v>
      </c>
      <c r="I1476" t="s">
        <v>21</v>
      </c>
    </row>
    <row r="1477" spans="1:9" x14ac:dyDescent="0.3">
      <c r="A1477">
        <v>30</v>
      </c>
      <c r="B1477">
        <v>3</v>
      </c>
      <c r="C1477">
        <v>3</v>
      </c>
      <c r="D1477">
        <v>1</v>
      </c>
      <c r="E1477" t="s">
        <v>19</v>
      </c>
      <c r="F1477" t="s">
        <v>2549</v>
      </c>
      <c r="I1477" t="s">
        <v>21</v>
      </c>
    </row>
    <row r="1478" spans="1:9" x14ac:dyDescent="0.3">
      <c r="A1478">
        <v>30</v>
      </c>
      <c r="B1478">
        <v>3</v>
      </c>
      <c r="C1478">
        <v>3</v>
      </c>
      <c r="D1478">
        <v>1</v>
      </c>
      <c r="E1478" t="s">
        <v>9</v>
      </c>
      <c r="F1478" t="s">
        <v>2550</v>
      </c>
      <c r="G1478" t="s">
        <v>2551</v>
      </c>
      <c r="H1478">
        <v>4.7</v>
      </c>
      <c r="I1478" t="s">
        <v>12</v>
      </c>
    </row>
    <row r="1479" spans="1:9" x14ac:dyDescent="0.3">
      <c r="A1479">
        <v>30</v>
      </c>
      <c r="B1479">
        <v>3</v>
      </c>
      <c r="C1479">
        <v>3</v>
      </c>
      <c r="D1479">
        <v>1</v>
      </c>
      <c r="E1479" t="s">
        <v>9</v>
      </c>
      <c r="F1479" t="s">
        <v>2552</v>
      </c>
      <c r="G1479" t="s">
        <v>2553</v>
      </c>
      <c r="H1479">
        <v>2.67</v>
      </c>
      <c r="I1479" t="s">
        <v>12</v>
      </c>
    </row>
    <row r="1480" spans="1:9" x14ac:dyDescent="0.3">
      <c r="A1480">
        <v>30</v>
      </c>
      <c r="B1480">
        <v>3</v>
      </c>
      <c r="C1480">
        <v>3</v>
      </c>
      <c r="D1480">
        <v>1</v>
      </c>
      <c r="E1480" t="s">
        <v>9</v>
      </c>
      <c r="F1480" t="s">
        <v>2554</v>
      </c>
      <c r="G1480" t="s">
        <v>2555</v>
      </c>
      <c r="H1480">
        <v>3.4329999999999998</v>
      </c>
      <c r="I1480" t="s">
        <v>12</v>
      </c>
    </row>
    <row r="1481" spans="1:9" x14ac:dyDescent="0.3">
      <c r="A1481">
        <v>30</v>
      </c>
      <c r="B1481">
        <v>3</v>
      </c>
      <c r="C1481">
        <v>3</v>
      </c>
      <c r="D1481">
        <v>1</v>
      </c>
      <c r="E1481" t="s">
        <v>9</v>
      </c>
      <c r="F1481" t="s">
        <v>2556</v>
      </c>
      <c r="G1481" t="s">
        <v>2557</v>
      </c>
      <c r="H1481">
        <v>0.96899999999999997</v>
      </c>
      <c r="I1481" t="s">
        <v>12</v>
      </c>
    </row>
    <row r="1482" spans="1:9" x14ac:dyDescent="0.3">
      <c r="A1482">
        <v>30</v>
      </c>
      <c r="B1482">
        <v>3</v>
      </c>
      <c r="C1482">
        <v>3</v>
      </c>
      <c r="D1482">
        <v>1</v>
      </c>
      <c r="E1482" t="s">
        <v>19</v>
      </c>
      <c r="F1482" t="s">
        <v>2558</v>
      </c>
      <c r="I1482" t="s">
        <v>21</v>
      </c>
    </row>
    <row r="1483" spans="1:9" x14ac:dyDescent="0.3">
      <c r="A1483">
        <v>30</v>
      </c>
      <c r="B1483">
        <v>3</v>
      </c>
      <c r="C1483">
        <v>3</v>
      </c>
      <c r="D1483">
        <v>2</v>
      </c>
      <c r="E1483" t="s">
        <v>22</v>
      </c>
      <c r="F1483" t="s">
        <v>2559</v>
      </c>
      <c r="G1483" t="s">
        <v>2560</v>
      </c>
      <c r="H1483">
        <v>1</v>
      </c>
      <c r="I1483" t="s">
        <v>21</v>
      </c>
    </row>
    <row r="1484" spans="1:9" x14ac:dyDescent="0.3">
      <c r="A1484">
        <v>30</v>
      </c>
      <c r="B1484">
        <v>3</v>
      </c>
      <c r="C1484">
        <v>3</v>
      </c>
      <c r="D1484">
        <v>2</v>
      </c>
      <c r="E1484" t="s">
        <v>22</v>
      </c>
      <c r="F1484" t="s">
        <v>2561</v>
      </c>
      <c r="G1484" t="s">
        <v>2562</v>
      </c>
      <c r="H1484">
        <v>0.30099999999999999</v>
      </c>
      <c r="I1484" t="s">
        <v>21</v>
      </c>
    </row>
    <row r="1485" spans="1:9" x14ac:dyDescent="0.3">
      <c r="A1485">
        <v>30</v>
      </c>
      <c r="B1485">
        <v>3</v>
      </c>
      <c r="C1485">
        <v>3</v>
      </c>
      <c r="D1485">
        <v>2</v>
      </c>
      <c r="E1485" t="s">
        <v>19</v>
      </c>
      <c r="F1485" t="s">
        <v>2563</v>
      </c>
      <c r="I1485" t="s">
        <v>21</v>
      </c>
    </row>
    <row r="1486" spans="1:9" x14ac:dyDescent="0.3">
      <c r="A1486">
        <v>30</v>
      </c>
      <c r="B1486">
        <v>3</v>
      </c>
      <c r="C1486">
        <v>3</v>
      </c>
      <c r="D1486">
        <v>2</v>
      </c>
      <c r="E1486" t="s">
        <v>22</v>
      </c>
      <c r="F1486" t="s">
        <v>2564</v>
      </c>
      <c r="G1486" t="s">
        <v>2565</v>
      </c>
      <c r="H1486">
        <v>0.19500000000000001</v>
      </c>
      <c r="I1486" t="s">
        <v>21</v>
      </c>
    </row>
    <row r="1487" spans="1:9" x14ac:dyDescent="0.3">
      <c r="A1487">
        <v>30</v>
      </c>
      <c r="B1487">
        <v>3</v>
      </c>
      <c r="C1487">
        <v>3</v>
      </c>
      <c r="D1487">
        <v>2</v>
      </c>
      <c r="E1487" t="s">
        <v>19</v>
      </c>
      <c r="F1487" t="s">
        <v>2566</v>
      </c>
      <c r="I1487" t="s">
        <v>34</v>
      </c>
    </row>
    <row r="1488" spans="1:9" x14ac:dyDescent="0.3">
      <c r="A1488">
        <v>30</v>
      </c>
      <c r="B1488">
        <v>3</v>
      </c>
      <c r="C1488">
        <v>3</v>
      </c>
      <c r="D1488">
        <v>2</v>
      </c>
      <c r="E1488" t="s">
        <v>19</v>
      </c>
      <c r="F1488" t="s">
        <v>2566</v>
      </c>
      <c r="I1488" t="s">
        <v>34</v>
      </c>
    </row>
    <row r="1489" spans="1:9" x14ac:dyDescent="0.3">
      <c r="A1489">
        <v>30</v>
      </c>
      <c r="B1489">
        <v>3</v>
      </c>
      <c r="C1489">
        <v>3</v>
      </c>
      <c r="D1489">
        <v>2</v>
      </c>
      <c r="E1489" t="s">
        <v>19</v>
      </c>
      <c r="F1489" t="s">
        <v>2567</v>
      </c>
      <c r="I1489" t="s">
        <v>21</v>
      </c>
    </row>
    <row r="1490" spans="1:9" x14ac:dyDescent="0.3">
      <c r="A1490">
        <v>30</v>
      </c>
      <c r="B1490">
        <v>3</v>
      </c>
      <c r="C1490">
        <v>3</v>
      </c>
      <c r="D1490">
        <v>2</v>
      </c>
      <c r="E1490" t="s">
        <v>22</v>
      </c>
      <c r="F1490" t="s">
        <v>2568</v>
      </c>
      <c r="G1490" t="s">
        <v>2569</v>
      </c>
      <c r="H1490">
        <v>2.3719999999999999</v>
      </c>
      <c r="I1490" t="s">
        <v>21</v>
      </c>
    </row>
    <row r="1491" spans="1:9" x14ac:dyDescent="0.3">
      <c r="A1491">
        <v>30</v>
      </c>
      <c r="B1491">
        <v>3</v>
      </c>
      <c r="C1491">
        <v>3</v>
      </c>
      <c r="D1491">
        <v>2</v>
      </c>
      <c r="E1491" t="s">
        <v>19</v>
      </c>
      <c r="F1491" t="s">
        <v>2570</v>
      </c>
      <c r="I1491" t="s">
        <v>34</v>
      </c>
    </row>
    <row r="1492" spans="1:9" x14ac:dyDescent="0.3">
      <c r="A1492">
        <v>30</v>
      </c>
      <c r="B1492">
        <v>3</v>
      </c>
      <c r="C1492">
        <v>3</v>
      </c>
      <c r="D1492">
        <v>2</v>
      </c>
      <c r="E1492" t="s">
        <v>19</v>
      </c>
      <c r="F1492" t="s">
        <v>2571</v>
      </c>
      <c r="I1492" t="s">
        <v>34</v>
      </c>
    </row>
    <row r="1493" spans="1:9" x14ac:dyDescent="0.3">
      <c r="A1493">
        <v>30</v>
      </c>
      <c r="B1493">
        <v>3</v>
      </c>
      <c r="C1493">
        <v>3</v>
      </c>
      <c r="D1493">
        <v>2</v>
      </c>
      <c r="E1493" t="s">
        <v>19</v>
      </c>
      <c r="F1493" t="s">
        <v>2572</v>
      </c>
      <c r="I1493" t="s">
        <v>21</v>
      </c>
    </row>
    <row r="1494" spans="1:9" x14ac:dyDescent="0.3">
      <c r="A1494">
        <v>30</v>
      </c>
      <c r="B1494">
        <v>3</v>
      </c>
      <c r="C1494">
        <v>3</v>
      </c>
      <c r="D1494">
        <v>2</v>
      </c>
      <c r="E1494" t="s">
        <v>22</v>
      </c>
      <c r="F1494" t="s">
        <v>2573</v>
      </c>
      <c r="G1494" t="s">
        <v>2574</v>
      </c>
      <c r="H1494">
        <v>2.6680000000000001</v>
      </c>
      <c r="I1494" t="s">
        <v>21</v>
      </c>
    </row>
    <row r="1495" spans="1:9" x14ac:dyDescent="0.3">
      <c r="A1495">
        <v>30</v>
      </c>
      <c r="B1495">
        <v>3</v>
      </c>
      <c r="C1495">
        <v>3</v>
      </c>
      <c r="D1495">
        <v>2</v>
      </c>
      <c r="E1495" t="s">
        <v>19</v>
      </c>
      <c r="F1495" t="s">
        <v>2575</v>
      </c>
      <c r="I1495" t="s">
        <v>34</v>
      </c>
    </row>
    <row r="1496" spans="1:9" x14ac:dyDescent="0.3">
      <c r="A1496">
        <v>30</v>
      </c>
      <c r="B1496">
        <v>3</v>
      </c>
      <c r="C1496">
        <v>3</v>
      </c>
      <c r="D1496">
        <v>2</v>
      </c>
      <c r="E1496" t="s">
        <v>19</v>
      </c>
      <c r="F1496" t="s">
        <v>2576</v>
      </c>
      <c r="I1496" t="s">
        <v>34</v>
      </c>
    </row>
    <row r="1497" spans="1:9" x14ac:dyDescent="0.3">
      <c r="A1497">
        <v>30</v>
      </c>
      <c r="B1497">
        <v>3</v>
      </c>
      <c r="C1497">
        <v>3</v>
      </c>
      <c r="D1497">
        <v>2</v>
      </c>
      <c r="E1497" t="s">
        <v>19</v>
      </c>
      <c r="F1497" t="s">
        <v>2577</v>
      </c>
      <c r="I1497" t="s">
        <v>21</v>
      </c>
    </row>
    <row r="1498" spans="1:9" x14ac:dyDescent="0.3">
      <c r="A1498">
        <v>30</v>
      </c>
      <c r="B1498">
        <v>3</v>
      </c>
      <c r="C1498">
        <v>3</v>
      </c>
      <c r="D1498">
        <v>2</v>
      </c>
      <c r="E1498" t="s">
        <v>19</v>
      </c>
      <c r="F1498" t="s">
        <v>2578</v>
      </c>
      <c r="I1498" t="s">
        <v>21</v>
      </c>
    </row>
    <row r="1499" spans="1:9" x14ac:dyDescent="0.3">
      <c r="A1499">
        <v>30</v>
      </c>
      <c r="B1499">
        <v>3</v>
      </c>
      <c r="C1499">
        <v>3</v>
      </c>
      <c r="D1499">
        <v>2</v>
      </c>
      <c r="E1499" t="s">
        <v>9</v>
      </c>
      <c r="F1499" t="s">
        <v>2579</v>
      </c>
      <c r="G1499" t="s">
        <v>2580</v>
      </c>
      <c r="H1499">
        <v>3.968</v>
      </c>
      <c r="I1499" t="s">
        <v>12</v>
      </c>
    </row>
    <row r="1500" spans="1:9" x14ac:dyDescent="0.3">
      <c r="A1500">
        <v>30</v>
      </c>
      <c r="B1500">
        <v>3</v>
      </c>
      <c r="C1500">
        <v>3</v>
      </c>
      <c r="D1500">
        <v>2</v>
      </c>
      <c r="E1500" t="s">
        <v>9</v>
      </c>
      <c r="F1500" t="s">
        <v>2581</v>
      </c>
      <c r="G1500" t="s">
        <v>2582</v>
      </c>
      <c r="H1500">
        <v>1.3680000000000001</v>
      </c>
      <c r="I1500" t="s">
        <v>12</v>
      </c>
    </row>
    <row r="1501" spans="1:9" x14ac:dyDescent="0.3">
      <c r="A1501">
        <v>30</v>
      </c>
      <c r="B1501">
        <v>3</v>
      </c>
      <c r="C1501">
        <v>3</v>
      </c>
      <c r="D1501">
        <v>3</v>
      </c>
      <c r="E1501" t="s">
        <v>22</v>
      </c>
      <c r="F1501" t="s">
        <v>2583</v>
      </c>
      <c r="H1501" t="s">
        <v>81</v>
      </c>
      <c r="I1501" t="s">
        <v>34</v>
      </c>
    </row>
    <row r="1502" spans="1:9" x14ac:dyDescent="0.3">
      <c r="A1502">
        <v>30</v>
      </c>
      <c r="B1502">
        <v>3</v>
      </c>
      <c r="C1502">
        <v>3</v>
      </c>
      <c r="D1502">
        <v>3</v>
      </c>
      <c r="E1502" t="s">
        <v>9</v>
      </c>
      <c r="F1502" t="s">
        <v>2584</v>
      </c>
      <c r="H1502" t="s">
        <v>81</v>
      </c>
      <c r="I1502" t="s">
        <v>34</v>
      </c>
    </row>
    <row r="1503" spans="1:9" x14ac:dyDescent="0.3">
      <c r="A1503">
        <v>30</v>
      </c>
      <c r="B1503">
        <v>3</v>
      </c>
      <c r="C1503">
        <v>3</v>
      </c>
      <c r="D1503">
        <v>3</v>
      </c>
      <c r="E1503" t="s">
        <v>9</v>
      </c>
      <c r="F1503" t="s">
        <v>2585</v>
      </c>
      <c r="G1503" t="s">
        <v>2586</v>
      </c>
      <c r="H1503">
        <v>1.4690000000000001</v>
      </c>
      <c r="I1503" t="s">
        <v>12</v>
      </c>
    </row>
    <row r="1504" spans="1:9" x14ac:dyDescent="0.3">
      <c r="A1504">
        <v>30</v>
      </c>
      <c r="B1504">
        <v>3</v>
      </c>
      <c r="C1504">
        <v>3</v>
      </c>
      <c r="D1504">
        <v>3</v>
      </c>
      <c r="E1504" t="s">
        <v>9</v>
      </c>
      <c r="F1504" t="s">
        <v>2587</v>
      </c>
      <c r="G1504" t="s">
        <v>2588</v>
      </c>
      <c r="H1504">
        <v>0.83699999999999997</v>
      </c>
      <c r="I1504" t="s">
        <v>12</v>
      </c>
    </row>
    <row r="1505" spans="1:9" x14ac:dyDescent="0.3">
      <c r="A1505">
        <v>30</v>
      </c>
      <c r="B1505">
        <v>3</v>
      </c>
      <c r="C1505">
        <v>3</v>
      </c>
      <c r="D1505">
        <v>4</v>
      </c>
      <c r="E1505" t="s">
        <v>22</v>
      </c>
      <c r="F1505" t="s">
        <v>2589</v>
      </c>
      <c r="G1505" t="s">
        <v>2590</v>
      </c>
      <c r="H1505">
        <v>1.897</v>
      </c>
      <c r="I1505" t="s">
        <v>21</v>
      </c>
    </row>
    <row r="1506" spans="1:9" x14ac:dyDescent="0.3">
      <c r="A1506">
        <v>30</v>
      </c>
      <c r="B1506">
        <v>3</v>
      </c>
      <c r="C1506">
        <v>3</v>
      </c>
      <c r="D1506">
        <v>4</v>
      </c>
      <c r="E1506" t="s">
        <v>22</v>
      </c>
      <c r="F1506" t="s">
        <v>2591</v>
      </c>
      <c r="G1506" t="s">
        <v>2592</v>
      </c>
      <c r="H1506">
        <v>1.5960000000000001</v>
      </c>
      <c r="I1506" t="s">
        <v>21</v>
      </c>
    </row>
    <row r="1507" spans="1:9" x14ac:dyDescent="0.3">
      <c r="A1507">
        <v>30</v>
      </c>
      <c r="B1507">
        <v>3</v>
      </c>
      <c r="C1507">
        <v>3</v>
      </c>
      <c r="D1507">
        <v>4</v>
      </c>
      <c r="E1507" t="s">
        <v>19</v>
      </c>
      <c r="F1507" t="s">
        <v>2593</v>
      </c>
      <c r="I1507" t="s">
        <v>21</v>
      </c>
    </row>
    <row r="1508" spans="1:9" x14ac:dyDescent="0.3">
      <c r="A1508">
        <v>30</v>
      </c>
      <c r="B1508">
        <v>3</v>
      </c>
      <c r="C1508">
        <v>3</v>
      </c>
      <c r="D1508">
        <v>4</v>
      </c>
      <c r="E1508" t="s">
        <v>9</v>
      </c>
      <c r="F1508" t="s">
        <v>2594</v>
      </c>
      <c r="G1508" t="s">
        <v>2595</v>
      </c>
      <c r="H1508">
        <v>1.4359999999999999</v>
      </c>
      <c r="I1508" t="s">
        <v>12</v>
      </c>
    </row>
    <row r="1509" spans="1:9" x14ac:dyDescent="0.3">
      <c r="A1509">
        <v>30</v>
      </c>
      <c r="B1509">
        <v>3</v>
      </c>
      <c r="C1509">
        <v>3</v>
      </c>
      <c r="D1509">
        <v>4</v>
      </c>
      <c r="E1509" t="s">
        <v>19</v>
      </c>
      <c r="F1509" t="s">
        <v>2596</v>
      </c>
      <c r="I1509" t="s">
        <v>21</v>
      </c>
    </row>
    <row r="1510" spans="1:9" x14ac:dyDescent="0.3">
      <c r="A1510">
        <v>30</v>
      </c>
      <c r="B1510">
        <v>3</v>
      </c>
      <c r="C1510">
        <v>3</v>
      </c>
      <c r="D1510">
        <v>4</v>
      </c>
      <c r="E1510" t="s">
        <v>9</v>
      </c>
      <c r="F1510" t="s">
        <v>2597</v>
      </c>
      <c r="G1510" t="s">
        <v>2598</v>
      </c>
      <c r="H1510">
        <v>2.1030000000000002</v>
      </c>
      <c r="I1510" t="s">
        <v>12</v>
      </c>
    </row>
    <row r="1511" spans="1:9" x14ac:dyDescent="0.3">
      <c r="A1511">
        <v>30</v>
      </c>
      <c r="B1511">
        <v>3</v>
      </c>
      <c r="C1511">
        <v>3</v>
      </c>
      <c r="D1511">
        <v>4</v>
      </c>
      <c r="E1511" t="s">
        <v>9</v>
      </c>
      <c r="F1511" t="s">
        <v>2599</v>
      </c>
      <c r="G1511" t="s">
        <v>2600</v>
      </c>
      <c r="H1511">
        <v>1.87</v>
      </c>
      <c r="I1511" t="s">
        <v>12</v>
      </c>
    </row>
    <row r="1512" spans="1:9" x14ac:dyDescent="0.3">
      <c r="A1512">
        <v>30</v>
      </c>
      <c r="B1512">
        <v>3</v>
      </c>
      <c r="C1512">
        <v>3</v>
      </c>
      <c r="D1512">
        <v>4</v>
      </c>
      <c r="E1512" t="s">
        <v>19</v>
      </c>
      <c r="F1512" t="s">
        <v>2601</v>
      </c>
      <c r="I1512" t="s">
        <v>21</v>
      </c>
    </row>
    <row r="1513" spans="1:9" x14ac:dyDescent="0.3">
      <c r="A1513">
        <v>30</v>
      </c>
      <c r="B1513">
        <v>3</v>
      </c>
      <c r="C1513">
        <v>3</v>
      </c>
      <c r="D1513">
        <v>4</v>
      </c>
      <c r="E1513" t="s">
        <v>22</v>
      </c>
      <c r="F1513" t="s">
        <v>2602</v>
      </c>
      <c r="G1513" t="s">
        <v>2603</v>
      </c>
      <c r="H1513">
        <v>2.202</v>
      </c>
      <c r="I1513" t="s">
        <v>21</v>
      </c>
    </row>
    <row r="1514" spans="1:9" x14ac:dyDescent="0.3">
      <c r="A1514">
        <v>30</v>
      </c>
      <c r="B1514">
        <v>3</v>
      </c>
      <c r="C1514">
        <v>3</v>
      </c>
      <c r="D1514">
        <v>4</v>
      </c>
      <c r="E1514" t="s">
        <v>19</v>
      </c>
      <c r="F1514" t="s">
        <v>2604</v>
      </c>
      <c r="I1514" t="s">
        <v>34</v>
      </c>
    </row>
    <row r="1515" spans="1:9" x14ac:dyDescent="0.3">
      <c r="A1515">
        <v>30</v>
      </c>
      <c r="B1515">
        <v>3</v>
      </c>
      <c r="C1515">
        <v>3</v>
      </c>
      <c r="D1515">
        <v>4</v>
      </c>
      <c r="E1515" t="s">
        <v>19</v>
      </c>
      <c r="F1515" t="s">
        <v>2604</v>
      </c>
      <c r="I1515" t="s">
        <v>34</v>
      </c>
    </row>
    <row r="1516" spans="1:9" x14ac:dyDescent="0.3">
      <c r="A1516">
        <v>30</v>
      </c>
      <c r="B1516">
        <v>3</v>
      </c>
      <c r="C1516">
        <v>3</v>
      </c>
      <c r="D1516">
        <v>4</v>
      </c>
      <c r="E1516" t="s">
        <v>19</v>
      </c>
      <c r="F1516" t="s">
        <v>2605</v>
      </c>
      <c r="I1516" t="s">
        <v>21</v>
      </c>
    </row>
    <row r="1517" spans="1:9" x14ac:dyDescent="0.3">
      <c r="A1517">
        <v>30</v>
      </c>
      <c r="B1517">
        <v>3</v>
      </c>
      <c r="C1517">
        <v>3</v>
      </c>
      <c r="D1517">
        <v>4</v>
      </c>
      <c r="E1517" t="s">
        <v>22</v>
      </c>
      <c r="F1517" t="s">
        <v>2606</v>
      </c>
      <c r="G1517" t="s">
        <v>2607</v>
      </c>
      <c r="H1517">
        <v>1.5669999999999999</v>
      </c>
      <c r="I1517" t="s">
        <v>21</v>
      </c>
    </row>
    <row r="1518" spans="1:9" x14ac:dyDescent="0.3">
      <c r="A1518">
        <v>30</v>
      </c>
      <c r="B1518">
        <v>3</v>
      </c>
      <c r="C1518">
        <v>3</v>
      </c>
      <c r="D1518">
        <v>4</v>
      </c>
      <c r="E1518" t="s">
        <v>19</v>
      </c>
      <c r="F1518" t="s">
        <v>2608</v>
      </c>
      <c r="I1518" t="s">
        <v>34</v>
      </c>
    </row>
    <row r="1519" spans="1:9" x14ac:dyDescent="0.3">
      <c r="A1519">
        <v>30</v>
      </c>
      <c r="B1519">
        <v>3</v>
      </c>
      <c r="C1519">
        <v>3</v>
      </c>
      <c r="D1519">
        <v>4</v>
      </c>
      <c r="E1519" t="s">
        <v>19</v>
      </c>
      <c r="F1519" t="s">
        <v>2608</v>
      </c>
      <c r="I1519" t="s">
        <v>34</v>
      </c>
    </row>
    <row r="1520" spans="1:9" x14ac:dyDescent="0.3">
      <c r="A1520">
        <v>30</v>
      </c>
      <c r="B1520">
        <v>3</v>
      </c>
      <c r="C1520">
        <v>3</v>
      </c>
      <c r="D1520">
        <v>4</v>
      </c>
      <c r="E1520" t="s">
        <v>19</v>
      </c>
      <c r="F1520" t="s">
        <v>2609</v>
      </c>
      <c r="I1520" t="s">
        <v>21</v>
      </c>
    </row>
    <row r="1521" spans="1:9" x14ac:dyDescent="0.3">
      <c r="A1521">
        <v>30</v>
      </c>
      <c r="B1521">
        <v>3</v>
      </c>
      <c r="C1521">
        <v>3</v>
      </c>
      <c r="D1521">
        <v>4</v>
      </c>
      <c r="E1521" t="s">
        <v>19</v>
      </c>
      <c r="F1521" t="s">
        <v>2610</v>
      </c>
      <c r="I1521" t="s">
        <v>21</v>
      </c>
    </row>
    <row r="1522" spans="1:9" x14ac:dyDescent="0.3">
      <c r="A1522">
        <v>30</v>
      </c>
      <c r="B1522">
        <v>3</v>
      </c>
      <c r="C1522">
        <v>3</v>
      </c>
      <c r="D1522">
        <v>4</v>
      </c>
      <c r="E1522" t="s">
        <v>9</v>
      </c>
      <c r="F1522" t="s">
        <v>2611</v>
      </c>
      <c r="G1522" t="s">
        <v>2612</v>
      </c>
      <c r="H1522">
        <v>1.004</v>
      </c>
      <c r="I1522" t="s">
        <v>12</v>
      </c>
    </row>
    <row r="1523" spans="1:9" x14ac:dyDescent="0.3">
      <c r="A1523">
        <v>30</v>
      </c>
      <c r="B1523">
        <v>3</v>
      </c>
      <c r="C1523">
        <v>3</v>
      </c>
      <c r="D1523">
        <v>4</v>
      </c>
      <c r="E1523" t="s">
        <v>19</v>
      </c>
      <c r="F1523" t="s">
        <v>2613</v>
      </c>
      <c r="I1523" t="s">
        <v>21</v>
      </c>
    </row>
    <row r="1524" spans="1:9" x14ac:dyDescent="0.3">
      <c r="A1524">
        <v>30</v>
      </c>
      <c r="B1524">
        <v>3</v>
      </c>
      <c r="C1524">
        <v>3</v>
      </c>
      <c r="D1524">
        <v>5</v>
      </c>
      <c r="E1524" t="s">
        <v>22</v>
      </c>
      <c r="F1524" t="s">
        <v>2614</v>
      </c>
      <c r="G1524" t="s">
        <v>2615</v>
      </c>
      <c r="H1524">
        <v>2.2690000000000001</v>
      </c>
      <c r="I1524" t="s">
        <v>21</v>
      </c>
    </row>
    <row r="1525" spans="1:9" x14ac:dyDescent="0.3">
      <c r="A1525">
        <v>30</v>
      </c>
      <c r="B1525">
        <v>3</v>
      </c>
      <c r="C1525">
        <v>3</v>
      </c>
      <c r="D1525">
        <v>5</v>
      </c>
      <c r="E1525" t="s">
        <v>22</v>
      </c>
      <c r="F1525" t="s">
        <v>2616</v>
      </c>
      <c r="G1525" t="s">
        <v>2617</v>
      </c>
      <c r="H1525">
        <v>3.3330000000000002</v>
      </c>
      <c r="I1525" t="s">
        <v>21</v>
      </c>
    </row>
    <row r="1526" spans="1:9" x14ac:dyDescent="0.3">
      <c r="A1526">
        <v>30</v>
      </c>
      <c r="B1526">
        <v>3</v>
      </c>
      <c r="C1526">
        <v>3</v>
      </c>
      <c r="D1526">
        <v>5</v>
      </c>
      <c r="E1526" t="s">
        <v>19</v>
      </c>
      <c r="F1526" t="s">
        <v>2618</v>
      </c>
      <c r="I1526" t="s">
        <v>21</v>
      </c>
    </row>
    <row r="1527" spans="1:9" x14ac:dyDescent="0.3">
      <c r="A1527">
        <v>30</v>
      </c>
      <c r="B1527">
        <v>3</v>
      </c>
      <c r="C1527">
        <v>3</v>
      </c>
      <c r="D1527">
        <v>5</v>
      </c>
      <c r="E1527" t="s">
        <v>9</v>
      </c>
      <c r="F1527" t="s">
        <v>2619</v>
      </c>
      <c r="G1527" t="s">
        <v>2620</v>
      </c>
      <c r="H1527">
        <v>2.6339999999999999</v>
      </c>
      <c r="I1527" t="s">
        <v>12</v>
      </c>
    </row>
    <row r="1528" spans="1:9" x14ac:dyDescent="0.3">
      <c r="A1528">
        <v>30</v>
      </c>
      <c r="B1528">
        <v>3</v>
      </c>
      <c r="C1528">
        <v>3</v>
      </c>
      <c r="D1528">
        <v>5</v>
      </c>
      <c r="E1528" t="s">
        <v>9</v>
      </c>
      <c r="F1528" t="s">
        <v>2621</v>
      </c>
      <c r="G1528" t="s">
        <v>2622</v>
      </c>
      <c r="H1528">
        <v>2.3029999999999999</v>
      </c>
      <c r="I1528" t="s">
        <v>12</v>
      </c>
    </row>
    <row r="1529" spans="1:9" x14ac:dyDescent="0.3">
      <c r="A1529">
        <v>30</v>
      </c>
      <c r="B1529">
        <v>3</v>
      </c>
      <c r="C1529">
        <v>3</v>
      </c>
      <c r="D1529">
        <v>5</v>
      </c>
      <c r="E1529" t="s">
        <v>19</v>
      </c>
      <c r="F1529" t="s">
        <v>2623</v>
      </c>
      <c r="I1529" t="s">
        <v>21</v>
      </c>
    </row>
    <row r="1530" spans="1:9" x14ac:dyDescent="0.3">
      <c r="A1530">
        <v>30</v>
      </c>
      <c r="B1530">
        <v>3</v>
      </c>
      <c r="C1530">
        <v>3</v>
      </c>
      <c r="D1530">
        <v>5</v>
      </c>
      <c r="E1530" t="s">
        <v>9</v>
      </c>
      <c r="F1530" t="s">
        <v>2624</v>
      </c>
      <c r="G1530" t="s">
        <v>2625</v>
      </c>
      <c r="H1530">
        <v>1.3979999999999999</v>
      </c>
      <c r="I1530" t="s">
        <v>12</v>
      </c>
    </row>
    <row r="1531" spans="1:9" x14ac:dyDescent="0.3">
      <c r="A1531">
        <v>30</v>
      </c>
      <c r="B1531">
        <v>3</v>
      </c>
      <c r="C1531">
        <v>3</v>
      </c>
      <c r="D1531">
        <v>5</v>
      </c>
      <c r="E1531" t="s">
        <v>9</v>
      </c>
      <c r="F1531" t="s">
        <v>2626</v>
      </c>
      <c r="G1531" t="s">
        <v>2627</v>
      </c>
      <c r="H1531">
        <v>1.6990000000000001</v>
      </c>
      <c r="I1531" t="s">
        <v>12</v>
      </c>
    </row>
    <row r="1532" spans="1:9" x14ac:dyDescent="0.3">
      <c r="A1532">
        <v>30</v>
      </c>
      <c r="B1532">
        <v>3</v>
      </c>
      <c r="C1532">
        <v>3</v>
      </c>
      <c r="D1532">
        <v>7</v>
      </c>
      <c r="E1532" t="s">
        <v>9</v>
      </c>
      <c r="F1532" t="s">
        <v>2628</v>
      </c>
      <c r="G1532" t="s">
        <v>2629</v>
      </c>
      <c r="H1532">
        <v>5.8109999999999999</v>
      </c>
      <c r="I1532" t="s">
        <v>12</v>
      </c>
    </row>
    <row r="1533" spans="1:9" x14ac:dyDescent="0.3">
      <c r="A1533">
        <v>30</v>
      </c>
      <c r="B1533">
        <v>3</v>
      </c>
      <c r="C1533">
        <v>1</v>
      </c>
      <c r="D1533">
        <v>1</v>
      </c>
      <c r="E1533" t="s">
        <v>9</v>
      </c>
      <c r="F1533" t="s">
        <v>2630</v>
      </c>
      <c r="G1533" t="s">
        <v>2631</v>
      </c>
      <c r="H1533">
        <v>2.9340000000000002</v>
      </c>
      <c r="I1533" t="s">
        <v>12</v>
      </c>
    </row>
    <row r="1534" spans="1:9" x14ac:dyDescent="0.3">
      <c r="A1534">
        <v>30</v>
      </c>
      <c r="B1534">
        <v>3</v>
      </c>
      <c r="C1534">
        <v>3</v>
      </c>
      <c r="D1534">
        <v>1</v>
      </c>
      <c r="E1534" t="s">
        <v>22</v>
      </c>
      <c r="F1534" t="s">
        <v>2632</v>
      </c>
      <c r="G1534" t="s">
        <v>2633</v>
      </c>
      <c r="H1534">
        <v>3.9340000000000002</v>
      </c>
      <c r="I1534" t="s">
        <v>21</v>
      </c>
    </row>
    <row r="1535" spans="1:9" x14ac:dyDescent="0.3">
      <c r="A1535">
        <v>30</v>
      </c>
      <c r="B1535">
        <v>3</v>
      </c>
      <c r="C1535">
        <v>3</v>
      </c>
      <c r="D1535">
        <v>1</v>
      </c>
      <c r="E1535" t="s">
        <v>9</v>
      </c>
      <c r="F1535" t="s">
        <v>2634</v>
      </c>
      <c r="G1535" t="s">
        <v>2635</v>
      </c>
      <c r="H1535">
        <v>2.4020000000000001</v>
      </c>
      <c r="I1535" t="s">
        <v>12</v>
      </c>
    </row>
    <row r="1536" spans="1:9" x14ac:dyDescent="0.3">
      <c r="A1536">
        <v>30</v>
      </c>
      <c r="B1536">
        <v>3</v>
      </c>
      <c r="C1536">
        <v>3</v>
      </c>
      <c r="D1536">
        <v>1</v>
      </c>
      <c r="E1536" t="s">
        <v>22</v>
      </c>
      <c r="F1536" t="s">
        <v>2636</v>
      </c>
      <c r="G1536" t="s">
        <v>2637</v>
      </c>
      <c r="H1536">
        <v>1.401</v>
      </c>
      <c r="I1536" t="s">
        <v>21</v>
      </c>
    </row>
    <row r="1537" spans="1:9" x14ac:dyDescent="0.3">
      <c r="A1537">
        <v>30</v>
      </c>
      <c r="B1537">
        <v>3</v>
      </c>
      <c r="C1537">
        <v>3</v>
      </c>
      <c r="D1537">
        <v>1</v>
      </c>
      <c r="E1537" t="s">
        <v>9</v>
      </c>
      <c r="F1537" t="s">
        <v>2638</v>
      </c>
      <c r="G1537" t="s">
        <v>2639</v>
      </c>
      <c r="H1537">
        <v>4.5</v>
      </c>
      <c r="I1537" t="s">
        <v>12</v>
      </c>
    </row>
    <row r="1538" spans="1:9" x14ac:dyDescent="0.3">
      <c r="A1538">
        <v>30</v>
      </c>
      <c r="B1538">
        <v>3</v>
      </c>
      <c r="C1538">
        <v>3</v>
      </c>
      <c r="D1538">
        <v>1</v>
      </c>
      <c r="E1538" t="s">
        <v>19</v>
      </c>
      <c r="F1538" t="s">
        <v>2640</v>
      </c>
      <c r="I1538" t="s">
        <v>21</v>
      </c>
    </row>
    <row r="1539" spans="1:9" x14ac:dyDescent="0.3">
      <c r="A1539">
        <v>30</v>
      </c>
      <c r="B1539">
        <v>3</v>
      </c>
      <c r="C1539">
        <v>3</v>
      </c>
      <c r="D1539">
        <v>1</v>
      </c>
      <c r="E1539" t="s">
        <v>9</v>
      </c>
      <c r="F1539" t="s">
        <v>2641</v>
      </c>
      <c r="G1539" t="s">
        <v>2642</v>
      </c>
      <c r="H1539">
        <v>1.9670000000000001</v>
      </c>
      <c r="I1539" t="s">
        <v>12</v>
      </c>
    </row>
    <row r="1540" spans="1:9" x14ac:dyDescent="0.3">
      <c r="A1540">
        <v>30</v>
      </c>
      <c r="B1540">
        <v>3</v>
      </c>
      <c r="C1540">
        <v>3</v>
      </c>
      <c r="D1540">
        <v>1</v>
      </c>
      <c r="E1540" t="s">
        <v>9</v>
      </c>
      <c r="F1540" t="s">
        <v>2643</v>
      </c>
      <c r="G1540" t="s">
        <v>2644</v>
      </c>
      <c r="H1540">
        <v>2.7290000000000001</v>
      </c>
      <c r="I1540" t="s">
        <v>12</v>
      </c>
    </row>
    <row r="1541" spans="1:9" x14ac:dyDescent="0.3">
      <c r="A1541">
        <v>30</v>
      </c>
      <c r="B1541">
        <v>3</v>
      </c>
      <c r="C1541">
        <v>3</v>
      </c>
      <c r="D1541">
        <v>1</v>
      </c>
      <c r="E1541" t="s">
        <v>22</v>
      </c>
      <c r="F1541" t="s">
        <v>2645</v>
      </c>
      <c r="G1541" t="s">
        <v>2646</v>
      </c>
      <c r="H1541">
        <v>5.0730000000000004</v>
      </c>
      <c r="I1541" t="s">
        <v>21</v>
      </c>
    </row>
    <row r="1542" spans="1:9" x14ac:dyDescent="0.3">
      <c r="A1542">
        <v>30</v>
      </c>
      <c r="B1542">
        <v>3</v>
      </c>
      <c r="C1542">
        <v>3</v>
      </c>
      <c r="D1542">
        <v>1</v>
      </c>
      <c r="E1542" t="s">
        <v>19</v>
      </c>
      <c r="F1542" t="s">
        <v>2647</v>
      </c>
      <c r="I1542" t="s">
        <v>34</v>
      </c>
    </row>
    <row r="1543" spans="1:9" x14ac:dyDescent="0.3">
      <c r="A1543">
        <v>31</v>
      </c>
      <c r="B1543">
        <v>1</v>
      </c>
      <c r="C1543">
        <v>1</v>
      </c>
      <c r="D1543">
        <v>1</v>
      </c>
      <c r="E1543" t="s">
        <v>9</v>
      </c>
      <c r="F1543" t="s">
        <v>2648</v>
      </c>
      <c r="G1543" t="s">
        <v>2649</v>
      </c>
      <c r="H1543">
        <v>8.8529999999999998</v>
      </c>
      <c r="I1543" t="s">
        <v>12</v>
      </c>
    </row>
    <row r="1544" spans="1:9" x14ac:dyDescent="0.3">
      <c r="A1544">
        <v>31</v>
      </c>
      <c r="B1544">
        <v>1</v>
      </c>
      <c r="C1544">
        <v>1</v>
      </c>
      <c r="D1544">
        <v>2</v>
      </c>
      <c r="E1544" t="s">
        <v>9</v>
      </c>
      <c r="F1544" t="s">
        <v>2650</v>
      </c>
      <c r="G1544" t="s">
        <v>2651</v>
      </c>
      <c r="H1544">
        <v>1.286</v>
      </c>
      <c r="I1544" t="s">
        <v>12</v>
      </c>
    </row>
    <row r="1545" spans="1:9" x14ac:dyDescent="0.3">
      <c r="A1545">
        <v>31</v>
      </c>
      <c r="B1545">
        <v>1</v>
      </c>
      <c r="C1545">
        <v>1</v>
      </c>
      <c r="D1545">
        <v>3</v>
      </c>
      <c r="E1545" t="s">
        <v>22</v>
      </c>
      <c r="F1545" t="s">
        <v>2652</v>
      </c>
      <c r="G1545" t="s">
        <v>2653</v>
      </c>
      <c r="H1545">
        <v>3.585</v>
      </c>
      <c r="I1545" t="s">
        <v>21</v>
      </c>
    </row>
    <row r="1546" spans="1:9" x14ac:dyDescent="0.3">
      <c r="A1546">
        <v>31</v>
      </c>
      <c r="B1546">
        <v>1</v>
      </c>
      <c r="C1546">
        <v>1</v>
      </c>
      <c r="D1546">
        <v>3</v>
      </c>
      <c r="E1546" t="s">
        <v>9</v>
      </c>
      <c r="F1546" t="s">
        <v>2654</v>
      </c>
      <c r="G1546" t="s">
        <v>2655</v>
      </c>
      <c r="H1546">
        <v>7.7009999999999996</v>
      </c>
      <c r="I1546" t="s">
        <v>12</v>
      </c>
    </row>
    <row r="1547" spans="1:9" x14ac:dyDescent="0.3">
      <c r="A1547">
        <v>31</v>
      </c>
      <c r="B1547">
        <v>1</v>
      </c>
      <c r="C1547">
        <v>1</v>
      </c>
      <c r="D1547">
        <v>3</v>
      </c>
      <c r="E1547" t="s">
        <v>9</v>
      </c>
      <c r="F1547" t="s">
        <v>2656</v>
      </c>
      <c r="G1547" t="s">
        <v>2657</v>
      </c>
      <c r="H1547">
        <v>3.8330000000000002</v>
      </c>
      <c r="I1547" t="s">
        <v>12</v>
      </c>
    </row>
    <row r="1548" spans="1:9" x14ac:dyDescent="0.3">
      <c r="A1548">
        <v>31</v>
      </c>
      <c r="B1548">
        <v>1</v>
      </c>
      <c r="C1548">
        <v>1</v>
      </c>
      <c r="D1548">
        <v>3</v>
      </c>
      <c r="E1548" t="s">
        <v>19</v>
      </c>
      <c r="F1548" t="s">
        <v>2658</v>
      </c>
      <c r="I1548" t="s">
        <v>21</v>
      </c>
    </row>
    <row r="1549" spans="1:9" x14ac:dyDescent="0.3">
      <c r="A1549">
        <v>31</v>
      </c>
      <c r="B1549">
        <v>1</v>
      </c>
      <c r="C1549">
        <v>1</v>
      </c>
      <c r="D1549">
        <v>4</v>
      </c>
      <c r="E1549" t="s">
        <v>22</v>
      </c>
      <c r="F1549" t="s">
        <v>2659</v>
      </c>
      <c r="G1549" t="s">
        <v>2660</v>
      </c>
      <c r="H1549">
        <v>3.8180000000000001</v>
      </c>
      <c r="I1549" t="s">
        <v>21</v>
      </c>
    </row>
    <row r="1550" spans="1:9" x14ac:dyDescent="0.3">
      <c r="A1550">
        <v>31</v>
      </c>
      <c r="B1550">
        <v>1</v>
      </c>
      <c r="C1550">
        <v>1</v>
      </c>
      <c r="D1550">
        <v>4</v>
      </c>
      <c r="E1550" t="s">
        <v>9</v>
      </c>
      <c r="F1550" t="s">
        <v>2661</v>
      </c>
      <c r="G1550" t="s">
        <v>2662</v>
      </c>
      <c r="H1550">
        <v>4.601</v>
      </c>
      <c r="I1550" t="s">
        <v>12</v>
      </c>
    </row>
    <row r="1551" spans="1:9" x14ac:dyDescent="0.3">
      <c r="A1551">
        <v>31</v>
      </c>
      <c r="B1551">
        <v>1</v>
      </c>
      <c r="C1551">
        <v>1</v>
      </c>
      <c r="D1551">
        <v>4</v>
      </c>
      <c r="E1551" t="s">
        <v>9</v>
      </c>
      <c r="F1551" t="s">
        <v>2663</v>
      </c>
      <c r="G1551" t="s">
        <v>2664</v>
      </c>
      <c r="H1551">
        <v>3.2010000000000001</v>
      </c>
      <c r="I1551" t="s">
        <v>12</v>
      </c>
    </row>
    <row r="1552" spans="1:9" x14ac:dyDescent="0.3">
      <c r="A1552">
        <v>31</v>
      </c>
      <c r="B1552">
        <v>1</v>
      </c>
      <c r="C1552">
        <v>1</v>
      </c>
      <c r="D1552">
        <v>4</v>
      </c>
      <c r="E1552" t="s">
        <v>19</v>
      </c>
      <c r="F1552" t="s">
        <v>2665</v>
      </c>
      <c r="I1552" t="s">
        <v>21</v>
      </c>
    </row>
    <row r="1553" spans="1:9" x14ac:dyDescent="0.3">
      <c r="A1553">
        <v>31</v>
      </c>
      <c r="B1553">
        <v>1</v>
      </c>
      <c r="C1553">
        <v>2</v>
      </c>
      <c r="D1553">
        <v>1</v>
      </c>
      <c r="E1553" t="s">
        <v>9</v>
      </c>
      <c r="F1553" t="s">
        <v>2666</v>
      </c>
      <c r="H1553" t="s">
        <v>81</v>
      </c>
      <c r="I1553" t="s">
        <v>34</v>
      </c>
    </row>
    <row r="1554" spans="1:9" x14ac:dyDescent="0.3">
      <c r="A1554">
        <v>31</v>
      </c>
      <c r="B1554">
        <v>1</v>
      </c>
      <c r="C1554">
        <v>2</v>
      </c>
      <c r="D1554">
        <v>1</v>
      </c>
      <c r="E1554" t="s">
        <v>22</v>
      </c>
      <c r="F1554" t="s">
        <v>2667</v>
      </c>
      <c r="G1554" t="s">
        <v>2668</v>
      </c>
      <c r="H1554">
        <v>2.1190000000000002</v>
      </c>
      <c r="I1554" t="s">
        <v>21</v>
      </c>
    </row>
    <row r="1555" spans="1:9" x14ac:dyDescent="0.3">
      <c r="A1555">
        <v>31</v>
      </c>
      <c r="B1555">
        <v>1</v>
      </c>
      <c r="C1555">
        <v>2</v>
      </c>
      <c r="D1555">
        <v>1</v>
      </c>
      <c r="E1555" t="s">
        <v>9</v>
      </c>
      <c r="F1555" t="s">
        <v>2669</v>
      </c>
      <c r="H1555" t="s">
        <v>81</v>
      </c>
      <c r="I1555" t="s">
        <v>34</v>
      </c>
    </row>
    <row r="1556" spans="1:9" x14ac:dyDescent="0.3">
      <c r="A1556">
        <v>31</v>
      </c>
      <c r="B1556">
        <v>1</v>
      </c>
      <c r="C1556">
        <v>2</v>
      </c>
      <c r="D1556">
        <v>1</v>
      </c>
      <c r="E1556" t="s">
        <v>9</v>
      </c>
      <c r="F1556" t="s">
        <v>2670</v>
      </c>
      <c r="G1556" t="s">
        <v>2671</v>
      </c>
      <c r="H1556">
        <v>1.867</v>
      </c>
      <c r="I1556" t="s">
        <v>12</v>
      </c>
    </row>
    <row r="1557" spans="1:9" x14ac:dyDescent="0.3">
      <c r="A1557">
        <v>31</v>
      </c>
      <c r="B1557">
        <v>1</v>
      </c>
      <c r="C1557">
        <v>2</v>
      </c>
      <c r="D1557">
        <v>1</v>
      </c>
      <c r="E1557" t="s">
        <v>19</v>
      </c>
      <c r="F1557" t="s">
        <v>2672</v>
      </c>
      <c r="I1557" t="s">
        <v>34</v>
      </c>
    </row>
    <row r="1558" spans="1:9" x14ac:dyDescent="0.3">
      <c r="A1558">
        <v>31</v>
      </c>
      <c r="B1558">
        <v>1</v>
      </c>
      <c r="C1558">
        <v>2</v>
      </c>
      <c r="D1558">
        <v>2</v>
      </c>
      <c r="E1558" t="s">
        <v>9</v>
      </c>
      <c r="F1558" t="s">
        <v>2673</v>
      </c>
      <c r="H1558" t="s">
        <v>81</v>
      </c>
      <c r="I1558" t="s">
        <v>34</v>
      </c>
    </row>
    <row r="1559" spans="1:9" x14ac:dyDescent="0.3">
      <c r="A1559">
        <v>31</v>
      </c>
      <c r="B1559">
        <v>1</v>
      </c>
      <c r="C1559">
        <v>2</v>
      </c>
      <c r="D1559">
        <v>3</v>
      </c>
      <c r="E1559" t="s">
        <v>9</v>
      </c>
      <c r="F1559" t="s">
        <v>2674</v>
      </c>
      <c r="G1559" t="s">
        <v>2675</v>
      </c>
      <c r="H1559">
        <v>1.716</v>
      </c>
      <c r="I1559" t="s">
        <v>12</v>
      </c>
    </row>
    <row r="1560" spans="1:9" x14ac:dyDescent="0.3">
      <c r="A1560">
        <v>31</v>
      </c>
      <c r="B1560">
        <v>1</v>
      </c>
      <c r="C1560">
        <v>2</v>
      </c>
      <c r="D1560">
        <v>3</v>
      </c>
      <c r="E1560" t="s">
        <v>22</v>
      </c>
      <c r="F1560" t="s">
        <v>2676</v>
      </c>
      <c r="G1560" t="s">
        <v>2677</v>
      </c>
      <c r="H1560">
        <v>1.734</v>
      </c>
      <c r="I1560" t="s">
        <v>21</v>
      </c>
    </row>
    <row r="1561" spans="1:9" x14ac:dyDescent="0.3">
      <c r="A1561">
        <v>31</v>
      </c>
      <c r="B1561">
        <v>1</v>
      </c>
      <c r="C1561">
        <v>2</v>
      </c>
      <c r="D1561">
        <v>3</v>
      </c>
      <c r="E1561" t="s">
        <v>9</v>
      </c>
      <c r="F1561" t="s">
        <v>2678</v>
      </c>
      <c r="G1561" t="s">
        <v>2679</v>
      </c>
      <c r="H1561">
        <v>4.4000000000000004</v>
      </c>
      <c r="I1561" t="s">
        <v>12</v>
      </c>
    </row>
    <row r="1562" spans="1:9" x14ac:dyDescent="0.3">
      <c r="A1562">
        <v>31</v>
      </c>
      <c r="B1562">
        <v>1</v>
      </c>
      <c r="C1562">
        <v>2</v>
      </c>
      <c r="D1562">
        <v>3</v>
      </c>
      <c r="E1562" t="s">
        <v>9</v>
      </c>
      <c r="F1562" t="s">
        <v>2680</v>
      </c>
      <c r="G1562" t="s">
        <v>2681</v>
      </c>
      <c r="H1562">
        <v>3.1339999999999999</v>
      </c>
      <c r="I1562" t="s">
        <v>12</v>
      </c>
    </row>
    <row r="1563" spans="1:9" x14ac:dyDescent="0.3">
      <c r="A1563">
        <v>31</v>
      </c>
      <c r="B1563">
        <v>1</v>
      </c>
      <c r="C1563">
        <v>2</v>
      </c>
      <c r="D1563">
        <v>3</v>
      </c>
      <c r="E1563" t="s">
        <v>19</v>
      </c>
      <c r="F1563" t="s">
        <v>2682</v>
      </c>
      <c r="I1563" t="s">
        <v>21</v>
      </c>
    </row>
    <row r="1564" spans="1:9" x14ac:dyDescent="0.3">
      <c r="A1564">
        <v>31</v>
      </c>
      <c r="B1564">
        <v>1</v>
      </c>
      <c r="C1564">
        <v>2</v>
      </c>
      <c r="D1564">
        <v>4</v>
      </c>
      <c r="E1564" t="s">
        <v>9</v>
      </c>
      <c r="F1564" t="s">
        <v>2683</v>
      </c>
      <c r="G1564" t="s">
        <v>2684</v>
      </c>
      <c r="H1564">
        <v>3.1190000000000002</v>
      </c>
      <c r="I1564" t="s">
        <v>12</v>
      </c>
    </row>
    <row r="1565" spans="1:9" x14ac:dyDescent="0.3">
      <c r="A1565">
        <v>31</v>
      </c>
      <c r="B1565">
        <v>1</v>
      </c>
      <c r="C1565">
        <v>2</v>
      </c>
      <c r="D1565">
        <v>4</v>
      </c>
      <c r="E1565" t="s">
        <v>22</v>
      </c>
      <c r="F1565" t="s">
        <v>2685</v>
      </c>
      <c r="G1565" t="s">
        <v>2686</v>
      </c>
      <c r="H1565">
        <v>3.468</v>
      </c>
      <c r="I1565" t="s">
        <v>21</v>
      </c>
    </row>
    <row r="1566" spans="1:9" x14ac:dyDescent="0.3">
      <c r="A1566">
        <v>31</v>
      </c>
      <c r="B1566">
        <v>1</v>
      </c>
      <c r="C1566">
        <v>2</v>
      </c>
      <c r="D1566">
        <v>4</v>
      </c>
      <c r="E1566" t="s">
        <v>9</v>
      </c>
      <c r="F1566" t="s">
        <v>2687</v>
      </c>
      <c r="G1566" t="s">
        <v>2688</v>
      </c>
      <c r="H1566">
        <v>1.601</v>
      </c>
      <c r="I1566" t="s">
        <v>12</v>
      </c>
    </row>
    <row r="1567" spans="1:9" x14ac:dyDescent="0.3">
      <c r="A1567">
        <v>31</v>
      </c>
      <c r="B1567">
        <v>1</v>
      </c>
      <c r="C1567">
        <v>2</v>
      </c>
      <c r="D1567">
        <v>4</v>
      </c>
      <c r="E1567" t="s">
        <v>19</v>
      </c>
      <c r="F1567" t="s">
        <v>2689</v>
      </c>
      <c r="I1567" t="s">
        <v>21</v>
      </c>
    </row>
    <row r="1568" spans="1:9" x14ac:dyDescent="0.3">
      <c r="A1568">
        <v>31</v>
      </c>
      <c r="B1568">
        <v>1</v>
      </c>
      <c r="C1568">
        <v>2</v>
      </c>
      <c r="D1568">
        <v>4</v>
      </c>
      <c r="E1568" t="s">
        <v>9</v>
      </c>
      <c r="F1568" t="s">
        <v>2690</v>
      </c>
      <c r="G1568" t="s">
        <v>2691</v>
      </c>
      <c r="H1568">
        <v>2.7669999999999999</v>
      </c>
      <c r="I1568" t="s">
        <v>12</v>
      </c>
    </row>
    <row r="1569" spans="1:9" x14ac:dyDescent="0.3">
      <c r="A1569">
        <v>31</v>
      </c>
      <c r="B1569">
        <v>1</v>
      </c>
      <c r="C1569">
        <v>2</v>
      </c>
      <c r="D1569">
        <v>5</v>
      </c>
      <c r="E1569" t="s">
        <v>9</v>
      </c>
      <c r="F1569" t="s">
        <v>2692</v>
      </c>
      <c r="G1569" t="s">
        <v>2693</v>
      </c>
      <c r="H1569">
        <v>3.1520000000000001</v>
      </c>
      <c r="I1569" t="s">
        <v>12</v>
      </c>
    </row>
    <row r="1570" spans="1:9" x14ac:dyDescent="0.3">
      <c r="A1570">
        <v>31</v>
      </c>
      <c r="B1570">
        <v>1</v>
      </c>
      <c r="C1570">
        <v>2</v>
      </c>
      <c r="D1570">
        <v>5</v>
      </c>
      <c r="E1570" t="s">
        <v>9</v>
      </c>
      <c r="F1570" t="s">
        <v>2694</v>
      </c>
      <c r="G1570" t="s">
        <v>2695</v>
      </c>
      <c r="H1570">
        <v>1.6859999999999999</v>
      </c>
      <c r="I1570" t="s">
        <v>12</v>
      </c>
    </row>
    <row r="1571" spans="1:9" x14ac:dyDescent="0.3">
      <c r="A1571">
        <v>31</v>
      </c>
      <c r="B1571">
        <v>1</v>
      </c>
      <c r="C1571">
        <v>2</v>
      </c>
      <c r="D1571">
        <v>5</v>
      </c>
      <c r="E1571" t="s">
        <v>22</v>
      </c>
      <c r="F1571" t="s">
        <v>2696</v>
      </c>
      <c r="G1571" t="s">
        <v>2697</v>
      </c>
      <c r="H1571">
        <v>1.8009999999999999</v>
      </c>
      <c r="I1571" t="s">
        <v>21</v>
      </c>
    </row>
    <row r="1572" spans="1:9" x14ac:dyDescent="0.3">
      <c r="A1572">
        <v>31</v>
      </c>
      <c r="B1572">
        <v>1</v>
      </c>
      <c r="C1572">
        <v>2</v>
      </c>
      <c r="D1572">
        <v>5</v>
      </c>
      <c r="E1572" t="s">
        <v>9</v>
      </c>
      <c r="F1572" t="s">
        <v>2698</v>
      </c>
      <c r="G1572" t="s">
        <v>2699</v>
      </c>
      <c r="H1572">
        <v>1.5349999999999999</v>
      </c>
      <c r="I1572" t="s">
        <v>12</v>
      </c>
    </row>
    <row r="1573" spans="1:9" x14ac:dyDescent="0.3">
      <c r="A1573">
        <v>31</v>
      </c>
      <c r="B1573">
        <v>1</v>
      </c>
      <c r="C1573">
        <v>2</v>
      </c>
      <c r="D1573">
        <v>5</v>
      </c>
      <c r="E1573" t="s">
        <v>9</v>
      </c>
      <c r="F1573" t="s">
        <v>2700</v>
      </c>
      <c r="G1573" t="s">
        <v>2701</v>
      </c>
      <c r="H1573">
        <v>1.901</v>
      </c>
      <c r="I1573" t="s">
        <v>12</v>
      </c>
    </row>
    <row r="1574" spans="1:9" x14ac:dyDescent="0.3">
      <c r="A1574">
        <v>31</v>
      </c>
      <c r="B1574">
        <v>1</v>
      </c>
      <c r="C1574">
        <v>2</v>
      </c>
      <c r="D1574">
        <v>5</v>
      </c>
      <c r="E1574" t="s">
        <v>19</v>
      </c>
      <c r="F1574" t="s">
        <v>2702</v>
      </c>
      <c r="I1574" t="s">
        <v>21</v>
      </c>
    </row>
    <row r="1575" spans="1:9" x14ac:dyDescent="0.3">
      <c r="A1575">
        <v>31</v>
      </c>
      <c r="B1575">
        <v>1</v>
      </c>
      <c r="C1575">
        <v>2</v>
      </c>
      <c r="D1575">
        <v>7</v>
      </c>
      <c r="E1575" t="s">
        <v>9</v>
      </c>
      <c r="F1575" t="s">
        <v>2703</v>
      </c>
      <c r="G1575" t="s">
        <v>2704</v>
      </c>
      <c r="H1575">
        <v>4.9850000000000003</v>
      </c>
      <c r="I1575" t="s">
        <v>12</v>
      </c>
    </row>
    <row r="1576" spans="1:9" x14ac:dyDescent="0.3">
      <c r="A1576">
        <v>31</v>
      </c>
      <c r="B1576">
        <v>1</v>
      </c>
      <c r="C1576">
        <v>2</v>
      </c>
      <c r="D1576">
        <v>7</v>
      </c>
      <c r="E1576" t="s">
        <v>22</v>
      </c>
      <c r="F1576" t="s">
        <v>2705</v>
      </c>
      <c r="G1576" t="s">
        <v>2706</v>
      </c>
      <c r="H1576">
        <v>2.8010000000000002</v>
      </c>
      <c r="I1576" t="s">
        <v>21</v>
      </c>
    </row>
    <row r="1577" spans="1:9" x14ac:dyDescent="0.3">
      <c r="A1577">
        <v>31</v>
      </c>
      <c r="B1577">
        <v>1</v>
      </c>
      <c r="C1577">
        <v>2</v>
      </c>
      <c r="D1577">
        <v>7</v>
      </c>
      <c r="E1577" t="s">
        <v>9</v>
      </c>
      <c r="F1577" t="s">
        <v>5366</v>
      </c>
      <c r="G1577" t="s">
        <v>5367</v>
      </c>
      <c r="H1577">
        <v>4.3319999999999999</v>
      </c>
      <c r="I1577" t="s">
        <v>12</v>
      </c>
    </row>
    <row r="1578" spans="1:9" x14ac:dyDescent="0.3">
      <c r="A1578">
        <v>31</v>
      </c>
      <c r="B1578">
        <v>3</v>
      </c>
      <c r="C1578">
        <v>1</v>
      </c>
      <c r="D1578">
        <v>1</v>
      </c>
      <c r="E1578" t="s">
        <v>22</v>
      </c>
      <c r="F1578" t="s">
        <v>2707</v>
      </c>
      <c r="G1578" t="s">
        <v>2708</v>
      </c>
      <c r="H1578">
        <v>1.919</v>
      </c>
      <c r="I1578" t="s">
        <v>21</v>
      </c>
    </row>
    <row r="1579" spans="1:9" x14ac:dyDescent="0.3">
      <c r="A1579">
        <v>31</v>
      </c>
      <c r="B1579">
        <v>3</v>
      </c>
      <c r="C1579">
        <v>1</v>
      </c>
      <c r="D1579">
        <v>1</v>
      </c>
      <c r="E1579" t="s">
        <v>22</v>
      </c>
      <c r="F1579" t="s">
        <v>2709</v>
      </c>
      <c r="G1579" t="s">
        <v>2710</v>
      </c>
      <c r="H1579">
        <v>1.2010000000000001</v>
      </c>
      <c r="I1579" t="s">
        <v>21</v>
      </c>
    </row>
    <row r="1580" spans="1:9" x14ac:dyDescent="0.3">
      <c r="A1580">
        <v>31</v>
      </c>
      <c r="B1580">
        <v>3</v>
      </c>
      <c r="C1580">
        <v>1</v>
      </c>
      <c r="D1580">
        <v>1</v>
      </c>
      <c r="E1580" t="s">
        <v>9</v>
      </c>
      <c r="F1580" t="s">
        <v>2711</v>
      </c>
      <c r="G1580" t="s">
        <v>2712</v>
      </c>
      <c r="H1580">
        <v>2.9340000000000002</v>
      </c>
      <c r="I1580" t="s">
        <v>12</v>
      </c>
    </row>
    <row r="1581" spans="1:9" x14ac:dyDescent="0.3">
      <c r="A1581">
        <v>31</v>
      </c>
      <c r="B1581">
        <v>3</v>
      </c>
      <c r="C1581">
        <v>1</v>
      </c>
      <c r="D1581">
        <v>1</v>
      </c>
      <c r="E1581" t="s">
        <v>9</v>
      </c>
      <c r="F1581" t="s">
        <v>2713</v>
      </c>
      <c r="G1581" t="s">
        <v>2714</v>
      </c>
      <c r="H1581">
        <v>1.5009999999999999</v>
      </c>
      <c r="I1581" t="s">
        <v>12</v>
      </c>
    </row>
    <row r="1582" spans="1:9" x14ac:dyDescent="0.3">
      <c r="A1582">
        <v>31</v>
      </c>
      <c r="B1582">
        <v>3</v>
      </c>
      <c r="C1582">
        <v>1</v>
      </c>
      <c r="D1582">
        <v>1</v>
      </c>
      <c r="E1582" t="s">
        <v>9</v>
      </c>
      <c r="F1582" t="s">
        <v>2715</v>
      </c>
      <c r="G1582" t="s">
        <v>2716</v>
      </c>
      <c r="H1582">
        <v>1.7190000000000001</v>
      </c>
      <c r="I1582" t="s">
        <v>12</v>
      </c>
    </row>
    <row r="1583" spans="1:9" x14ac:dyDescent="0.3">
      <c r="A1583">
        <v>31</v>
      </c>
      <c r="B1583">
        <v>3</v>
      </c>
      <c r="C1583">
        <v>1</v>
      </c>
      <c r="D1583">
        <v>1</v>
      </c>
      <c r="E1583" t="s">
        <v>19</v>
      </c>
      <c r="F1583" t="s">
        <v>2717</v>
      </c>
      <c r="I1583" t="s">
        <v>21</v>
      </c>
    </row>
    <row r="1584" spans="1:9" x14ac:dyDescent="0.3">
      <c r="A1584">
        <v>31</v>
      </c>
      <c r="B1584">
        <v>3</v>
      </c>
      <c r="C1584">
        <v>1</v>
      </c>
      <c r="D1584">
        <v>1</v>
      </c>
      <c r="E1584" t="s">
        <v>9</v>
      </c>
      <c r="F1584" t="s">
        <v>2718</v>
      </c>
      <c r="G1584" t="s">
        <v>2719</v>
      </c>
      <c r="H1584">
        <v>1.4339999999999999</v>
      </c>
      <c r="I1584" t="s">
        <v>12</v>
      </c>
    </row>
    <row r="1585" spans="1:9" x14ac:dyDescent="0.3">
      <c r="A1585">
        <v>31</v>
      </c>
      <c r="B1585">
        <v>3</v>
      </c>
      <c r="C1585">
        <v>1</v>
      </c>
      <c r="D1585">
        <v>2</v>
      </c>
      <c r="E1585" t="s">
        <v>22</v>
      </c>
      <c r="F1585" t="s">
        <v>2720</v>
      </c>
      <c r="G1585" t="s">
        <v>2721</v>
      </c>
      <c r="H1585">
        <v>1.4530000000000001</v>
      </c>
      <c r="I1585" t="s">
        <v>21</v>
      </c>
    </row>
    <row r="1586" spans="1:9" x14ac:dyDescent="0.3">
      <c r="A1586">
        <v>31</v>
      </c>
      <c r="B1586">
        <v>3</v>
      </c>
      <c r="C1586">
        <v>1</v>
      </c>
      <c r="D1586">
        <v>2</v>
      </c>
      <c r="E1586" t="s">
        <v>9</v>
      </c>
      <c r="F1586" t="s">
        <v>2722</v>
      </c>
      <c r="G1586" t="s">
        <v>2723</v>
      </c>
      <c r="H1586">
        <v>1.4339999999999999</v>
      </c>
      <c r="I1586" t="s">
        <v>12</v>
      </c>
    </row>
    <row r="1587" spans="1:9" x14ac:dyDescent="0.3">
      <c r="A1587">
        <v>31</v>
      </c>
      <c r="B1587">
        <v>3</v>
      </c>
      <c r="C1587">
        <v>1</v>
      </c>
      <c r="D1587">
        <v>2</v>
      </c>
      <c r="E1587" t="s">
        <v>9</v>
      </c>
      <c r="F1587" t="s">
        <v>2724</v>
      </c>
      <c r="G1587" t="s">
        <v>2725</v>
      </c>
      <c r="H1587">
        <v>3.1669999999999998</v>
      </c>
      <c r="I1587" t="s">
        <v>12</v>
      </c>
    </row>
    <row r="1588" spans="1:9" x14ac:dyDescent="0.3">
      <c r="A1588">
        <v>31</v>
      </c>
      <c r="B1588">
        <v>3</v>
      </c>
      <c r="C1588">
        <v>1</v>
      </c>
      <c r="D1588">
        <v>2</v>
      </c>
      <c r="E1588" t="s">
        <v>9</v>
      </c>
      <c r="F1588" t="s">
        <v>2726</v>
      </c>
      <c r="G1588" t="s">
        <v>2727</v>
      </c>
      <c r="H1588">
        <v>1.4670000000000001</v>
      </c>
      <c r="I1588" t="s">
        <v>12</v>
      </c>
    </row>
    <row r="1589" spans="1:9" x14ac:dyDescent="0.3">
      <c r="A1589">
        <v>31</v>
      </c>
      <c r="B1589">
        <v>3</v>
      </c>
      <c r="C1589">
        <v>1</v>
      </c>
      <c r="D1589">
        <v>2</v>
      </c>
      <c r="E1589" t="s">
        <v>19</v>
      </c>
      <c r="F1589" t="s">
        <v>2728</v>
      </c>
      <c r="I1589" t="s">
        <v>21</v>
      </c>
    </row>
    <row r="1590" spans="1:9" x14ac:dyDescent="0.3">
      <c r="A1590">
        <v>31</v>
      </c>
      <c r="B1590">
        <v>3</v>
      </c>
      <c r="C1590">
        <v>1</v>
      </c>
      <c r="D1590">
        <v>2</v>
      </c>
      <c r="E1590" t="s">
        <v>9</v>
      </c>
      <c r="F1590" t="s">
        <v>2729</v>
      </c>
      <c r="G1590" t="s">
        <v>2730</v>
      </c>
      <c r="H1590">
        <v>1.667</v>
      </c>
      <c r="I1590" t="s">
        <v>12</v>
      </c>
    </row>
    <row r="1591" spans="1:9" x14ac:dyDescent="0.3">
      <c r="A1591">
        <v>31</v>
      </c>
      <c r="B1591">
        <v>3</v>
      </c>
      <c r="C1591">
        <v>2</v>
      </c>
      <c r="D1591">
        <v>1</v>
      </c>
      <c r="E1591" t="s">
        <v>9</v>
      </c>
      <c r="F1591" t="s">
        <v>2731</v>
      </c>
      <c r="G1591" t="s">
        <v>2732</v>
      </c>
      <c r="H1591">
        <v>2.5510000000000002</v>
      </c>
      <c r="I1591" t="s">
        <v>12</v>
      </c>
    </row>
    <row r="1592" spans="1:9" x14ac:dyDescent="0.3">
      <c r="A1592">
        <v>31</v>
      </c>
      <c r="B1592">
        <v>3</v>
      </c>
      <c r="C1592">
        <v>2</v>
      </c>
      <c r="D1592">
        <v>1</v>
      </c>
      <c r="E1592" t="s">
        <v>9</v>
      </c>
      <c r="F1592" t="s">
        <v>2733</v>
      </c>
      <c r="G1592" t="s">
        <v>2734</v>
      </c>
      <c r="H1592">
        <v>2.9350000000000001</v>
      </c>
      <c r="I1592" t="s">
        <v>12</v>
      </c>
    </row>
    <row r="1593" spans="1:9" x14ac:dyDescent="0.3">
      <c r="A1593">
        <v>31</v>
      </c>
      <c r="B1593">
        <v>3</v>
      </c>
      <c r="C1593">
        <v>2</v>
      </c>
      <c r="D1593">
        <v>1</v>
      </c>
      <c r="E1593" t="s">
        <v>9</v>
      </c>
      <c r="F1593" t="s">
        <v>2735</v>
      </c>
      <c r="G1593" t="s">
        <v>2736</v>
      </c>
      <c r="H1593">
        <v>1.5860000000000001</v>
      </c>
      <c r="I1593" t="s">
        <v>12</v>
      </c>
    </row>
    <row r="1594" spans="1:9" x14ac:dyDescent="0.3">
      <c r="A1594">
        <v>31</v>
      </c>
      <c r="B1594">
        <v>3</v>
      </c>
      <c r="C1594">
        <v>2</v>
      </c>
      <c r="D1594">
        <v>1</v>
      </c>
      <c r="E1594" t="s">
        <v>22</v>
      </c>
      <c r="F1594" t="s">
        <v>2737</v>
      </c>
      <c r="G1594" t="s">
        <v>2738</v>
      </c>
      <c r="H1594">
        <v>1.5349999999999999</v>
      </c>
      <c r="I1594" t="s">
        <v>21</v>
      </c>
    </row>
    <row r="1595" spans="1:9" x14ac:dyDescent="0.3">
      <c r="A1595">
        <v>31</v>
      </c>
      <c r="B1595">
        <v>3</v>
      </c>
      <c r="C1595">
        <v>2</v>
      </c>
      <c r="D1595">
        <v>1</v>
      </c>
      <c r="E1595" t="s">
        <v>9</v>
      </c>
      <c r="F1595" t="s">
        <v>2739</v>
      </c>
      <c r="G1595" t="s">
        <v>2740</v>
      </c>
      <c r="H1595">
        <v>1.2010000000000001</v>
      </c>
      <c r="I1595" t="s">
        <v>12</v>
      </c>
    </row>
    <row r="1596" spans="1:9" x14ac:dyDescent="0.3">
      <c r="A1596">
        <v>31</v>
      </c>
      <c r="B1596">
        <v>3</v>
      </c>
      <c r="C1596">
        <v>2</v>
      </c>
      <c r="D1596">
        <v>1</v>
      </c>
      <c r="E1596" t="s">
        <v>19</v>
      </c>
      <c r="F1596" t="s">
        <v>2741</v>
      </c>
      <c r="I1596" t="s">
        <v>21</v>
      </c>
    </row>
    <row r="1597" spans="1:9" x14ac:dyDescent="0.3">
      <c r="A1597">
        <v>31</v>
      </c>
      <c r="B1597">
        <v>3</v>
      </c>
      <c r="C1597">
        <v>2</v>
      </c>
      <c r="D1597">
        <v>2</v>
      </c>
      <c r="E1597" t="s">
        <v>9</v>
      </c>
      <c r="F1597" t="s">
        <v>2742</v>
      </c>
      <c r="G1597" t="s">
        <v>2743</v>
      </c>
      <c r="H1597">
        <v>1.8859999999999999</v>
      </c>
      <c r="I1597" t="s">
        <v>12</v>
      </c>
    </row>
    <row r="1598" spans="1:9" x14ac:dyDescent="0.3">
      <c r="A1598">
        <v>31</v>
      </c>
      <c r="B1598">
        <v>3</v>
      </c>
      <c r="C1598">
        <v>2</v>
      </c>
      <c r="D1598">
        <v>2</v>
      </c>
      <c r="E1598" t="s">
        <v>22</v>
      </c>
      <c r="F1598" t="s">
        <v>2744</v>
      </c>
      <c r="G1598" t="s">
        <v>2745</v>
      </c>
      <c r="H1598">
        <v>3.8340000000000001</v>
      </c>
      <c r="I1598" t="s">
        <v>21</v>
      </c>
    </row>
    <row r="1599" spans="1:9" x14ac:dyDescent="0.3">
      <c r="A1599">
        <v>31</v>
      </c>
      <c r="B1599">
        <v>3</v>
      </c>
      <c r="C1599">
        <v>2</v>
      </c>
      <c r="D1599">
        <v>2</v>
      </c>
      <c r="E1599" t="s">
        <v>9</v>
      </c>
      <c r="F1599" t="s">
        <v>2746</v>
      </c>
      <c r="G1599" t="s">
        <v>2747</v>
      </c>
      <c r="H1599">
        <v>2.5670000000000002</v>
      </c>
      <c r="I1599" t="s">
        <v>12</v>
      </c>
    </row>
    <row r="1600" spans="1:9" x14ac:dyDescent="0.3">
      <c r="A1600">
        <v>31</v>
      </c>
      <c r="B1600">
        <v>3</v>
      </c>
      <c r="C1600">
        <v>2</v>
      </c>
      <c r="D1600">
        <v>2</v>
      </c>
      <c r="E1600" t="s">
        <v>9</v>
      </c>
      <c r="F1600" t="s">
        <v>2748</v>
      </c>
      <c r="G1600" t="s">
        <v>2749</v>
      </c>
      <c r="H1600">
        <v>2.734</v>
      </c>
      <c r="I1600" t="s">
        <v>12</v>
      </c>
    </row>
    <row r="1601" spans="1:9" x14ac:dyDescent="0.3">
      <c r="A1601">
        <v>31</v>
      </c>
      <c r="B1601">
        <v>3</v>
      </c>
      <c r="C1601">
        <v>2</v>
      </c>
      <c r="D1601">
        <v>2</v>
      </c>
      <c r="E1601" t="s">
        <v>9</v>
      </c>
      <c r="F1601" t="s">
        <v>2750</v>
      </c>
      <c r="G1601" t="s">
        <v>2751</v>
      </c>
      <c r="H1601">
        <v>2.734</v>
      </c>
      <c r="I1601" t="s">
        <v>12</v>
      </c>
    </row>
    <row r="1602" spans="1:9" x14ac:dyDescent="0.3">
      <c r="A1602">
        <v>31</v>
      </c>
      <c r="B1602">
        <v>3</v>
      </c>
      <c r="C1602">
        <v>2</v>
      </c>
      <c r="D1602">
        <v>2</v>
      </c>
      <c r="E1602" t="s">
        <v>19</v>
      </c>
      <c r="F1602" t="s">
        <v>2752</v>
      </c>
      <c r="I1602" t="s">
        <v>21</v>
      </c>
    </row>
    <row r="1603" spans="1:9" x14ac:dyDescent="0.3">
      <c r="A1603">
        <v>31</v>
      </c>
      <c r="B1603">
        <v>3</v>
      </c>
      <c r="C1603">
        <v>2</v>
      </c>
      <c r="D1603">
        <v>3</v>
      </c>
      <c r="E1603" t="s">
        <v>9</v>
      </c>
      <c r="F1603" t="s">
        <v>2753</v>
      </c>
      <c r="G1603" t="s">
        <v>2754</v>
      </c>
      <c r="H1603">
        <v>3.419</v>
      </c>
      <c r="I1603" t="s">
        <v>12</v>
      </c>
    </row>
    <row r="1604" spans="1:9" x14ac:dyDescent="0.3">
      <c r="A1604">
        <v>31</v>
      </c>
      <c r="B1604">
        <v>3</v>
      </c>
      <c r="C1604">
        <v>2</v>
      </c>
      <c r="D1604">
        <v>3</v>
      </c>
      <c r="E1604" t="s">
        <v>22</v>
      </c>
      <c r="F1604" t="s">
        <v>2755</v>
      </c>
      <c r="G1604" t="s">
        <v>2756</v>
      </c>
      <c r="H1604">
        <v>1.7010000000000001</v>
      </c>
      <c r="I1604" t="s">
        <v>21</v>
      </c>
    </row>
    <row r="1605" spans="1:9" x14ac:dyDescent="0.3">
      <c r="A1605">
        <v>31</v>
      </c>
      <c r="B1605">
        <v>3</v>
      </c>
      <c r="C1605">
        <v>2</v>
      </c>
      <c r="D1605">
        <v>3</v>
      </c>
      <c r="E1605" t="s">
        <v>9</v>
      </c>
      <c r="F1605" t="s">
        <v>2757</v>
      </c>
      <c r="G1605" t="s">
        <v>2758</v>
      </c>
      <c r="H1605">
        <v>2.3679999999999999</v>
      </c>
      <c r="I1605" t="s">
        <v>12</v>
      </c>
    </row>
    <row r="1606" spans="1:9" x14ac:dyDescent="0.3">
      <c r="A1606">
        <v>31</v>
      </c>
      <c r="B1606">
        <v>3</v>
      </c>
      <c r="C1606">
        <v>2</v>
      </c>
      <c r="D1606">
        <v>3</v>
      </c>
      <c r="E1606" t="s">
        <v>9</v>
      </c>
      <c r="F1606" t="s">
        <v>2759</v>
      </c>
      <c r="H1606" t="s">
        <v>81</v>
      </c>
      <c r="I1606" t="s">
        <v>34</v>
      </c>
    </row>
    <row r="1607" spans="1:9" x14ac:dyDescent="0.3">
      <c r="A1607">
        <v>31</v>
      </c>
      <c r="B1607">
        <v>3</v>
      </c>
      <c r="C1607">
        <v>2</v>
      </c>
      <c r="D1607">
        <v>4</v>
      </c>
      <c r="E1607" t="s">
        <v>9</v>
      </c>
      <c r="F1607" t="s">
        <v>2760</v>
      </c>
      <c r="G1607" t="s">
        <v>2761</v>
      </c>
      <c r="H1607">
        <v>2.2189999999999999</v>
      </c>
      <c r="I1607" t="s">
        <v>12</v>
      </c>
    </row>
    <row r="1608" spans="1:9" x14ac:dyDescent="0.3">
      <c r="A1608">
        <v>31</v>
      </c>
      <c r="B1608">
        <v>3</v>
      </c>
      <c r="C1608">
        <v>2</v>
      </c>
      <c r="D1608">
        <v>4</v>
      </c>
      <c r="E1608" t="s">
        <v>9</v>
      </c>
      <c r="F1608" t="s">
        <v>2762</v>
      </c>
      <c r="G1608" t="s">
        <v>2763</v>
      </c>
      <c r="H1608">
        <v>3.452</v>
      </c>
      <c r="I1608" t="s">
        <v>12</v>
      </c>
    </row>
    <row r="1609" spans="1:9" x14ac:dyDescent="0.3">
      <c r="A1609">
        <v>31</v>
      </c>
      <c r="B1609">
        <v>3</v>
      </c>
      <c r="C1609">
        <v>2</v>
      </c>
      <c r="D1609">
        <v>5</v>
      </c>
      <c r="E1609" t="s">
        <v>9</v>
      </c>
      <c r="F1609" t="s">
        <v>2764</v>
      </c>
      <c r="G1609" t="s">
        <v>2765</v>
      </c>
      <c r="H1609">
        <v>2.3849999999999998</v>
      </c>
      <c r="I1609" t="s">
        <v>12</v>
      </c>
    </row>
    <row r="1610" spans="1:9" x14ac:dyDescent="0.3">
      <c r="A1610">
        <v>31</v>
      </c>
      <c r="B1610">
        <v>3</v>
      </c>
      <c r="C1610">
        <v>2</v>
      </c>
      <c r="D1610">
        <v>5</v>
      </c>
      <c r="E1610" t="s">
        <v>9</v>
      </c>
      <c r="F1610" t="s">
        <v>2766</v>
      </c>
      <c r="G1610" t="s">
        <v>2767</v>
      </c>
      <c r="H1610">
        <v>3.601</v>
      </c>
      <c r="I1610" t="s">
        <v>12</v>
      </c>
    </row>
    <row r="1611" spans="1:9" x14ac:dyDescent="0.3">
      <c r="A1611">
        <v>31</v>
      </c>
      <c r="B1611">
        <v>3</v>
      </c>
      <c r="C1611">
        <v>2</v>
      </c>
      <c r="D1611">
        <v>5</v>
      </c>
      <c r="E1611" t="s">
        <v>9</v>
      </c>
      <c r="F1611" t="s">
        <v>2768</v>
      </c>
      <c r="G1611" t="s">
        <v>2769</v>
      </c>
      <c r="H1611">
        <v>4.734</v>
      </c>
      <c r="I1611" t="s">
        <v>12</v>
      </c>
    </row>
    <row r="1612" spans="1:9" x14ac:dyDescent="0.3">
      <c r="A1612">
        <v>31</v>
      </c>
      <c r="B1612">
        <v>3</v>
      </c>
      <c r="C1612">
        <v>2</v>
      </c>
      <c r="D1612">
        <v>5</v>
      </c>
      <c r="E1612" t="s">
        <v>22</v>
      </c>
      <c r="F1612" t="s">
        <v>2770</v>
      </c>
      <c r="G1612" t="s">
        <v>2771</v>
      </c>
      <c r="H1612">
        <v>1.468</v>
      </c>
      <c r="I1612" t="s">
        <v>21</v>
      </c>
    </row>
    <row r="1613" spans="1:9" x14ac:dyDescent="0.3">
      <c r="A1613">
        <v>31</v>
      </c>
      <c r="B1613">
        <v>3</v>
      </c>
      <c r="C1613">
        <v>2</v>
      </c>
      <c r="D1613">
        <v>5</v>
      </c>
      <c r="E1613" t="s">
        <v>9</v>
      </c>
      <c r="F1613" t="s">
        <v>2772</v>
      </c>
      <c r="G1613" t="s">
        <v>2773</v>
      </c>
      <c r="H1613">
        <v>2.5009999999999999</v>
      </c>
      <c r="I1613" t="s">
        <v>12</v>
      </c>
    </row>
    <row r="1614" spans="1:9" x14ac:dyDescent="0.3">
      <c r="A1614">
        <v>31</v>
      </c>
      <c r="B1614">
        <v>3</v>
      </c>
      <c r="C1614">
        <v>2</v>
      </c>
      <c r="D1614">
        <v>5</v>
      </c>
      <c r="E1614" t="s">
        <v>19</v>
      </c>
      <c r="F1614" t="s">
        <v>2774</v>
      </c>
      <c r="I1614" t="s">
        <v>21</v>
      </c>
    </row>
    <row r="1615" spans="1:9" x14ac:dyDescent="0.3">
      <c r="A1615">
        <v>31</v>
      </c>
      <c r="B1615">
        <v>3</v>
      </c>
      <c r="C1615">
        <v>2</v>
      </c>
      <c r="D1615">
        <v>6</v>
      </c>
      <c r="E1615" t="s">
        <v>9</v>
      </c>
      <c r="F1615" t="s">
        <v>2775</v>
      </c>
      <c r="G1615" t="s">
        <v>2776</v>
      </c>
      <c r="H1615">
        <v>2.2189999999999999</v>
      </c>
      <c r="I1615" t="s">
        <v>12</v>
      </c>
    </row>
    <row r="1616" spans="1:9" x14ac:dyDescent="0.3">
      <c r="A1616">
        <v>31</v>
      </c>
      <c r="B1616">
        <v>3</v>
      </c>
      <c r="C1616">
        <v>2</v>
      </c>
      <c r="D1616">
        <v>6</v>
      </c>
      <c r="E1616" t="s">
        <v>22</v>
      </c>
      <c r="F1616" t="s">
        <v>2777</v>
      </c>
      <c r="G1616" t="s">
        <v>2778</v>
      </c>
      <c r="H1616">
        <v>1.5680000000000001</v>
      </c>
      <c r="I1616" t="s">
        <v>21</v>
      </c>
    </row>
    <row r="1617" spans="1:9" x14ac:dyDescent="0.3">
      <c r="A1617">
        <v>31</v>
      </c>
      <c r="B1617">
        <v>3</v>
      </c>
      <c r="C1617">
        <v>2</v>
      </c>
      <c r="D1617">
        <v>6</v>
      </c>
      <c r="E1617" t="s">
        <v>9</v>
      </c>
      <c r="F1617" t="s">
        <v>2779</v>
      </c>
      <c r="G1617" t="s">
        <v>2780</v>
      </c>
      <c r="H1617">
        <v>1.8340000000000001</v>
      </c>
      <c r="I1617" t="s">
        <v>12</v>
      </c>
    </row>
    <row r="1618" spans="1:9" x14ac:dyDescent="0.3">
      <c r="A1618">
        <v>31</v>
      </c>
      <c r="B1618">
        <v>3</v>
      </c>
      <c r="C1618">
        <v>2</v>
      </c>
      <c r="D1618">
        <v>6</v>
      </c>
      <c r="E1618" t="s">
        <v>19</v>
      </c>
      <c r="F1618" t="s">
        <v>2781</v>
      </c>
      <c r="I1618" t="s">
        <v>21</v>
      </c>
    </row>
    <row r="1619" spans="1:9" x14ac:dyDescent="0.3">
      <c r="A1619">
        <v>31</v>
      </c>
      <c r="B1619">
        <v>3</v>
      </c>
      <c r="C1619">
        <v>2</v>
      </c>
      <c r="D1619">
        <v>7</v>
      </c>
      <c r="E1619" t="s">
        <v>9</v>
      </c>
      <c r="F1619" t="s">
        <v>2782</v>
      </c>
      <c r="G1619" t="s">
        <v>2783</v>
      </c>
      <c r="H1619">
        <v>3.7850000000000001</v>
      </c>
      <c r="I1619" t="s">
        <v>12</v>
      </c>
    </row>
    <row r="1620" spans="1:9" x14ac:dyDescent="0.3">
      <c r="A1620">
        <v>31</v>
      </c>
      <c r="B1620">
        <v>3</v>
      </c>
      <c r="C1620">
        <v>2</v>
      </c>
      <c r="D1620">
        <v>7</v>
      </c>
      <c r="E1620" t="s">
        <v>22</v>
      </c>
      <c r="F1620" t="s">
        <v>2784</v>
      </c>
      <c r="G1620" t="s">
        <v>2785</v>
      </c>
      <c r="H1620">
        <v>2.4009999999999998</v>
      </c>
      <c r="I1620" t="s">
        <v>21</v>
      </c>
    </row>
    <row r="1621" spans="1:9" x14ac:dyDescent="0.3">
      <c r="A1621">
        <v>31</v>
      </c>
      <c r="B1621">
        <v>3</v>
      </c>
      <c r="C1621">
        <v>2</v>
      </c>
      <c r="D1621">
        <v>7</v>
      </c>
      <c r="E1621" t="s">
        <v>9</v>
      </c>
      <c r="F1621" t="s">
        <v>2786</v>
      </c>
      <c r="G1621" t="s">
        <v>2787</v>
      </c>
      <c r="H1621">
        <v>1.867</v>
      </c>
      <c r="I1621" t="s">
        <v>12</v>
      </c>
    </row>
    <row r="1622" spans="1:9" x14ac:dyDescent="0.3">
      <c r="A1622">
        <v>31</v>
      </c>
      <c r="B1622">
        <v>3</v>
      </c>
      <c r="C1622">
        <v>2</v>
      </c>
      <c r="D1622">
        <v>7</v>
      </c>
      <c r="E1622" t="s">
        <v>19</v>
      </c>
      <c r="F1622" t="s">
        <v>2788</v>
      </c>
      <c r="I1622" t="s">
        <v>21</v>
      </c>
    </row>
    <row r="1623" spans="1:9" x14ac:dyDescent="0.3">
      <c r="A1623">
        <v>31</v>
      </c>
      <c r="B1623">
        <v>3</v>
      </c>
      <c r="C1623">
        <v>2</v>
      </c>
      <c r="D1623">
        <v>8</v>
      </c>
      <c r="E1623" t="s">
        <v>22</v>
      </c>
      <c r="F1623" t="s">
        <v>2789</v>
      </c>
      <c r="G1623" t="s">
        <v>2790</v>
      </c>
      <c r="H1623">
        <v>1.8859999999999999</v>
      </c>
      <c r="I1623" t="s">
        <v>21</v>
      </c>
    </row>
    <row r="1624" spans="1:9" x14ac:dyDescent="0.3">
      <c r="A1624">
        <v>31</v>
      </c>
      <c r="B1624">
        <v>3</v>
      </c>
      <c r="C1624">
        <v>2</v>
      </c>
      <c r="D1624">
        <v>8</v>
      </c>
      <c r="E1624" t="s">
        <v>9</v>
      </c>
      <c r="F1624" t="s">
        <v>2791</v>
      </c>
      <c r="G1624" t="s">
        <v>2792</v>
      </c>
      <c r="H1624">
        <v>2.6669999999999998</v>
      </c>
      <c r="I1624" t="s">
        <v>12</v>
      </c>
    </row>
    <row r="1625" spans="1:9" x14ac:dyDescent="0.3">
      <c r="A1625">
        <v>31</v>
      </c>
      <c r="B1625">
        <v>3</v>
      </c>
      <c r="C1625">
        <v>2</v>
      </c>
      <c r="D1625">
        <v>9</v>
      </c>
      <c r="E1625" t="s">
        <v>9</v>
      </c>
      <c r="F1625" t="s">
        <v>2793</v>
      </c>
      <c r="G1625" t="s">
        <v>2794</v>
      </c>
      <c r="H1625">
        <v>2.2530000000000001</v>
      </c>
      <c r="I1625" t="s">
        <v>12</v>
      </c>
    </row>
    <row r="1626" spans="1:9" x14ac:dyDescent="0.3">
      <c r="A1626">
        <v>31</v>
      </c>
      <c r="B1626">
        <v>3</v>
      </c>
      <c r="C1626">
        <v>2</v>
      </c>
      <c r="D1626">
        <v>9</v>
      </c>
      <c r="E1626" t="s">
        <v>9</v>
      </c>
      <c r="F1626" t="s">
        <v>2795</v>
      </c>
      <c r="G1626" t="s">
        <v>2796</v>
      </c>
      <c r="H1626">
        <v>1.7350000000000001</v>
      </c>
      <c r="I1626" t="s">
        <v>12</v>
      </c>
    </row>
    <row r="1627" spans="1:9" x14ac:dyDescent="0.3">
      <c r="A1627">
        <v>31</v>
      </c>
      <c r="B1627">
        <v>3</v>
      </c>
      <c r="C1627">
        <v>2</v>
      </c>
      <c r="D1627">
        <v>9</v>
      </c>
      <c r="E1627" t="s">
        <v>22</v>
      </c>
      <c r="F1627" t="s">
        <v>2797</v>
      </c>
      <c r="G1627" t="s">
        <v>2798</v>
      </c>
      <c r="H1627">
        <v>1.6679999999999999</v>
      </c>
      <c r="I1627" t="s">
        <v>21</v>
      </c>
    </row>
    <row r="1628" spans="1:9" x14ac:dyDescent="0.3">
      <c r="A1628">
        <v>31</v>
      </c>
      <c r="B1628">
        <v>3</v>
      </c>
      <c r="C1628">
        <v>2</v>
      </c>
      <c r="D1628">
        <v>9</v>
      </c>
      <c r="E1628" t="s">
        <v>19</v>
      </c>
      <c r="F1628" t="s">
        <v>2799</v>
      </c>
      <c r="I1628" t="s">
        <v>34</v>
      </c>
    </row>
    <row r="1629" spans="1:9" x14ac:dyDescent="0.3">
      <c r="A1629">
        <v>31</v>
      </c>
      <c r="B1629">
        <v>3</v>
      </c>
      <c r="C1629">
        <v>2</v>
      </c>
      <c r="D1629">
        <v>10</v>
      </c>
      <c r="E1629" t="s">
        <v>9</v>
      </c>
      <c r="F1629" t="s">
        <v>2800</v>
      </c>
      <c r="G1629" t="s">
        <v>2801</v>
      </c>
      <c r="H1629">
        <v>2.919</v>
      </c>
      <c r="I1629" t="s">
        <v>12</v>
      </c>
    </row>
    <row r="1630" spans="1:9" x14ac:dyDescent="0.3">
      <c r="A1630">
        <v>31</v>
      </c>
      <c r="B1630">
        <v>3</v>
      </c>
      <c r="C1630">
        <v>2</v>
      </c>
      <c r="D1630">
        <v>10</v>
      </c>
      <c r="E1630" t="s">
        <v>22</v>
      </c>
      <c r="F1630" t="s">
        <v>2802</v>
      </c>
      <c r="G1630" t="s">
        <v>2803</v>
      </c>
      <c r="H1630">
        <v>1.4</v>
      </c>
      <c r="I1630" t="s">
        <v>21</v>
      </c>
    </row>
    <row r="1631" spans="1:9" x14ac:dyDescent="0.3">
      <c r="A1631">
        <v>31</v>
      </c>
      <c r="B1631">
        <v>3</v>
      </c>
      <c r="C1631">
        <v>2</v>
      </c>
      <c r="D1631">
        <v>10</v>
      </c>
      <c r="E1631" t="s">
        <v>9</v>
      </c>
      <c r="F1631" t="s">
        <v>2804</v>
      </c>
      <c r="G1631" t="s">
        <v>2805</v>
      </c>
      <c r="H1631">
        <v>3.8679999999999999</v>
      </c>
      <c r="I1631" t="s">
        <v>12</v>
      </c>
    </row>
    <row r="1632" spans="1:9" x14ac:dyDescent="0.3">
      <c r="A1632">
        <v>31</v>
      </c>
      <c r="B1632">
        <v>3</v>
      </c>
      <c r="C1632">
        <v>2</v>
      </c>
      <c r="D1632">
        <v>10</v>
      </c>
      <c r="E1632" t="s">
        <v>9</v>
      </c>
      <c r="F1632" t="s">
        <v>2806</v>
      </c>
      <c r="G1632" t="s">
        <v>2807</v>
      </c>
      <c r="H1632">
        <v>1.734</v>
      </c>
      <c r="I1632" t="s">
        <v>12</v>
      </c>
    </row>
    <row r="1633" spans="1:9" x14ac:dyDescent="0.3">
      <c r="A1633">
        <v>31</v>
      </c>
      <c r="B1633">
        <v>3</v>
      </c>
      <c r="C1633">
        <v>2</v>
      </c>
      <c r="D1633">
        <v>10</v>
      </c>
      <c r="E1633" t="s">
        <v>9</v>
      </c>
      <c r="F1633" t="s">
        <v>2808</v>
      </c>
      <c r="G1633" t="s">
        <v>2809</v>
      </c>
      <c r="H1633">
        <v>1.635</v>
      </c>
      <c r="I1633" t="s">
        <v>12</v>
      </c>
    </row>
    <row r="1634" spans="1:9" x14ac:dyDescent="0.3">
      <c r="A1634">
        <v>31</v>
      </c>
      <c r="B1634">
        <v>3</v>
      </c>
      <c r="C1634">
        <v>2</v>
      </c>
      <c r="D1634">
        <v>10</v>
      </c>
      <c r="E1634" t="s">
        <v>19</v>
      </c>
      <c r="F1634" t="s">
        <v>2810</v>
      </c>
      <c r="I1634" t="s">
        <v>21</v>
      </c>
    </row>
    <row r="1635" spans="1:9" x14ac:dyDescent="0.3">
      <c r="A1635">
        <v>31</v>
      </c>
      <c r="B1635">
        <v>3</v>
      </c>
      <c r="C1635">
        <v>2</v>
      </c>
      <c r="D1635">
        <v>11</v>
      </c>
      <c r="E1635" t="s">
        <v>22</v>
      </c>
      <c r="F1635" t="s">
        <v>2811</v>
      </c>
      <c r="G1635" t="s">
        <v>2812</v>
      </c>
      <c r="H1635">
        <v>2.1850000000000001</v>
      </c>
      <c r="I1635" t="s">
        <v>21</v>
      </c>
    </row>
    <row r="1636" spans="1:9" x14ac:dyDescent="0.3">
      <c r="A1636">
        <v>31</v>
      </c>
      <c r="B1636">
        <v>3</v>
      </c>
      <c r="C1636">
        <v>2</v>
      </c>
      <c r="D1636">
        <v>11</v>
      </c>
      <c r="E1636" t="s">
        <v>9</v>
      </c>
      <c r="F1636" t="s">
        <v>2813</v>
      </c>
      <c r="G1636" t="s">
        <v>2814</v>
      </c>
      <c r="H1636">
        <v>2.7</v>
      </c>
      <c r="I1636" t="s">
        <v>12</v>
      </c>
    </row>
    <row r="1637" spans="1:9" x14ac:dyDescent="0.3">
      <c r="A1637">
        <v>31</v>
      </c>
      <c r="B1637">
        <v>3</v>
      </c>
      <c r="C1637">
        <v>2</v>
      </c>
      <c r="D1637">
        <v>11</v>
      </c>
      <c r="E1637" t="s">
        <v>19</v>
      </c>
      <c r="F1637" t="s">
        <v>2815</v>
      </c>
      <c r="I1637" t="s">
        <v>34</v>
      </c>
    </row>
    <row r="1638" spans="1:9" x14ac:dyDescent="0.3">
      <c r="A1638">
        <v>31</v>
      </c>
      <c r="B1638">
        <v>3</v>
      </c>
      <c r="C1638">
        <v>2</v>
      </c>
      <c r="D1638">
        <v>12</v>
      </c>
      <c r="E1638" t="s">
        <v>22</v>
      </c>
      <c r="F1638" t="s">
        <v>2816</v>
      </c>
      <c r="G1638" t="s">
        <v>2817</v>
      </c>
      <c r="H1638">
        <v>2.1190000000000002</v>
      </c>
      <c r="I1638" t="s">
        <v>21</v>
      </c>
    </row>
    <row r="1639" spans="1:9" x14ac:dyDescent="0.3">
      <c r="A1639">
        <v>31</v>
      </c>
      <c r="B1639">
        <v>3</v>
      </c>
      <c r="C1639">
        <v>2</v>
      </c>
      <c r="D1639">
        <v>12</v>
      </c>
      <c r="E1639" t="s">
        <v>9</v>
      </c>
      <c r="F1639" t="s">
        <v>2818</v>
      </c>
      <c r="G1639" t="s">
        <v>2819</v>
      </c>
      <c r="H1639">
        <v>1.867</v>
      </c>
      <c r="I1639" t="s">
        <v>12</v>
      </c>
    </row>
    <row r="1640" spans="1:9" x14ac:dyDescent="0.3">
      <c r="A1640">
        <v>31</v>
      </c>
      <c r="B1640">
        <v>3</v>
      </c>
      <c r="C1640">
        <v>2</v>
      </c>
      <c r="D1640">
        <v>12</v>
      </c>
      <c r="E1640" t="s">
        <v>19</v>
      </c>
      <c r="F1640" t="s">
        <v>2820</v>
      </c>
      <c r="I1640" t="s">
        <v>34</v>
      </c>
    </row>
    <row r="1641" spans="1:9" x14ac:dyDescent="0.3">
      <c r="A1641">
        <v>31</v>
      </c>
      <c r="B1641">
        <v>3</v>
      </c>
      <c r="C1641">
        <v>2</v>
      </c>
      <c r="D1641">
        <v>13</v>
      </c>
      <c r="E1641" t="s">
        <v>19</v>
      </c>
      <c r="F1641" t="s">
        <v>2821</v>
      </c>
      <c r="I1641" t="s">
        <v>34</v>
      </c>
    </row>
    <row r="1642" spans="1:9" x14ac:dyDescent="0.3">
      <c r="A1642">
        <v>31</v>
      </c>
      <c r="B1642">
        <v>3</v>
      </c>
      <c r="C1642">
        <v>2</v>
      </c>
      <c r="D1642">
        <v>14</v>
      </c>
      <c r="E1642" t="s">
        <v>9</v>
      </c>
      <c r="F1642" t="s">
        <v>2822</v>
      </c>
      <c r="G1642" t="s">
        <v>2823</v>
      </c>
      <c r="H1642">
        <v>2.419</v>
      </c>
      <c r="I1642" t="s">
        <v>12</v>
      </c>
    </row>
    <row r="1643" spans="1:9" x14ac:dyDescent="0.3">
      <c r="A1643">
        <v>31</v>
      </c>
      <c r="B1643">
        <v>3</v>
      </c>
      <c r="C1643">
        <v>2</v>
      </c>
      <c r="D1643">
        <v>14</v>
      </c>
      <c r="E1643" t="s">
        <v>9</v>
      </c>
      <c r="F1643" t="s">
        <v>2824</v>
      </c>
      <c r="G1643" t="s">
        <v>2825</v>
      </c>
      <c r="H1643">
        <v>1.867</v>
      </c>
      <c r="I1643" t="s">
        <v>12</v>
      </c>
    </row>
    <row r="1644" spans="1:9" x14ac:dyDescent="0.3">
      <c r="A1644">
        <v>31</v>
      </c>
      <c r="B1644">
        <v>3</v>
      </c>
      <c r="C1644">
        <v>2</v>
      </c>
      <c r="D1644">
        <v>14</v>
      </c>
      <c r="E1644" t="s">
        <v>22</v>
      </c>
      <c r="F1644" t="s">
        <v>2826</v>
      </c>
      <c r="G1644" t="s">
        <v>2827</v>
      </c>
      <c r="H1644">
        <v>1.5349999999999999</v>
      </c>
      <c r="I1644" t="s">
        <v>21</v>
      </c>
    </row>
    <row r="1645" spans="1:9" x14ac:dyDescent="0.3">
      <c r="A1645">
        <v>31</v>
      </c>
      <c r="B1645">
        <v>3</v>
      </c>
      <c r="C1645">
        <v>2</v>
      </c>
      <c r="D1645">
        <v>14</v>
      </c>
      <c r="E1645" t="s">
        <v>19</v>
      </c>
      <c r="F1645" t="s">
        <v>2828</v>
      </c>
      <c r="I1645" t="s">
        <v>34</v>
      </c>
    </row>
    <row r="1646" spans="1:9" x14ac:dyDescent="0.3">
      <c r="A1646">
        <v>31</v>
      </c>
      <c r="B1646">
        <v>3</v>
      </c>
      <c r="C1646">
        <v>2</v>
      </c>
      <c r="D1646">
        <v>14</v>
      </c>
      <c r="E1646" t="s">
        <v>9</v>
      </c>
      <c r="F1646" t="s">
        <v>2829</v>
      </c>
      <c r="G1646" t="s">
        <v>2830</v>
      </c>
      <c r="H1646">
        <v>1.6339999999999999</v>
      </c>
      <c r="I1646" t="s">
        <v>12</v>
      </c>
    </row>
    <row r="1647" spans="1:9" x14ac:dyDescent="0.3">
      <c r="A1647">
        <v>31</v>
      </c>
      <c r="B1647">
        <v>3</v>
      </c>
      <c r="C1647">
        <v>2</v>
      </c>
      <c r="D1647">
        <v>15</v>
      </c>
      <c r="E1647" t="s">
        <v>9</v>
      </c>
      <c r="F1647" t="s">
        <v>2831</v>
      </c>
      <c r="G1647" t="s">
        <v>2832</v>
      </c>
      <c r="H1647">
        <v>1.7929999999999999</v>
      </c>
      <c r="I1647" t="s">
        <v>12</v>
      </c>
    </row>
    <row r="1648" spans="1:9" x14ac:dyDescent="0.3">
      <c r="A1648">
        <v>31</v>
      </c>
      <c r="B1648">
        <v>3</v>
      </c>
      <c r="C1648">
        <v>2</v>
      </c>
      <c r="D1648">
        <v>15</v>
      </c>
      <c r="E1648" t="s">
        <v>9</v>
      </c>
      <c r="F1648" t="s">
        <v>2833</v>
      </c>
      <c r="G1648" t="s">
        <v>2834</v>
      </c>
      <c r="H1648">
        <v>2.552</v>
      </c>
      <c r="I1648" t="s">
        <v>12</v>
      </c>
    </row>
    <row r="1649" spans="1:9" x14ac:dyDescent="0.3">
      <c r="A1649">
        <v>31</v>
      </c>
      <c r="B1649">
        <v>3</v>
      </c>
      <c r="C1649">
        <v>2</v>
      </c>
      <c r="D1649">
        <v>15</v>
      </c>
      <c r="E1649" t="s">
        <v>22</v>
      </c>
      <c r="F1649" t="s">
        <v>2835</v>
      </c>
      <c r="G1649" t="s">
        <v>2836</v>
      </c>
      <c r="H1649">
        <v>1.601</v>
      </c>
      <c r="I1649" t="s">
        <v>21</v>
      </c>
    </row>
    <row r="1650" spans="1:9" x14ac:dyDescent="0.3">
      <c r="A1650">
        <v>31</v>
      </c>
      <c r="B1650">
        <v>3</v>
      </c>
      <c r="C1650">
        <v>2</v>
      </c>
      <c r="D1650">
        <v>15</v>
      </c>
      <c r="E1650" t="s">
        <v>9</v>
      </c>
      <c r="F1650" t="s">
        <v>2837</v>
      </c>
      <c r="G1650" t="s">
        <v>2838</v>
      </c>
      <c r="H1650">
        <v>1.8680000000000001</v>
      </c>
      <c r="I1650" t="s">
        <v>12</v>
      </c>
    </row>
    <row r="1651" spans="1:9" x14ac:dyDescent="0.3">
      <c r="A1651">
        <v>31</v>
      </c>
      <c r="B1651">
        <v>3</v>
      </c>
      <c r="C1651">
        <v>2</v>
      </c>
      <c r="D1651">
        <v>15</v>
      </c>
      <c r="E1651" t="s">
        <v>19</v>
      </c>
      <c r="F1651" t="s">
        <v>2839</v>
      </c>
      <c r="I1651" t="s">
        <v>21</v>
      </c>
    </row>
    <row r="1652" spans="1:9" x14ac:dyDescent="0.3">
      <c r="A1652">
        <v>31</v>
      </c>
      <c r="B1652">
        <v>3</v>
      </c>
      <c r="C1652">
        <v>2</v>
      </c>
      <c r="D1652">
        <v>16</v>
      </c>
      <c r="E1652" t="s">
        <v>22</v>
      </c>
      <c r="F1652" t="s">
        <v>2840</v>
      </c>
      <c r="G1652" t="s">
        <v>2841</v>
      </c>
      <c r="H1652">
        <v>1.7190000000000001</v>
      </c>
      <c r="I1652" t="s">
        <v>21</v>
      </c>
    </row>
    <row r="1653" spans="1:9" x14ac:dyDescent="0.3">
      <c r="A1653">
        <v>31</v>
      </c>
      <c r="B1653">
        <v>3</v>
      </c>
      <c r="C1653">
        <v>2</v>
      </c>
      <c r="D1653">
        <v>16</v>
      </c>
      <c r="E1653" t="s">
        <v>9</v>
      </c>
      <c r="F1653" t="s">
        <v>2842</v>
      </c>
      <c r="G1653" t="s">
        <v>2843</v>
      </c>
      <c r="H1653">
        <v>3.2669999999999999</v>
      </c>
      <c r="I1653" t="s">
        <v>12</v>
      </c>
    </row>
    <row r="1654" spans="1:9" x14ac:dyDescent="0.3">
      <c r="A1654">
        <v>31</v>
      </c>
      <c r="B1654">
        <v>3</v>
      </c>
      <c r="C1654">
        <v>2</v>
      </c>
      <c r="D1654">
        <v>16</v>
      </c>
      <c r="E1654" t="s">
        <v>9</v>
      </c>
      <c r="F1654" t="s">
        <v>2844</v>
      </c>
      <c r="G1654" t="s">
        <v>2845</v>
      </c>
      <c r="H1654">
        <v>1.8340000000000001</v>
      </c>
      <c r="I1654" t="s">
        <v>12</v>
      </c>
    </row>
    <row r="1655" spans="1:9" x14ac:dyDescent="0.3">
      <c r="A1655">
        <v>31</v>
      </c>
      <c r="B1655">
        <v>3</v>
      </c>
      <c r="C1655">
        <v>2</v>
      </c>
      <c r="D1655">
        <v>16</v>
      </c>
      <c r="E1655" t="s">
        <v>9</v>
      </c>
      <c r="F1655" t="s">
        <v>2846</v>
      </c>
      <c r="G1655" t="s">
        <v>2847</v>
      </c>
      <c r="H1655">
        <v>2.9340000000000002</v>
      </c>
      <c r="I1655" t="s">
        <v>12</v>
      </c>
    </row>
    <row r="1656" spans="1:9" x14ac:dyDescent="0.3">
      <c r="A1656">
        <v>31</v>
      </c>
      <c r="B1656">
        <v>3</v>
      </c>
      <c r="C1656">
        <v>2</v>
      </c>
      <c r="D1656">
        <v>16</v>
      </c>
      <c r="E1656" t="s">
        <v>19</v>
      </c>
      <c r="F1656" t="s">
        <v>2848</v>
      </c>
      <c r="I1656" t="s">
        <v>21</v>
      </c>
    </row>
    <row r="1657" spans="1:9" x14ac:dyDescent="0.3">
      <c r="A1657">
        <v>31</v>
      </c>
      <c r="B1657">
        <v>3</v>
      </c>
      <c r="C1657">
        <v>2</v>
      </c>
      <c r="D1657">
        <v>16</v>
      </c>
      <c r="E1657" t="s">
        <v>9</v>
      </c>
      <c r="F1657" t="s">
        <v>2849</v>
      </c>
      <c r="G1657" t="s">
        <v>2850</v>
      </c>
      <c r="H1657">
        <v>1.468</v>
      </c>
      <c r="I1657" t="s">
        <v>12</v>
      </c>
    </row>
    <row r="1658" spans="1:9" x14ac:dyDescent="0.3">
      <c r="A1658">
        <v>31</v>
      </c>
      <c r="B1658">
        <v>3</v>
      </c>
      <c r="C1658">
        <v>2</v>
      </c>
      <c r="D1658">
        <v>18</v>
      </c>
      <c r="E1658" t="s">
        <v>9</v>
      </c>
      <c r="F1658" t="s">
        <v>2851</v>
      </c>
      <c r="H1658" t="s">
        <v>81</v>
      </c>
      <c r="I1658" t="s">
        <v>34</v>
      </c>
    </row>
    <row r="1659" spans="1:9" x14ac:dyDescent="0.3">
      <c r="A1659">
        <v>31</v>
      </c>
      <c r="B1659">
        <v>3</v>
      </c>
      <c r="C1659">
        <v>2</v>
      </c>
      <c r="D1659">
        <v>19</v>
      </c>
      <c r="E1659" t="s">
        <v>9</v>
      </c>
      <c r="F1659" t="s">
        <v>2852</v>
      </c>
      <c r="G1659" t="s">
        <v>2853</v>
      </c>
      <c r="H1659">
        <v>3.0859999999999999</v>
      </c>
      <c r="I1659" t="s">
        <v>12</v>
      </c>
    </row>
    <row r="1660" spans="1:9" x14ac:dyDescent="0.3">
      <c r="A1660">
        <v>31</v>
      </c>
      <c r="B1660">
        <v>3</v>
      </c>
      <c r="C1660">
        <v>2</v>
      </c>
      <c r="D1660">
        <v>19</v>
      </c>
      <c r="E1660" t="s">
        <v>22</v>
      </c>
      <c r="F1660" t="s">
        <v>2854</v>
      </c>
      <c r="G1660" t="s">
        <v>2855</v>
      </c>
      <c r="H1660">
        <v>2.468</v>
      </c>
      <c r="I1660" t="s">
        <v>21</v>
      </c>
    </row>
    <row r="1661" spans="1:9" x14ac:dyDescent="0.3">
      <c r="A1661">
        <v>31</v>
      </c>
      <c r="B1661">
        <v>3</v>
      </c>
      <c r="C1661">
        <v>2</v>
      </c>
      <c r="D1661">
        <v>19</v>
      </c>
      <c r="E1661" t="s">
        <v>9</v>
      </c>
      <c r="F1661" t="s">
        <v>2856</v>
      </c>
      <c r="G1661" t="s">
        <v>2857</v>
      </c>
      <c r="H1661">
        <v>4.8520000000000003</v>
      </c>
      <c r="I1661" t="s">
        <v>12</v>
      </c>
    </row>
    <row r="1662" spans="1:9" x14ac:dyDescent="0.3">
      <c r="A1662">
        <v>31</v>
      </c>
      <c r="B1662">
        <v>3</v>
      </c>
      <c r="C1662">
        <v>2</v>
      </c>
      <c r="D1662">
        <v>19</v>
      </c>
      <c r="E1662" t="s">
        <v>9</v>
      </c>
      <c r="F1662" t="s">
        <v>2858</v>
      </c>
      <c r="G1662" t="s">
        <v>2859</v>
      </c>
      <c r="H1662">
        <v>1.5680000000000001</v>
      </c>
      <c r="I1662" t="s">
        <v>12</v>
      </c>
    </row>
    <row r="1663" spans="1:9" x14ac:dyDescent="0.3">
      <c r="A1663">
        <v>31</v>
      </c>
      <c r="B1663">
        <v>3</v>
      </c>
      <c r="C1663">
        <v>2</v>
      </c>
      <c r="D1663">
        <v>19</v>
      </c>
      <c r="E1663" t="s">
        <v>19</v>
      </c>
      <c r="F1663" t="s">
        <v>2860</v>
      </c>
      <c r="I1663" t="s">
        <v>34</v>
      </c>
    </row>
    <row r="1664" spans="1:9" x14ac:dyDescent="0.3">
      <c r="A1664">
        <v>31</v>
      </c>
      <c r="B1664">
        <v>3</v>
      </c>
      <c r="C1664">
        <v>2</v>
      </c>
      <c r="D1664">
        <v>20</v>
      </c>
      <c r="E1664" t="s">
        <v>22</v>
      </c>
      <c r="F1664" t="s">
        <v>2861</v>
      </c>
      <c r="G1664" t="s">
        <v>2862</v>
      </c>
      <c r="H1664">
        <v>1.784</v>
      </c>
      <c r="I1664" t="s">
        <v>21</v>
      </c>
    </row>
    <row r="1665" spans="1:9" x14ac:dyDescent="0.3">
      <c r="A1665">
        <v>31</v>
      </c>
      <c r="B1665">
        <v>3</v>
      </c>
      <c r="C1665">
        <v>2</v>
      </c>
      <c r="D1665">
        <v>20</v>
      </c>
      <c r="E1665" t="s">
        <v>9</v>
      </c>
      <c r="F1665" t="s">
        <v>2863</v>
      </c>
      <c r="G1665" t="s">
        <v>2864</v>
      </c>
      <c r="H1665">
        <v>3.9009999999999998</v>
      </c>
      <c r="I1665" t="s">
        <v>12</v>
      </c>
    </row>
    <row r="1666" spans="1:9" x14ac:dyDescent="0.3">
      <c r="A1666">
        <v>31</v>
      </c>
      <c r="B1666">
        <v>3</v>
      </c>
      <c r="C1666">
        <v>2</v>
      </c>
      <c r="D1666">
        <v>20</v>
      </c>
      <c r="E1666" t="s">
        <v>9</v>
      </c>
      <c r="F1666" t="s">
        <v>2865</v>
      </c>
      <c r="G1666" t="s">
        <v>2866</v>
      </c>
      <c r="H1666">
        <v>1.9670000000000001</v>
      </c>
      <c r="I1666" t="s">
        <v>12</v>
      </c>
    </row>
    <row r="1667" spans="1:9" x14ac:dyDescent="0.3">
      <c r="A1667">
        <v>31</v>
      </c>
      <c r="B1667">
        <v>3</v>
      </c>
      <c r="C1667">
        <v>2</v>
      </c>
      <c r="D1667">
        <v>20</v>
      </c>
      <c r="E1667" t="s">
        <v>9</v>
      </c>
      <c r="F1667" t="s">
        <v>2867</v>
      </c>
      <c r="G1667" t="s">
        <v>2868</v>
      </c>
      <c r="H1667">
        <v>1.601</v>
      </c>
      <c r="I1667" t="s">
        <v>12</v>
      </c>
    </row>
    <row r="1668" spans="1:9" x14ac:dyDescent="0.3">
      <c r="A1668">
        <v>31</v>
      </c>
      <c r="B1668">
        <v>3</v>
      </c>
      <c r="C1668">
        <v>2</v>
      </c>
      <c r="D1668">
        <v>20</v>
      </c>
      <c r="E1668" t="s">
        <v>9</v>
      </c>
      <c r="F1668" t="s">
        <v>2869</v>
      </c>
      <c r="G1668" t="s">
        <v>2870</v>
      </c>
      <c r="H1668">
        <v>1.7010000000000001</v>
      </c>
      <c r="I1668" t="s">
        <v>12</v>
      </c>
    </row>
    <row r="1669" spans="1:9" x14ac:dyDescent="0.3">
      <c r="A1669">
        <v>31</v>
      </c>
      <c r="B1669">
        <v>3</v>
      </c>
      <c r="C1669">
        <v>2</v>
      </c>
      <c r="D1669">
        <v>20</v>
      </c>
      <c r="E1669" t="s">
        <v>19</v>
      </c>
      <c r="F1669" t="s">
        <v>2871</v>
      </c>
      <c r="I1669" t="s">
        <v>21</v>
      </c>
    </row>
    <row r="1670" spans="1:9" x14ac:dyDescent="0.3">
      <c r="A1670">
        <v>31</v>
      </c>
      <c r="B1670">
        <v>3</v>
      </c>
      <c r="C1670">
        <v>2</v>
      </c>
      <c r="D1670">
        <v>21</v>
      </c>
      <c r="E1670" t="s">
        <v>9</v>
      </c>
      <c r="F1670" t="s">
        <v>2872</v>
      </c>
      <c r="G1670" t="s">
        <v>2873</v>
      </c>
      <c r="H1670">
        <v>1.8520000000000001</v>
      </c>
      <c r="I1670" t="s">
        <v>12</v>
      </c>
    </row>
    <row r="1671" spans="1:9" x14ac:dyDescent="0.3">
      <c r="A1671">
        <v>31</v>
      </c>
      <c r="B1671">
        <v>3</v>
      </c>
      <c r="C1671">
        <v>2</v>
      </c>
      <c r="D1671">
        <v>21</v>
      </c>
      <c r="E1671" t="s">
        <v>9</v>
      </c>
      <c r="F1671" t="s">
        <v>2874</v>
      </c>
      <c r="H1671" t="s">
        <v>81</v>
      </c>
      <c r="I1671" t="s">
        <v>34</v>
      </c>
    </row>
    <row r="1672" spans="1:9" x14ac:dyDescent="0.3">
      <c r="A1672">
        <v>31</v>
      </c>
      <c r="B1672">
        <v>3</v>
      </c>
      <c r="C1672">
        <v>2</v>
      </c>
      <c r="D1672">
        <v>21</v>
      </c>
      <c r="E1672" t="s">
        <v>22</v>
      </c>
      <c r="F1672" t="s">
        <v>2875</v>
      </c>
      <c r="G1672" t="s">
        <v>2876</v>
      </c>
      <c r="H1672">
        <v>2.5009999999999999</v>
      </c>
      <c r="I1672" t="s">
        <v>21</v>
      </c>
    </row>
    <row r="1673" spans="1:9" x14ac:dyDescent="0.3">
      <c r="A1673">
        <v>31</v>
      </c>
      <c r="B1673">
        <v>3</v>
      </c>
      <c r="C1673">
        <v>2</v>
      </c>
      <c r="D1673">
        <v>21</v>
      </c>
      <c r="E1673" t="s">
        <v>9</v>
      </c>
      <c r="F1673" t="s">
        <v>2877</v>
      </c>
      <c r="G1673" t="s">
        <v>2878</v>
      </c>
      <c r="H1673">
        <v>2.0339999999999998</v>
      </c>
      <c r="I1673" t="s">
        <v>12</v>
      </c>
    </row>
    <row r="1674" spans="1:9" x14ac:dyDescent="0.3">
      <c r="A1674">
        <v>31</v>
      </c>
      <c r="B1674">
        <v>3</v>
      </c>
      <c r="C1674">
        <v>2</v>
      </c>
      <c r="D1674">
        <v>21</v>
      </c>
      <c r="E1674" t="s">
        <v>9</v>
      </c>
      <c r="F1674" t="s">
        <v>5368</v>
      </c>
      <c r="G1674" t="s">
        <v>5369</v>
      </c>
      <c r="H1674">
        <v>2.7010000000000001</v>
      </c>
      <c r="I1674" t="s">
        <v>12</v>
      </c>
    </row>
    <row r="1675" spans="1:9" x14ac:dyDescent="0.3">
      <c r="A1675">
        <v>32</v>
      </c>
      <c r="B1675">
        <v>1</v>
      </c>
      <c r="C1675">
        <v>1</v>
      </c>
      <c r="D1675">
        <v>1</v>
      </c>
      <c r="E1675" t="s">
        <v>9</v>
      </c>
      <c r="F1675" t="s">
        <v>2879</v>
      </c>
      <c r="G1675" t="s">
        <v>2880</v>
      </c>
      <c r="H1675">
        <v>5.8860000000000001</v>
      </c>
      <c r="I1675" t="s">
        <v>12</v>
      </c>
    </row>
    <row r="1676" spans="1:9" x14ac:dyDescent="0.3">
      <c r="A1676">
        <v>32</v>
      </c>
      <c r="B1676">
        <v>1</v>
      </c>
      <c r="C1676">
        <v>1</v>
      </c>
      <c r="D1676">
        <v>2</v>
      </c>
      <c r="E1676" t="s">
        <v>9</v>
      </c>
      <c r="F1676" t="s">
        <v>2881</v>
      </c>
      <c r="G1676" t="s">
        <v>2882</v>
      </c>
      <c r="H1676">
        <v>1.353</v>
      </c>
      <c r="I1676" t="s">
        <v>12</v>
      </c>
    </row>
    <row r="1677" spans="1:9" x14ac:dyDescent="0.3">
      <c r="A1677">
        <v>32</v>
      </c>
      <c r="B1677">
        <v>1</v>
      </c>
      <c r="C1677">
        <v>1</v>
      </c>
      <c r="D1677">
        <v>3</v>
      </c>
      <c r="E1677" t="s">
        <v>22</v>
      </c>
      <c r="F1677" t="s">
        <v>2883</v>
      </c>
      <c r="G1677" t="s">
        <v>2884</v>
      </c>
      <c r="H1677">
        <v>5.1539999999999999</v>
      </c>
      <c r="I1677" t="s">
        <v>34</v>
      </c>
    </row>
    <row r="1678" spans="1:9" x14ac:dyDescent="0.3">
      <c r="A1678">
        <v>32</v>
      </c>
      <c r="B1678">
        <v>1</v>
      </c>
      <c r="C1678">
        <v>1</v>
      </c>
      <c r="D1678">
        <v>3</v>
      </c>
      <c r="E1678" t="s">
        <v>9</v>
      </c>
      <c r="F1678" t="s">
        <v>2885</v>
      </c>
      <c r="G1678" t="s">
        <v>2886</v>
      </c>
      <c r="H1678">
        <v>3.786</v>
      </c>
      <c r="I1678" t="s">
        <v>12</v>
      </c>
    </row>
    <row r="1679" spans="1:9" x14ac:dyDescent="0.3">
      <c r="A1679">
        <v>32</v>
      </c>
      <c r="B1679">
        <v>1</v>
      </c>
      <c r="C1679">
        <v>1</v>
      </c>
      <c r="D1679">
        <v>3</v>
      </c>
      <c r="E1679" t="s">
        <v>9</v>
      </c>
      <c r="F1679" t="s">
        <v>2887</v>
      </c>
      <c r="G1679" t="s">
        <v>2888</v>
      </c>
      <c r="H1679">
        <v>3.5339999999999998</v>
      </c>
      <c r="I1679" t="s">
        <v>12</v>
      </c>
    </row>
    <row r="1680" spans="1:9" x14ac:dyDescent="0.3">
      <c r="A1680">
        <v>32</v>
      </c>
      <c r="B1680">
        <v>1</v>
      </c>
      <c r="C1680">
        <v>1</v>
      </c>
      <c r="D1680">
        <v>3</v>
      </c>
      <c r="E1680" t="s">
        <v>19</v>
      </c>
      <c r="F1680" t="s">
        <v>2889</v>
      </c>
      <c r="I1680" t="s">
        <v>21</v>
      </c>
    </row>
    <row r="1681" spans="1:9" x14ac:dyDescent="0.3">
      <c r="A1681">
        <v>32</v>
      </c>
      <c r="B1681">
        <v>1</v>
      </c>
      <c r="C1681">
        <v>1</v>
      </c>
      <c r="D1681">
        <v>3</v>
      </c>
      <c r="E1681" t="s">
        <v>22</v>
      </c>
      <c r="F1681" t="s">
        <v>2890</v>
      </c>
      <c r="G1681" t="s">
        <v>2891</v>
      </c>
      <c r="H1681">
        <v>1.8340000000000001</v>
      </c>
      <c r="I1681" t="s">
        <v>21</v>
      </c>
    </row>
    <row r="1682" spans="1:9" x14ac:dyDescent="0.3">
      <c r="A1682">
        <v>32</v>
      </c>
      <c r="B1682">
        <v>1</v>
      </c>
      <c r="C1682">
        <v>1</v>
      </c>
      <c r="D1682">
        <v>4</v>
      </c>
      <c r="E1682" t="s">
        <v>22</v>
      </c>
      <c r="F1682" t="s">
        <v>2892</v>
      </c>
      <c r="G1682" t="s">
        <v>2893</v>
      </c>
      <c r="H1682">
        <v>1.6859999999999999</v>
      </c>
      <c r="I1682" t="s">
        <v>21</v>
      </c>
    </row>
    <row r="1683" spans="1:9" x14ac:dyDescent="0.3">
      <c r="A1683">
        <v>32</v>
      </c>
      <c r="B1683">
        <v>1</v>
      </c>
      <c r="C1683">
        <v>1</v>
      </c>
      <c r="D1683">
        <v>4</v>
      </c>
      <c r="E1683" t="s">
        <v>9</v>
      </c>
      <c r="F1683" t="s">
        <v>2894</v>
      </c>
      <c r="G1683" t="s">
        <v>2895</v>
      </c>
      <c r="H1683">
        <v>1.1859999999999999</v>
      </c>
      <c r="I1683" t="s">
        <v>12</v>
      </c>
    </row>
    <row r="1684" spans="1:9" x14ac:dyDescent="0.3">
      <c r="A1684">
        <v>32</v>
      </c>
      <c r="B1684">
        <v>1</v>
      </c>
      <c r="C1684">
        <v>1</v>
      </c>
      <c r="D1684">
        <v>4</v>
      </c>
      <c r="E1684" t="s">
        <v>9</v>
      </c>
      <c r="F1684" t="s">
        <v>2896</v>
      </c>
      <c r="G1684" t="s">
        <v>2897</v>
      </c>
      <c r="H1684">
        <v>1.7010000000000001</v>
      </c>
      <c r="I1684" t="s">
        <v>12</v>
      </c>
    </row>
    <row r="1685" spans="1:9" x14ac:dyDescent="0.3">
      <c r="A1685">
        <v>32</v>
      </c>
      <c r="B1685">
        <v>1</v>
      </c>
      <c r="C1685">
        <v>1</v>
      </c>
      <c r="D1685">
        <v>4</v>
      </c>
      <c r="E1685" t="s">
        <v>19</v>
      </c>
      <c r="F1685" t="s">
        <v>2898</v>
      </c>
      <c r="I1685" t="s">
        <v>21</v>
      </c>
    </row>
    <row r="1686" spans="1:9" x14ac:dyDescent="0.3">
      <c r="A1686">
        <v>32</v>
      </c>
      <c r="B1686">
        <v>1</v>
      </c>
      <c r="C1686">
        <v>1</v>
      </c>
      <c r="D1686">
        <v>5</v>
      </c>
      <c r="E1686" t="s">
        <v>22</v>
      </c>
      <c r="F1686" t="s">
        <v>2899</v>
      </c>
      <c r="G1686" t="s">
        <v>2900</v>
      </c>
      <c r="H1686">
        <v>1.82</v>
      </c>
      <c r="I1686" t="s">
        <v>21</v>
      </c>
    </row>
    <row r="1687" spans="1:9" x14ac:dyDescent="0.3">
      <c r="A1687">
        <v>32</v>
      </c>
      <c r="B1687">
        <v>1</v>
      </c>
      <c r="C1687">
        <v>1</v>
      </c>
      <c r="D1687">
        <v>5</v>
      </c>
      <c r="E1687" t="s">
        <v>22</v>
      </c>
      <c r="F1687" t="s">
        <v>2901</v>
      </c>
      <c r="G1687" t="s">
        <v>2902</v>
      </c>
      <c r="H1687">
        <v>1.7669999999999999</v>
      </c>
      <c r="I1687" t="s">
        <v>21</v>
      </c>
    </row>
    <row r="1688" spans="1:9" x14ac:dyDescent="0.3">
      <c r="A1688">
        <v>32</v>
      </c>
      <c r="B1688">
        <v>1</v>
      </c>
      <c r="C1688">
        <v>1</v>
      </c>
      <c r="D1688">
        <v>5</v>
      </c>
      <c r="E1688" t="s">
        <v>9</v>
      </c>
      <c r="F1688" t="s">
        <v>2903</v>
      </c>
      <c r="G1688" t="s">
        <v>2904</v>
      </c>
      <c r="H1688">
        <v>1.786</v>
      </c>
      <c r="I1688" t="s">
        <v>12</v>
      </c>
    </row>
    <row r="1689" spans="1:9" x14ac:dyDescent="0.3">
      <c r="A1689">
        <v>32</v>
      </c>
      <c r="B1689">
        <v>1</v>
      </c>
      <c r="C1689">
        <v>1</v>
      </c>
      <c r="D1689">
        <v>5</v>
      </c>
      <c r="E1689" t="s">
        <v>9</v>
      </c>
      <c r="F1689" t="s">
        <v>2905</v>
      </c>
      <c r="G1689" t="s">
        <v>2906</v>
      </c>
      <c r="H1689">
        <v>3.1349999999999998</v>
      </c>
      <c r="I1689" t="s">
        <v>12</v>
      </c>
    </row>
    <row r="1690" spans="1:9" x14ac:dyDescent="0.3">
      <c r="A1690">
        <v>32</v>
      </c>
      <c r="B1690">
        <v>1</v>
      </c>
      <c r="C1690">
        <v>1</v>
      </c>
      <c r="D1690">
        <v>5</v>
      </c>
      <c r="E1690" t="s">
        <v>19</v>
      </c>
      <c r="F1690" t="s">
        <v>2907</v>
      </c>
      <c r="I1690" t="s">
        <v>21</v>
      </c>
    </row>
    <row r="1691" spans="1:9" x14ac:dyDescent="0.3">
      <c r="A1691">
        <v>32</v>
      </c>
      <c r="B1691">
        <v>1</v>
      </c>
      <c r="C1691">
        <v>1</v>
      </c>
      <c r="D1691">
        <v>6</v>
      </c>
      <c r="E1691" t="s">
        <v>22</v>
      </c>
      <c r="F1691" t="s">
        <v>2908</v>
      </c>
      <c r="G1691" t="s">
        <v>2909</v>
      </c>
      <c r="H1691">
        <v>3.2530000000000001</v>
      </c>
      <c r="I1691" t="s">
        <v>21</v>
      </c>
    </row>
    <row r="1692" spans="1:9" x14ac:dyDescent="0.3">
      <c r="A1692">
        <v>32</v>
      </c>
      <c r="B1692">
        <v>1</v>
      </c>
      <c r="C1692">
        <v>1</v>
      </c>
      <c r="D1692">
        <v>6</v>
      </c>
      <c r="E1692" t="s">
        <v>22</v>
      </c>
      <c r="F1692" t="s">
        <v>2910</v>
      </c>
      <c r="G1692" t="s">
        <v>2911</v>
      </c>
      <c r="H1692">
        <v>3.867</v>
      </c>
      <c r="I1692" t="s">
        <v>21</v>
      </c>
    </row>
    <row r="1693" spans="1:9" x14ac:dyDescent="0.3">
      <c r="A1693">
        <v>32</v>
      </c>
      <c r="B1693">
        <v>1</v>
      </c>
      <c r="C1693">
        <v>1</v>
      </c>
      <c r="D1693">
        <v>6</v>
      </c>
      <c r="E1693" t="s">
        <v>9</v>
      </c>
      <c r="F1693" t="s">
        <v>2912</v>
      </c>
      <c r="G1693" t="s">
        <v>2913</v>
      </c>
      <c r="H1693">
        <v>4.1680000000000001</v>
      </c>
      <c r="I1693" t="s">
        <v>12</v>
      </c>
    </row>
    <row r="1694" spans="1:9" x14ac:dyDescent="0.3">
      <c r="A1694">
        <v>32</v>
      </c>
      <c r="B1694">
        <v>1</v>
      </c>
      <c r="C1694">
        <v>1</v>
      </c>
      <c r="D1694">
        <v>6</v>
      </c>
      <c r="E1694" t="s">
        <v>9</v>
      </c>
      <c r="F1694" t="s">
        <v>2914</v>
      </c>
      <c r="G1694" t="s">
        <v>2915</v>
      </c>
      <c r="H1694">
        <v>3.0009999999999999</v>
      </c>
      <c r="I1694" t="s">
        <v>12</v>
      </c>
    </row>
    <row r="1695" spans="1:9" x14ac:dyDescent="0.3">
      <c r="A1695">
        <v>32</v>
      </c>
      <c r="B1695">
        <v>1</v>
      </c>
      <c r="C1695">
        <v>1</v>
      </c>
      <c r="D1695">
        <v>6</v>
      </c>
      <c r="E1695" t="s">
        <v>19</v>
      </c>
      <c r="F1695" t="s">
        <v>2916</v>
      </c>
      <c r="I1695" t="s">
        <v>34</v>
      </c>
    </row>
    <row r="1696" spans="1:9" x14ac:dyDescent="0.3">
      <c r="A1696">
        <v>32</v>
      </c>
      <c r="B1696">
        <v>1</v>
      </c>
      <c r="C1696">
        <v>1</v>
      </c>
      <c r="D1696">
        <v>6</v>
      </c>
      <c r="E1696" t="s">
        <v>19</v>
      </c>
      <c r="F1696" t="s">
        <v>2917</v>
      </c>
      <c r="I1696" t="s">
        <v>21</v>
      </c>
    </row>
    <row r="1697" spans="1:9" x14ac:dyDescent="0.3">
      <c r="A1697">
        <v>32</v>
      </c>
      <c r="B1697">
        <v>1</v>
      </c>
      <c r="C1697">
        <v>1</v>
      </c>
      <c r="D1697">
        <v>7</v>
      </c>
      <c r="E1697" t="s">
        <v>22</v>
      </c>
      <c r="F1697" t="s">
        <v>2918</v>
      </c>
      <c r="G1697" t="s">
        <v>2919</v>
      </c>
      <c r="H1697">
        <v>2.52</v>
      </c>
      <c r="I1697" t="s">
        <v>21</v>
      </c>
    </row>
    <row r="1698" spans="1:9" x14ac:dyDescent="0.3">
      <c r="A1698">
        <v>32</v>
      </c>
      <c r="B1698">
        <v>1</v>
      </c>
      <c r="C1698">
        <v>1</v>
      </c>
      <c r="D1698">
        <v>7</v>
      </c>
      <c r="E1698" t="s">
        <v>22</v>
      </c>
      <c r="F1698" t="s">
        <v>2920</v>
      </c>
      <c r="G1698" t="s">
        <v>2921</v>
      </c>
      <c r="H1698">
        <v>2.1</v>
      </c>
      <c r="I1698" t="s">
        <v>21</v>
      </c>
    </row>
    <row r="1699" spans="1:9" x14ac:dyDescent="0.3">
      <c r="A1699">
        <v>32</v>
      </c>
      <c r="B1699">
        <v>1</v>
      </c>
      <c r="C1699">
        <v>1</v>
      </c>
      <c r="D1699">
        <v>7</v>
      </c>
      <c r="E1699" t="s">
        <v>9</v>
      </c>
      <c r="F1699" t="s">
        <v>2922</v>
      </c>
      <c r="G1699" t="s">
        <v>2923</v>
      </c>
      <c r="H1699">
        <v>6.6340000000000003</v>
      </c>
      <c r="I1699" t="s">
        <v>12</v>
      </c>
    </row>
    <row r="1700" spans="1:9" x14ac:dyDescent="0.3">
      <c r="A1700">
        <v>32</v>
      </c>
      <c r="B1700">
        <v>1</v>
      </c>
      <c r="C1700">
        <v>1</v>
      </c>
      <c r="D1700">
        <v>8</v>
      </c>
      <c r="E1700" t="s">
        <v>22</v>
      </c>
      <c r="F1700" t="s">
        <v>2924</v>
      </c>
      <c r="G1700" t="s">
        <v>2925</v>
      </c>
      <c r="H1700">
        <v>1.286</v>
      </c>
      <c r="I1700" t="s">
        <v>21</v>
      </c>
    </row>
    <row r="1701" spans="1:9" x14ac:dyDescent="0.3">
      <c r="A1701">
        <v>32</v>
      </c>
      <c r="B1701">
        <v>1</v>
      </c>
      <c r="C1701">
        <v>1</v>
      </c>
      <c r="D1701">
        <v>8</v>
      </c>
      <c r="E1701" t="s">
        <v>22</v>
      </c>
      <c r="F1701" t="s">
        <v>2926</v>
      </c>
      <c r="G1701" t="s">
        <v>2927</v>
      </c>
      <c r="H1701">
        <v>1.401</v>
      </c>
      <c r="I1701" t="s">
        <v>21</v>
      </c>
    </row>
    <row r="1702" spans="1:9" x14ac:dyDescent="0.3">
      <c r="A1702">
        <v>32</v>
      </c>
      <c r="B1702">
        <v>1</v>
      </c>
      <c r="C1702">
        <v>1</v>
      </c>
      <c r="D1702">
        <v>8</v>
      </c>
      <c r="E1702" t="s">
        <v>9</v>
      </c>
      <c r="F1702" t="s">
        <v>2928</v>
      </c>
      <c r="G1702" t="s">
        <v>2929</v>
      </c>
      <c r="H1702">
        <v>3.7679999999999998</v>
      </c>
      <c r="I1702" t="s">
        <v>12</v>
      </c>
    </row>
    <row r="1703" spans="1:9" x14ac:dyDescent="0.3">
      <c r="A1703">
        <v>32</v>
      </c>
      <c r="B1703">
        <v>1</v>
      </c>
      <c r="C1703">
        <v>1</v>
      </c>
      <c r="D1703">
        <v>8</v>
      </c>
      <c r="E1703" t="s">
        <v>9</v>
      </c>
      <c r="F1703" t="s">
        <v>2930</v>
      </c>
      <c r="G1703" t="s">
        <v>2931</v>
      </c>
      <c r="H1703">
        <v>3.3</v>
      </c>
      <c r="I1703" t="s">
        <v>12</v>
      </c>
    </row>
    <row r="1704" spans="1:9" x14ac:dyDescent="0.3">
      <c r="A1704">
        <v>32</v>
      </c>
      <c r="B1704">
        <v>1</v>
      </c>
      <c r="C1704">
        <v>1</v>
      </c>
      <c r="D1704">
        <v>9</v>
      </c>
      <c r="E1704" t="s">
        <v>22</v>
      </c>
      <c r="F1704" t="s">
        <v>2932</v>
      </c>
      <c r="G1704" t="s">
        <v>2933</v>
      </c>
      <c r="H1704">
        <v>2.319</v>
      </c>
      <c r="I1704" t="s">
        <v>21</v>
      </c>
    </row>
    <row r="1705" spans="1:9" x14ac:dyDescent="0.3">
      <c r="A1705">
        <v>32</v>
      </c>
      <c r="B1705">
        <v>1</v>
      </c>
      <c r="C1705">
        <v>1</v>
      </c>
      <c r="D1705">
        <v>9</v>
      </c>
      <c r="E1705" t="s">
        <v>22</v>
      </c>
      <c r="F1705" t="s">
        <v>2934</v>
      </c>
      <c r="G1705" t="s">
        <v>2935</v>
      </c>
      <c r="H1705">
        <v>2.0680000000000001</v>
      </c>
      <c r="I1705" t="s">
        <v>21</v>
      </c>
    </row>
    <row r="1706" spans="1:9" x14ac:dyDescent="0.3">
      <c r="A1706">
        <v>32</v>
      </c>
      <c r="B1706">
        <v>1</v>
      </c>
      <c r="C1706">
        <v>1</v>
      </c>
      <c r="D1706">
        <v>9</v>
      </c>
      <c r="E1706" t="s">
        <v>9</v>
      </c>
      <c r="F1706" t="s">
        <v>2936</v>
      </c>
      <c r="G1706" t="s">
        <v>2937</v>
      </c>
      <c r="H1706">
        <v>3.5009999999999999</v>
      </c>
      <c r="I1706" t="s">
        <v>12</v>
      </c>
    </row>
    <row r="1707" spans="1:9" x14ac:dyDescent="0.3">
      <c r="A1707">
        <v>32</v>
      </c>
      <c r="B1707">
        <v>1</v>
      </c>
      <c r="C1707">
        <v>1</v>
      </c>
      <c r="D1707">
        <v>9</v>
      </c>
      <c r="E1707" t="s">
        <v>19</v>
      </c>
      <c r="F1707" t="s">
        <v>2938</v>
      </c>
      <c r="I1707" t="s">
        <v>21</v>
      </c>
    </row>
    <row r="1708" spans="1:9" x14ac:dyDescent="0.3">
      <c r="A1708">
        <v>32</v>
      </c>
      <c r="B1708">
        <v>1</v>
      </c>
      <c r="C1708">
        <v>1</v>
      </c>
      <c r="D1708">
        <v>9</v>
      </c>
      <c r="E1708" t="s">
        <v>9</v>
      </c>
      <c r="F1708" t="s">
        <v>2939</v>
      </c>
      <c r="G1708" t="s">
        <v>2940</v>
      </c>
      <c r="H1708">
        <v>2.367</v>
      </c>
      <c r="I1708" t="s">
        <v>12</v>
      </c>
    </row>
    <row r="1709" spans="1:9" x14ac:dyDescent="0.3">
      <c r="A1709">
        <v>32</v>
      </c>
      <c r="B1709">
        <v>1</v>
      </c>
      <c r="C1709">
        <v>1</v>
      </c>
      <c r="D1709">
        <v>9</v>
      </c>
      <c r="E1709" t="s">
        <v>19</v>
      </c>
      <c r="F1709" t="s">
        <v>2941</v>
      </c>
      <c r="I1709" t="s">
        <v>21</v>
      </c>
    </row>
    <row r="1710" spans="1:9" x14ac:dyDescent="0.3">
      <c r="A1710">
        <v>32</v>
      </c>
      <c r="B1710">
        <v>1</v>
      </c>
      <c r="C1710">
        <v>1</v>
      </c>
      <c r="D1710">
        <v>9</v>
      </c>
      <c r="E1710" t="s">
        <v>19</v>
      </c>
      <c r="F1710" t="s">
        <v>2942</v>
      </c>
      <c r="I1710" t="s">
        <v>21</v>
      </c>
    </row>
    <row r="1711" spans="1:9" x14ac:dyDescent="0.3">
      <c r="A1711">
        <v>32</v>
      </c>
      <c r="B1711">
        <v>1</v>
      </c>
      <c r="C1711">
        <v>1</v>
      </c>
      <c r="D1711">
        <v>10</v>
      </c>
      <c r="E1711" t="s">
        <v>22</v>
      </c>
      <c r="F1711" t="s">
        <v>2943</v>
      </c>
      <c r="G1711" t="s">
        <v>2944</v>
      </c>
      <c r="H1711">
        <v>1.7190000000000001</v>
      </c>
      <c r="I1711" t="s">
        <v>21</v>
      </c>
    </row>
    <row r="1712" spans="1:9" x14ac:dyDescent="0.3">
      <c r="A1712">
        <v>32</v>
      </c>
      <c r="B1712">
        <v>1</v>
      </c>
      <c r="C1712">
        <v>1</v>
      </c>
      <c r="D1712">
        <v>10</v>
      </c>
      <c r="E1712" t="s">
        <v>22</v>
      </c>
      <c r="F1712" t="s">
        <v>2945</v>
      </c>
      <c r="G1712" t="s">
        <v>2946</v>
      </c>
      <c r="H1712">
        <v>1.4330000000000001</v>
      </c>
      <c r="I1712" t="s">
        <v>21</v>
      </c>
    </row>
    <row r="1713" spans="1:9" x14ac:dyDescent="0.3">
      <c r="A1713">
        <v>32</v>
      </c>
      <c r="B1713">
        <v>1</v>
      </c>
      <c r="C1713">
        <v>1</v>
      </c>
      <c r="D1713">
        <v>10</v>
      </c>
      <c r="E1713" t="s">
        <v>9</v>
      </c>
      <c r="F1713" t="s">
        <v>2947</v>
      </c>
      <c r="G1713" t="s">
        <v>2948</v>
      </c>
      <c r="H1713">
        <v>5.6680000000000001</v>
      </c>
      <c r="I1713" t="s">
        <v>12</v>
      </c>
    </row>
    <row r="1714" spans="1:9" x14ac:dyDescent="0.3">
      <c r="A1714">
        <v>32</v>
      </c>
      <c r="B1714">
        <v>1</v>
      </c>
      <c r="C1714">
        <v>1</v>
      </c>
      <c r="D1714">
        <v>10</v>
      </c>
      <c r="E1714" t="s">
        <v>19</v>
      </c>
      <c r="F1714" t="s">
        <v>2949</v>
      </c>
      <c r="I1714" t="s">
        <v>21</v>
      </c>
    </row>
    <row r="1715" spans="1:9" x14ac:dyDescent="0.3">
      <c r="A1715">
        <v>32</v>
      </c>
      <c r="B1715">
        <v>1</v>
      </c>
      <c r="C1715">
        <v>1</v>
      </c>
      <c r="D1715">
        <v>10</v>
      </c>
      <c r="E1715" t="s">
        <v>9</v>
      </c>
      <c r="F1715" t="s">
        <v>2950</v>
      </c>
      <c r="G1715" t="s">
        <v>2951</v>
      </c>
      <c r="H1715">
        <v>2.1339999999999999</v>
      </c>
      <c r="I1715" t="s">
        <v>12</v>
      </c>
    </row>
    <row r="1716" spans="1:9" x14ac:dyDescent="0.3">
      <c r="A1716">
        <v>32</v>
      </c>
      <c r="B1716">
        <v>1</v>
      </c>
      <c r="C1716">
        <v>1</v>
      </c>
      <c r="D1716">
        <v>10</v>
      </c>
      <c r="E1716" t="s">
        <v>9</v>
      </c>
      <c r="F1716" t="s">
        <v>2952</v>
      </c>
      <c r="G1716" t="s">
        <v>2953</v>
      </c>
      <c r="H1716">
        <v>2.835</v>
      </c>
      <c r="I1716" t="s">
        <v>12</v>
      </c>
    </row>
    <row r="1717" spans="1:9" x14ac:dyDescent="0.3">
      <c r="A1717">
        <v>32</v>
      </c>
      <c r="B1717">
        <v>1</v>
      </c>
      <c r="C1717">
        <v>1</v>
      </c>
      <c r="D1717">
        <v>10</v>
      </c>
      <c r="E1717" t="s">
        <v>9</v>
      </c>
      <c r="F1717" t="s">
        <v>2954</v>
      </c>
      <c r="G1717" t="s">
        <v>2955</v>
      </c>
      <c r="H1717">
        <v>2.234</v>
      </c>
      <c r="I1717" t="s">
        <v>12</v>
      </c>
    </row>
    <row r="1718" spans="1:9" x14ac:dyDescent="0.3">
      <c r="A1718">
        <v>32</v>
      </c>
      <c r="B1718">
        <v>1</v>
      </c>
      <c r="C1718">
        <v>1</v>
      </c>
      <c r="D1718">
        <v>10</v>
      </c>
      <c r="E1718" t="s">
        <v>19</v>
      </c>
      <c r="F1718" t="s">
        <v>2956</v>
      </c>
      <c r="I1718" t="s">
        <v>21</v>
      </c>
    </row>
    <row r="1719" spans="1:9" x14ac:dyDescent="0.3">
      <c r="A1719">
        <v>32</v>
      </c>
      <c r="B1719">
        <v>1</v>
      </c>
      <c r="C1719">
        <v>1</v>
      </c>
      <c r="D1719">
        <v>10</v>
      </c>
      <c r="E1719" t="s">
        <v>19</v>
      </c>
      <c r="F1719" t="s">
        <v>2957</v>
      </c>
      <c r="I1719" t="s">
        <v>21</v>
      </c>
    </row>
    <row r="1720" spans="1:9" x14ac:dyDescent="0.3">
      <c r="A1720">
        <v>32</v>
      </c>
      <c r="B1720">
        <v>1</v>
      </c>
      <c r="C1720">
        <v>2</v>
      </c>
      <c r="D1720">
        <v>1</v>
      </c>
      <c r="E1720" t="s">
        <v>9</v>
      </c>
      <c r="F1720" t="s">
        <v>2958</v>
      </c>
      <c r="H1720" t="s">
        <v>81</v>
      </c>
      <c r="I1720" t="s">
        <v>34</v>
      </c>
    </row>
    <row r="1721" spans="1:9" x14ac:dyDescent="0.3">
      <c r="A1721">
        <v>32</v>
      </c>
      <c r="B1721">
        <v>1</v>
      </c>
      <c r="C1721">
        <v>2</v>
      </c>
      <c r="D1721">
        <v>1</v>
      </c>
      <c r="E1721" t="s">
        <v>19</v>
      </c>
      <c r="F1721" t="s">
        <v>2959</v>
      </c>
      <c r="I1721" t="s">
        <v>21</v>
      </c>
    </row>
    <row r="1722" spans="1:9" x14ac:dyDescent="0.3">
      <c r="A1722">
        <v>32</v>
      </c>
      <c r="B1722">
        <v>1</v>
      </c>
      <c r="C1722">
        <v>2</v>
      </c>
      <c r="D1722">
        <v>1</v>
      </c>
      <c r="E1722" t="s">
        <v>9</v>
      </c>
      <c r="F1722" t="s">
        <v>2960</v>
      </c>
      <c r="G1722" t="s">
        <v>2961</v>
      </c>
      <c r="H1722">
        <v>3.3860000000000001</v>
      </c>
      <c r="I1722" t="s">
        <v>12</v>
      </c>
    </row>
    <row r="1723" spans="1:9" x14ac:dyDescent="0.3">
      <c r="A1723">
        <v>32</v>
      </c>
      <c r="B1723">
        <v>1</v>
      </c>
      <c r="C1723">
        <v>2</v>
      </c>
      <c r="D1723">
        <v>1</v>
      </c>
      <c r="E1723" t="s">
        <v>22</v>
      </c>
      <c r="F1723" t="s">
        <v>2962</v>
      </c>
      <c r="G1723" t="s">
        <v>2963</v>
      </c>
      <c r="H1723">
        <v>1.901</v>
      </c>
      <c r="I1723" t="s">
        <v>21</v>
      </c>
    </row>
    <row r="1724" spans="1:9" x14ac:dyDescent="0.3">
      <c r="A1724">
        <v>32</v>
      </c>
      <c r="B1724">
        <v>1</v>
      </c>
      <c r="C1724">
        <v>2</v>
      </c>
      <c r="D1724">
        <v>1</v>
      </c>
      <c r="E1724" t="s">
        <v>22</v>
      </c>
      <c r="F1724" t="s">
        <v>2964</v>
      </c>
      <c r="G1724" t="s">
        <v>2965</v>
      </c>
      <c r="H1724">
        <v>1.101</v>
      </c>
      <c r="I1724" t="s">
        <v>21</v>
      </c>
    </row>
    <row r="1725" spans="1:9" x14ac:dyDescent="0.3">
      <c r="A1725">
        <v>32</v>
      </c>
      <c r="B1725">
        <v>1</v>
      </c>
      <c r="C1725">
        <v>2</v>
      </c>
      <c r="D1725">
        <v>1</v>
      </c>
      <c r="E1725" t="s">
        <v>9</v>
      </c>
      <c r="F1725" t="s">
        <v>2966</v>
      </c>
      <c r="G1725" t="s">
        <v>2967</v>
      </c>
      <c r="H1725">
        <v>3.5670000000000002</v>
      </c>
      <c r="I1725" t="s">
        <v>12</v>
      </c>
    </row>
    <row r="1726" spans="1:9" x14ac:dyDescent="0.3">
      <c r="A1726">
        <v>32</v>
      </c>
      <c r="B1726">
        <v>1</v>
      </c>
      <c r="C1726">
        <v>2</v>
      </c>
      <c r="D1726">
        <v>2</v>
      </c>
      <c r="E1726" t="s">
        <v>9</v>
      </c>
      <c r="F1726" t="s">
        <v>2968</v>
      </c>
      <c r="G1726" t="s">
        <v>2969</v>
      </c>
      <c r="H1726">
        <v>3.786</v>
      </c>
      <c r="I1726" t="s">
        <v>12</v>
      </c>
    </row>
    <row r="1727" spans="1:9" x14ac:dyDescent="0.3">
      <c r="A1727">
        <v>32</v>
      </c>
      <c r="B1727">
        <v>1</v>
      </c>
      <c r="C1727">
        <v>2</v>
      </c>
      <c r="D1727">
        <v>2</v>
      </c>
      <c r="E1727" t="s">
        <v>19</v>
      </c>
      <c r="F1727" t="s">
        <v>2970</v>
      </c>
      <c r="I1727" t="s">
        <v>21</v>
      </c>
    </row>
    <row r="1728" spans="1:9" x14ac:dyDescent="0.3">
      <c r="A1728">
        <v>32</v>
      </c>
      <c r="B1728">
        <v>1</v>
      </c>
      <c r="C1728">
        <v>2</v>
      </c>
      <c r="D1728">
        <v>2</v>
      </c>
      <c r="E1728" t="s">
        <v>22</v>
      </c>
      <c r="F1728" t="s">
        <v>2971</v>
      </c>
      <c r="G1728" t="s">
        <v>2972</v>
      </c>
      <c r="H1728">
        <v>1.1339999999999999</v>
      </c>
      <c r="I1728" t="s">
        <v>21</v>
      </c>
    </row>
    <row r="1729" spans="1:9" x14ac:dyDescent="0.3">
      <c r="A1729">
        <v>32</v>
      </c>
      <c r="B1729">
        <v>1</v>
      </c>
      <c r="C1729">
        <v>2</v>
      </c>
      <c r="D1729">
        <v>2</v>
      </c>
      <c r="E1729" t="s">
        <v>22</v>
      </c>
      <c r="F1729" t="s">
        <v>2973</v>
      </c>
      <c r="G1729" t="s">
        <v>2974</v>
      </c>
      <c r="H1729">
        <v>3.0009999999999999</v>
      </c>
      <c r="I1729" t="s">
        <v>21</v>
      </c>
    </row>
    <row r="1730" spans="1:9" x14ac:dyDescent="0.3">
      <c r="A1730">
        <v>32</v>
      </c>
      <c r="B1730">
        <v>1</v>
      </c>
      <c r="C1730">
        <v>2</v>
      </c>
      <c r="D1730">
        <v>2</v>
      </c>
      <c r="E1730" t="s">
        <v>9</v>
      </c>
      <c r="F1730" t="s">
        <v>2975</v>
      </c>
      <c r="G1730" t="s">
        <v>2976</v>
      </c>
      <c r="H1730">
        <v>2.734</v>
      </c>
      <c r="I1730" t="s">
        <v>12</v>
      </c>
    </row>
    <row r="1731" spans="1:9" x14ac:dyDescent="0.3">
      <c r="A1731">
        <v>32</v>
      </c>
      <c r="B1731">
        <v>1</v>
      </c>
      <c r="C1731">
        <v>2</v>
      </c>
      <c r="D1731">
        <v>2</v>
      </c>
      <c r="E1731" t="s">
        <v>9</v>
      </c>
      <c r="F1731" t="s">
        <v>2977</v>
      </c>
      <c r="G1731" t="s">
        <v>2978</v>
      </c>
      <c r="H1731">
        <v>2.468</v>
      </c>
      <c r="I1731" t="s">
        <v>12</v>
      </c>
    </row>
    <row r="1732" spans="1:9" x14ac:dyDescent="0.3">
      <c r="A1732">
        <v>32</v>
      </c>
      <c r="B1732">
        <v>1</v>
      </c>
      <c r="C1732">
        <v>2</v>
      </c>
      <c r="D1732">
        <v>2</v>
      </c>
      <c r="E1732" t="s">
        <v>9</v>
      </c>
      <c r="F1732" t="s">
        <v>2979</v>
      </c>
      <c r="G1732" t="s">
        <v>2980</v>
      </c>
      <c r="H1732">
        <v>3.2669999999999999</v>
      </c>
      <c r="I1732" t="s">
        <v>12</v>
      </c>
    </row>
    <row r="1733" spans="1:9" x14ac:dyDescent="0.3">
      <c r="A1733">
        <v>32</v>
      </c>
      <c r="B1733">
        <v>1</v>
      </c>
      <c r="C1733">
        <v>2</v>
      </c>
      <c r="D1733">
        <v>2</v>
      </c>
      <c r="E1733" t="s">
        <v>19</v>
      </c>
      <c r="F1733" t="s">
        <v>2981</v>
      </c>
      <c r="I1733" t="s">
        <v>34</v>
      </c>
    </row>
    <row r="1734" spans="1:9" x14ac:dyDescent="0.3">
      <c r="A1734">
        <v>32</v>
      </c>
      <c r="B1734">
        <v>1</v>
      </c>
      <c r="C1734">
        <v>2</v>
      </c>
      <c r="D1734">
        <v>2</v>
      </c>
      <c r="E1734" t="s">
        <v>19</v>
      </c>
      <c r="F1734" t="s">
        <v>2982</v>
      </c>
      <c r="I1734" t="s">
        <v>21</v>
      </c>
    </row>
    <row r="1735" spans="1:9" x14ac:dyDescent="0.3">
      <c r="A1735">
        <v>32</v>
      </c>
      <c r="B1735">
        <v>1</v>
      </c>
      <c r="C1735">
        <v>2</v>
      </c>
      <c r="D1735">
        <v>3</v>
      </c>
      <c r="E1735" t="s">
        <v>9</v>
      </c>
      <c r="F1735" t="s">
        <v>2983</v>
      </c>
      <c r="G1735" t="s">
        <v>2984</v>
      </c>
      <c r="H1735">
        <v>2.4860000000000002</v>
      </c>
      <c r="I1735" t="s">
        <v>12</v>
      </c>
    </row>
    <row r="1736" spans="1:9" x14ac:dyDescent="0.3">
      <c r="A1736">
        <v>32</v>
      </c>
      <c r="B1736">
        <v>1</v>
      </c>
      <c r="C1736">
        <v>2</v>
      </c>
      <c r="D1736">
        <v>3</v>
      </c>
      <c r="E1736" t="s">
        <v>22</v>
      </c>
      <c r="F1736" t="s">
        <v>2985</v>
      </c>
      <c r="G1736" t="s">
        <v>2986</v>
      </c>
      <c r="H1736">
        <v>1.5669999999999999</v>
      </c>
      <c r="I1736" t="s">
        <v>21</v>
      </c>
    </row>
    <row r="1737" spans="1:9" x14ac:dyDescent="0.3">
      <c r="A1737">
        <v>32</v>
      </c>
      <c r="B1737">
        <v>1</v>
      </c>
      <c r="C1737">
        <v>2</v>
      </c>
      <c r="D1737">
        <v>3</v>
      </c>
      <c r="E1737" t="s">
        <v>19</v>
      </c>
      <c r="F1737" t="s">
        <v>2987</v>
      </c>
      <c r="I1737" t="s">
        <v>34</v>
      </c>
    </row>
    <row r="1738" spans="1:9" x14ac:dyDescent="0.3">
      <c r="A1738">
        <v>32</v>
      </c>
      <c r="B1738">
        <v>1</v>
      </c>
      <c r="C1738">
        <v>2</v>
      </c>
      <c r="D1738">
        <v>3</v>
      </c>
      <c r="E1738" t="s">
        <v>22</v>
      </c>
      <c r="F1738" t="s">
        <v>2988</v>
      </c>
      <c r="G1738" t="s">
        <v>2989</v>
      </c>
      <c r="H1738">
        <v>2.0670000000000002</v>
      </c>
      <c r="I1738" t="s">
        <v>21</v>
      </c>
    </row>
    <row r="1739" spans="1:9" x14ac:dyDescent="0.3">
      <c r="A1739">
        <v>32</v>
      </c>
      <c r="B1739">
        <v>1</v>
      </c>
      <c r="C1739">
        <v>2</v>
      </c>
      <c r="D1739">
        <v>3</v>
      </c>
      <c r="E1739" t="s">
        <v>9</v>
      </c>
      <c r="F1739" t="s">
        <v>2990</v>
      </c>
      <c r="G1739" t="s">
        <v>2991</v>
      </c>
      <c r="H1739">
        <v>3.8340000000000001</v>
      </c>
      <c r="I1739" t="s">
        <v>12</v>
      </c>
    </row>
    <row r="1740" spans="1:9" x14ac:dyDescent="0.3">
      <c r="A1740">
        <v>32</v>
      </c>
      <c r="B1740">
        <v>1</v>
      </c>
      <c r="C1740">
        <v>2</v>
      </c>
      <c r="D1740">
        <v>4</v>
      </c>
      <c r="E1740" t="s">
        <v>9</v>
      </c>
      <c r="F1740" t="s">
        <v>2992</v>
      </c>
      <c r="G1740" t="s">
        <v>2993</v>
      </c>
      <c r="H1740">
        <v>2.2869999999999999</v>
      </c>
      <c r="I1740" t="s">
        <v>12</v>
      </c>
    </row>
    <row r="1741" spans="1:9" x14ac:dyDescent="0.3">
      <c r="A1741">
        <v>32</v>
      </c>
      <c r="B1741">
        <v>1</v>
      </c>
      <c r="C1741">
        <v>2</v>
      </c>
      <c r="D1741">
        <v>4</v>
      </c>
      <c r="E1741" t="s">
        <v>19</v>
      </c>
      <c r="F1741" t="s">
        <v>2994</v>
      </c>
      <c r="I1741" t="s">
        <v>21</v>
      </c>
    </row>
    <row r="1742" spans="1:9" x14ac:dyDescent="0.3">
      <c r="A1742">
        <v>32</v>
      </c>
      <c r="B1742">
        <v>1</v>
      </c>
      <c r="C1742">
        <v>2</v>
      </c>
      <c r="D1742">
        <v>4</v>
      </c>
      <c r="E1742" t="s">
        <v>22</v>
      </c>
      <c r="F1742" t="s">
        <v>2995</v>
      </c>
      <c r="G1742" t="s">
        <v>2996</v>
      </c>
      <c r="H1742">
        <v>3.0680000000000001</v>
      </c>
      <c r="I1742" t="s">
        <v>21</v>
      </c>
    </row>
    <row r="1743" spans="1:9" x14ac:dyDescent="0.3">
      <c r="A1743">
        <v>32</v>
      </c>
      <c r="B1743">
        <v>1</v>
      </c>
      <c r="C1743">
        <v>2</v>
      </c>
      <c r="D1743">
        <v>4</v>
      </c>
      <c r="E1743" t="s">
        <v>22</v>
      </c>
      <c r="F1743" t="s">
        <v>2997</v>
      </c>
      <c r="G1743" t="s">
        <v>2998</v>
      </c>
      <c r="H1743">
        <v>2.8330000000000002</v>
      </c>
      <c r="I1743" t="s">
        <v>21</v>
      </c>
    </row>
    <row r="1744" spans="1:9" x14ac:dyDescent="0.3">
      <c r="A1744">
        <v>32</v>
      </c>
      <c r="B1744">
        <v>1</v>
      </c>
      <c r="C1744">
        <v>2</v>
      </c>
      <c r="D1744">
        <v>4</v>
      </c>
      <c r="E1744" t="s">
        <v>9</v>
      </c>
      <c r="F1744" t="s">
        <v>2999</v>
      </c>
      <c r="G1744" t="s">
        <v>3000</v>
      </c>
      <c r="H1744">
        <v>3.101</v>
      </c>
      <c r="I1744" t="s">
        <v>12</v>
      </c>
    </row>
    <row r="1745" spans="1:9" x14ac:dyDescent="0.3">
      <c r="A1745">
        <v>32</v>
      </c>
      <c r="B1745">
        <v>1</v>
      </c>
      <c r="C1745">
        <v>2</v>
      </c>
      <c r="D1745">
        <v>4</v>
      </c>
      <c r="E1745" t="s">
        <v>19</v>
      </c>
      <c r="F1745" t="s">
        <v>3001</v>
      </c>
      <c r="I1745" t="s">
        <v>21</v>
      </c>
    </row>
    <row r="1746" spans="1:9" x14ac:dyDescent="0.3">
      <c r="A1746">
        <v>32</v>
      </c>
      <c r="B1746">
        <v>1</v>
      </c>
      <c r="C1746">
        <v>2</v>
      </c>
      <c r="D1746">
        <v>4</v>
      </c>
      <c r="E1746" t="s">
        <v>9</v>
      </c>
      <c r="F1746" t="s">
        <v>5370</v>
      </c>
      <c r="G1746" t="s">
        <v>5371</v>
      </c>
      <c r="H1746">
        <v>2.9009999999999998</v>
      </c>
      <c r="I1746" t="s">
        <v>12</v>
      </c>
    </row>
    <row r="1747" spans="1:9" x14ac:dyDescent="0.3">
      <c r="A1747">
        <v>32</v>
      </c>
      <c r="B1747">
        <v>3</v>
      </c>
      <c r="C1747">
        <v>1</v>
      </c>
      <c r="D1747">
        <v>1</v>
      </c>
      <c r="E1747" t="s">
        <v>22</v>
      </c>
      <c r="F1747" t="s">
        <v>3002</v>
      </c>
      <c r="G1747" t="s">
        <v>3003</v>
      </c>
      <c r="H1747">
        <v>1.986</v>
      </c>
      <c r="I1747" t="s">
        <v>21</v>
      </c>
    </row>
    <row r="1748" spans="1:9" x14ac:dyDescent="0.3">
      <c r="A1748">
        <v>32</v>
      </c>
      <c r="B1748">
        <v>3</v>
      </c>
      <c r="C1748">
        <v>1</v>
      </c>
      <c r="D1748">
        <v>1</v>
      </c>
      <c r="E1748" t="s">
        <v>22</v>
      </c>
      <c r="F1748" t="s">
        <v>3004</v>
      </c>
      <c r="G1748" t="s">
        <v>3005</v>
      </c>
      <c r="H1748">
        <v>1.0669999999999999</v>
      </c>
      <c r="I1748" t="s">
        <v>21</v>
      </c>
    </row>
    <row r="1749" spans="1:9" x14ac:dyDescent="0.3">
      <c r="A1749">
        <v>32</v>
      </c>
      <c r="B1749">
        <v>3</v>
      </c>
      <c r="C1749">
        <v>1</v>
      </c>
      <c r="D1749">
        <v>1</v>
      </c>
      <c r="E1749" t="s">
        <v>9</v>
      </c>
      <c r="F1749" t="s">
        <v>3006</v>
      </c>
      <c r="G1749" t="s">
        <v>3007</v>
      </c>
      <c r="H1749">
        <v>3.9020000000000001</v>
      </c>
      <c r="I1749" t="s">
        <v>12</v>
      </c>
    </row>
    <row r="1750" spans="1:9" x14ac:dyDescent="0.3">
      <c r="A1750">
        <v>32</v>
      </c>
      <c r="B1750">
        <v>3</v>
      </c>
      <c r="C1750">
        <v>1</v>
      </c>
      <c r="D1750">
        <v>1</v>
      </c>
      <c r="E1750" t="s">
        <v>9</v>
      </c>
      <c r="F1750" t="s">
        <v>3008</v>
      </c>
      <c r="G1750" t="s">
        <v>3009</v>
      </c>
      <c r="H1750">
        <v>1.867</v>
      </c>
      <c r="I1750" t="s">
        <v>12</v>
      </c>
    </row>
    <row r="1751" spans="1:9" x14ac:dyDescent="0.3">
      <c r="A1751">
        <v>32</v>
      </c>
      <c r="B1751">
        <v>3</v>
      </c>
      <c r="C1751">
        <v>1</v>
      </c>
      <c r="D1751">
        <v>1</v>
      </c>
      <c r="E1751" t="s">
        <v>19</v>
      </c>
      <c r="F1751" t="s">
        <v>3010</v>
      </c>
      <c r="I1751" t="s">
        <v>21</v>
      </c>
    </row>
    <row r="1752" spans="1:9" x14ac:dyDescent="0.3">
      <c r="A1752">
        <v>32</v>
      </c>
      <c r="B1752">
        <v>3</v>
      </c>
      <c r="C1752">
        <v>1</v>
      </c>
      <c r="D1752">
        <v>2</v>
      </c>
      <c r="E1752" t="s">
        <v>22</v>
      </c>
      <c r="F1752" t="s">
        <v>3011</v>
      </c>
      <c r="G1752" t="s">
        <v>3012</v>
      </c>
      <c r="H1752">
        <v>2.1190000000000002</v>
      </c>
      <c r="I1752" t="s">
        <v>21</v>
      </c>
    </row>
    <row r="1753" spans="1:9" x14ac:dyDescent="0.3">
      <c r="A1753">
        <v>32</v>
      </c>
      <c r="B1753">
        <v>3</v>
      </c>
      <c r="C1753">
        <v>1</v>
      </c>
      <c r="D1753">
        <v>2</v>
      </c>
      <c r="E1753" t="s">
        <v>22</v>
      </c>
      <c r="F1753" t="s">
        <v>3013</v>
      </c>
      <c r="G1753" t="s">
        <v>3014</v>
      </c>
      <c r="H1753">
        <v>0.86599999999999999</v>
      </c>
      <c r="I1753" t="s">
        <v>21</v>
      </c>
    </row>
    <row r="1754" spans="1:9" x14ac:dyDescent="0.3">
      <c r="A1754">
        <v>32</v>
      </c>
      <c r="B1754">
        <v>3</v>
      </c>
      <c r="C1754">
        <v>1</v>
      </c>
      <c r="D1754">
        <v>2</v>
      </c>
      <c r="E1754" t="s">
        <v>19</v>
      </c>
      <c r="F1754" t="s">
        <v>3015</v>
      </c>
      <c r="I1754" t="s">
        <v>21</v>
      </c>
    </row>
    <row r="1755" spans="1:9" x14ac:dyDescent="0.3">
      <c r="A1755">
        <v>32</v>
      </c>
      <c r="B1755">
        <v>3</v>
      </c>
      <c r="C1755">
        <v>1</v>
      </c>
      <c r="D1755">
        <v>2</v>
      </c>
      <c r="E1755" t="s">
        <v>9</v>
      </c>
      <c r="F1755" t="s">
        <v>3016</v>
      </c>
      <c r="G1755" t="s">
        <v>3017</v>
      </c>
      <c r="H1755">
        <v>4.5670000000000002</v>
      </c>
      <c r="I1755" t="s">
        <v>12</v>
      </c>
    </row>
    <row r="1756" spans="1:9" x14ac:dyDescent="0.3">
      <c r="A1756">
        <v>32</v>
      </c>
      <c r="B1756">
        <v>3</v>
      </c>
      <c r="C1756">
        <v>1</v>
      </c>
      <c r="D1756">
        <v>2</v>
      </c>
      <c r="E1756" t="s">
        <v>9</v>
      </c>
      <c r="F1756" t="s">
        <v>3018</v>
      </c>
      <c r="G1756" t="s">
        <v>3019</v>
      </c>
      <c r="H1756">
        <v>3.7</v>
      </c>
      <c r="I1756" t="s">
        <v>12</v>
      </c>
    </row>
    <row r="1757" spans="1:9" x14ac:dyDescent="0.3">
      <c r="A1757">
        <v>32</v>
      </c>
      <c r="B1757">
        <v>3</v>
      </c>
      <c r="C1757">
        <v>1</v>
      </c>
      <c r="D1757">
        <v>2</v>
      </c>
      <c r="E1757" t="s">
        <v>9</v>
      </c>
      <c r="F1757" t="s">
        <v>3020</v>
      </c>
      <c r="G1757" t="s">
        <v>3021</v>
      </c>
      <c r="H1757">
        <v>3</v>
      </c>
      <c r="I1757" t="s">
        <v>12</v>
      </c>
    </row>
    <row r="1758" spans="1:9" x14ac:dyDescent="0.3">
      <c r="A1758">
        <v>32</v>
      </c>
      <c r="B1758">
        <v>3</v>
      </c>
      <c r="C1758">
        <v>1</v>
      </c>
      <c r="D1758">
        <v>2</v>
      </c>
      <c r="E1758" t="s">
        <v>9</v>
      </c>
      <c r="F1758" t="s">
        <v>3022</v>
      </c>
      <c r="G1758" t="s">
        <v>3023</v>
      </c>
      <c r="H1758">
        <v>2.8340000000000001</v>
      </c>
      <c r="I1758" t="s">
        <v>12</v>
      </c>
    </row>
    <row r="1759" spans="1:9" x14ac:dyDescent="0.3">
      <c r="A1759">
        <v>32</v>
      </c>
      <c r="B1759">
        <v>3</v>
      </c>
      <c r="C1759">
        <v>1</v>
      </c>
      <c r="D1759">
        <v>2</v>
      </c>
      <c r="E1759" t="s">
        <v>19</v>
      </c>
      <c r="F1759" t="s">
        <v>3024</v>
      </c>
      <c r="I1759" t="s">
        <v>21</v>
      </c>
    </row>
    <row r="1760" spans="1:9" x14ac:dyDescent="0.3">
      <c r="A1760">
        <v>32</v>
      </c>
      <c r="B1760">
        <v>3</v>
      </c>
      <c r="C1760">
        <v>1</v>
      </c>
      <c r="D1760">
        <v>2</v>
      </c>
      <c r="E1760" t="s">
        <v>19</v>
      </c>
      <c r="F1760" t="s">
        <v>3025</v>
      </c>
      <c r="I1760" t="s">
        <v>21</v>
      </c>
    </row>
    <row r="1761" spans="1:9" x14ac:dyDescent="0.3">
      <c r="A1761">
        <v>32</v>
      </c>
      <c r="B1761">
        <v>3</v>
      </c>
      <c r="C1761">
        <v>2</v>
      </c>
      <c r="D1761">
        <v>1</v>
      </c>
      <c r="E1761" t="s">
        <v>9</v>
      </c>
      <c r="F1761" t="s">
        <v>3026</v>
      </c>
      <c r="G1761" t="s">
        <v>3027</v>
      </c>
      <c r="H1761">
        <v>2.5859999999999999</v>
      </c>
      <c r="I1761" t="s">
        <v>12</v>
      </c>
    </row>
    <row r="1762" spans="1:9" x14ac:dyDescent="0.3">
      <c r="A1762">
        <v>32</v>
      </c>
      <c r="B1762">
        <v>3</v>
      </c>
      <c r="C1762">
        <v>2</v>
      </c>
      <c r="D1762">
        <v>1</v>
      </c>
      <c r="E1762" t="s">
        <v>22</v>
      </c>
      <c r="F1762" t="s">
        <v>3028</v>
      </c>
      <c r="G1762" t="s">
        <v>3029</v>
      </c>
      <c r="H1762">
        <v>1.601</v>
      </c>
      <c r="I1762" t="s">
        <v>21</v>
      </c>
    </row>
    <row r="1763" spans="1:9" x14ac:dyDescent="0.3">
      <c r="A1763">
        <v>32</v>
      </c>
      <c r="B1763">
        <v>3</v>
      </c>
      <c r="C1763">
        <v>2</v>
      </c>
      <c r="D1763">
        <v>1</v>
      </c>
      <c r="E1763" t="s">
        <v>19</v>
      </c>
      <c r="F1763" t="s">
        <v>3030</v>
      </c>
      <c r="I1763" t="s">
        <v>34</v>
      </c>
    </row>
    <row r="1764" spans="1:9" x14ac:dyDescent="0.3">
      <c r="A1764">
        <v>32</v>
      </c>
      <c r="B1764">
        <v>3</v>
      </c>
      <c r="C1764">
        <v>2</v>
      </c>
      <c r="D1764">
        <v>2</v>
      </c>
      <c r="E1764" t="s">
        <v>9</v>
      </c>
      <c r="F1764" t="s">
        <v>5345</v>
      </c>
      <c r="G1764" t="s">
        <v>3031</v>
      </c>
      <c r="H1764">
        <v>2.6859999999999999</v>
      </c>
      <c r="I1764" t="s">
        <v>12</v>
      </c>
    </row>
    <row r="1765" spans="1:9" x14ac:dyDescent="0.3">
      <c r="A1765">
        <v>32</v>
      </c>
      <c r="B1765">
        <v>3</v>
      </c>
      <c r="C1765">
        <v>2</v>
      </c>
      <c r="D1765">
        <v>2</v>
      </c>
      <c r="E1765" t="s">
        <v>22</v>
      </c>
      <c r="F1765" t="s">
        <v>3032</v>
      </c>
      <c r="G1765" t="s">
        <v>3033</v>
      </c>
      <c r="H1765">
        <v>1.419</v>
      </c>
      <c r="I1765" t="s">
        <v>21</v>
      </c>
    </row>
    <row r="1766" spans="1:9" x14ac:dyDescent="0.3">
      <c r="A1766">
        <v>32</v>
      </c>
      <c r="B1766">
        <v>3</v>
      </c>
      <c r="C1766">
        <v>2</v>
      </c>
      <c r="D1766">
        <v>2</v>
      </c>
      <c r="E1766" t="s">
        <v>22</v>
      </c>
      <c r="F1766" t="s">
        <v>3034</v>
      </c>
      <c r="G1766" t="s">
        <v>3035</v>
      </c>
      <c r="H1766">
        <v>0.83399999999999996</v>
      </c>
      <c r="I1766" t="s">
        <v>21</v>
      </c>
    </row>
    <row r="1767" spans="1:9" x14ac:dyDescent="0.3">
      <c r="A1767">
        <v>32</v>
      </c>
      <c r="B1767">
        <v>3</v>
      </c>
      <c r="C1767">
        <v>2</v>
      </c>
      <c r="D1767">
        <v>2</v>
      </c>
      <c r="E1767" t="s">
        <v>9</v>
      </c>
      <c r="F1767" t="s">
        <v>3036</v>
      </c>
      <c r="G1767" t="s">
        <v>3037</v>
      </c>
      <c r="H1767">
        <v>2.1659999999999999</v>
      </c>
      <c r="I1767" t="s">
        <v>12</v>
      </c>
    </row>
    <row r="1768" spans="1:9" x14ac:dyDescent="0.3">
      <c r="A1768">
        <v>32</v>
      </c>
      <c r="B1768">
        <v>3</v>
      </c>
      <c r="C1768">
        <v>2</v>
      </c>
      <c r="D1768">
        <v>2</v>
      </c>
      <c r="E1768" t="s">
        <v>19</v>
      </c>
      <c r="F1768" t="s">
        <v>3038</v>
      </c>
      <c r="I1768" t="s">
        <v>21</v>
      </c>
    </row>
    <row r="1769" spans="1:9" x14ac:dyDescent="0.3">
      <c r="A1769">
        <v>32</v>
      </c>
      <c r="B1769">
        <v>3</v>
      </c>
      <c r="C1769">
        <v>2</v>
      </c>
      <c r="D1769">
        <v>2</v>
      </c>
      <c r="E1769" t="s">
        <v>9</v>
      </c>
      <c r="F1769" t="s">
        <v>3039</v>
      </c>
      <c r="G1769" t="s">
        <v>3040</v>
      </c>
      <c r="H1769">
        <v>1.8340000000000001</v>
      </c>
      <c r="I1769" t="s">
        <v>12</v>
      </c>
    </row>
    <row r="1770" spans="1:9" x14ac:dyDescent="0.3">
      <c r="A1770">
        <v>32</v>
      </c>
      <c r="B1770">
        <v>3</v>
      </c>
      <c r="C1770">
        <v>2</v>
      </c>
      <c r="D1770">
        <v>2</v>
      </c>
      <c r="E1770" t="s">
        <v>9</v>
      </c>
      <c r="F1770" t="s">
        <v>3041</v>
      </c>
      <c r="G1770" t="s">
        <v>3042</v>
      </c>
      <c r="H1770">
        <v>2.3010000000000002</v>
      </c>
      <c r="I1770" t="s">
        <v>12</v>
      </c>
    </row>
    <row r="1771" spans="1:9" x14ac:dyDescent="0.3">
      <c r="A1771">
        <v>32</v>
      </c>
      <c r="B1771">
        <v>3</v>
      </c>
      <c r="C1771">
        <v>2</v>
      </c>
      <c r="D1771">
        <v>2</v>
      </c>
      <c r="E1771" t="s">
        <v>19</v>
      </c>
      <c r="F1771" t="s">
        <v>3043</v>
      </c>
      <c r="I1771" t="s">
        <v>21</v>
      </c>
    </row>
    <row r="1772" spans="1:9" x14ac:dyDescent="0.3">
      <c r="A1772">
        <v>32</v>
      </c>
      <c r="B1772">
        <v>3</v>
      </c>
      <c r="C1772">
        <v>2</v>
      </c>
      <c r="D1772">
        <v>2</v>
      </c>
      <c r="E1772" t="s">
        <v>19</v>
      </c>
      <c r="F1772" t="s">
        <v>3044</v>
      </c>
      <c r="I1772" t="s">
        <v>21</v>
      </c>
    </row>
    <row r="1773" spans="1:9" x14ac:dyDescent="0.3">
      <c r="A1773">
        <v>32</v>
      </c>
      <c r="B1773">
        <v>3</v>
      </c>
      <c r="C1773">
        <v>3</v>
      </c>
      <c r="D1773">
        <v>1</v>
      </c>
      <c r="E1773" t="s">
        <v>22</v>
      </c>
      <c r="F1773" t="s">
        <v>3045</v>
      </c>
      <c r="G1773" t="s">
        <v>3046</v>
      </c>
      <c r="H1773">
        <v>1.486</v>
      </c>
      <c r="I1773" t="s">
        <v>21</v>
      </c>
    </row>
    <row r="1774" spans="1:9" x14ac:dyDescent="0.3">
      <c r="A1774">
        <v>32</v>
      </c>
      <c r="B1774">
        <v>3</v>
      </c>
      <c r="C1774">
        <v>3</v>
      </c>
      <c r="D1774">
        <v>1</v>
      </c>
      <c r="E1774" t="s">
        <v>22</v>
      </c>
      <c r="F1774" t="s">
        <v>3047</v>
      </c>
      <c r="G1774" t="s">
        <v>3048</v>
      </c>
      <c r="H1774">
        <v>1.3009999999999999</v>
      </c>
      <c r="I1774" t="s">
        <v>21</v>
      </c>
    </row>
    <row r="1775" spans="1:9" x14ac:dyDescent="0.3">
      <c r="A1775">
        <v>32</v>
      </c>
      <c r="B1775">
        <v>3</v>
      </c>
      <c r="C1775">
        <v>3</v>
      </c>
      <c r="D1775">
        <v>1</v>
      </c>
      <c r="E1775" t="s">
        <v>9</v>
      </c>
      <c r="F1775" t="s">
        <v>3049</v>
      </c>
      <c r="G1775" t="s">
        <v>3050</v>
      </c>
      <c r="H1775">
        <v>2.1339999999999999</v>
      </c>
      <c r="I1775" t="s">
        <v>12</v>
      </c>
    </row>
    <row r="1776" spans="1:9" x14ac:dyDescent="0.3">
      <c r="A1776">
        <v>32</v>
      </c>
      <c r="B1776">
        <v>3</v>
      </c>
      <c r="C1776">
        <v>3</v>
      </c>
      <c r="D1776">
        <v>1</v>
      </c>
      <c r="E1776" t="s">
        <v>19</v>
      </c>
      <c r="F1776" t="s">
        <v>3051</v>
      </c>
      <c r="I1776" t="s">
        <v>21</v>
      </c>
    </row>
    <row r="1777" spans="1:9" x14ac:dyDescent="0.3">
      <c r="A1777">
        <v>32</v>
      </c>
      <c r="B1777">
        <v>3</v>
      </c>
      <c r="C1777">
        <v>3</v>
      </c>
      <c r="D1777">
        <v>1</v>
      </c>
      <c r="E1777" t="s">
        <v>9</v>
      </c>
      <c r="F1777" t="s">
        <v>3052</v>
      </c>
      <c r="G1777" t="s">
        <v>3053</v>
      </c>
      <c r="H1777">
        <v>1.9</v>
      </c>
      <c r="I1777" t="s">
        <v>12</v>
      </c>
    </row>
    <row r="1778" spans="1:9" x14ac:dyDescent="0.3">
      <c r="A1778">
        <v>32</v>
      </c>
      <c r="B1778">
        <v>3</v>
      </c>
      <c r="C1778">
        <v>3</v>
      </c>
      <c r="D1778">
        <v>1</v>
      </c>
      <c r="E1778" t="s">
        <v>9</v>
      </c>
      <c r="F1778" t="s">
        <v>3054</v>
      </c>
      <c r="G1778" t="s">
        <v>3055</v>
      </c>
      <c r="H1778">
        <v>2.5009999999999999</v>
      </c>
      <c r="I1778" t="s">
        <v>12</v>
      </c>
    </row>
    <row r="1779" spans="1:9" x14ac:dyDescent="0.3">
      <c r="A1779">
        <v>32</v>
      </c>
      <c r="B1779">
        <v>3</v>
      </c>
      <c r="C1779">
        <v>3</v>
      </c>
      <c r="D1779">
        <v>1</v>
      </c>
      <c r="E1779" t="s">
        <v>9</v>
      </c>
      <c r="F1779" t="s">
        <v>3056</v>
      </c>
      <c r="G1779" t="s">
        <v>3057</v>
      </c>
      <c r="H1779">
        <v>1.5669999999999999</v>
      </c>
      <c r="I1779" t="s">
        <v>12</v>
      </c>
    </row>
    <row r="1780" spans="1:9" x14ac:dyDescent="0.3">
      <c r="A1780">
        <v>32</v>
      </c>
      <c r="B1780">
        <v>3</v>
      </c>
      <c r="C1780">
        <v>3</v>
      </c>
      <c r="D1780">
        <v>1</v>
      </c>
      <c r="E1780" t="s">
        <v>19</v>
      </c>
      <c r="F1780" t="s">
        <v>3058</v>
      </c>
      <c r="I1780" t="s">
        <v>21</v>
      </c>
    </row>
    <row r="1781" spans="1:9" x14ac:dyDescent="0.3">
      <c r="A1781">
        <v>32</v>
      </c>
      <c r="B1781">
        <v>3</v>
      </c>
      <c r="C1781">
        <v>3</v>
      </c>
      <c r="D1781">
        <v>1</v>
      </c>
      <c r="E1781" t="s">
        <v>19</v>
      </c>
      <c r="F1781" t="s">
        <v>3059</v>
      </c>
      <c r="I1781" t="s">
        <v>21</v>
      </c>
    </row>
    <row r="1782" spans="1:9" x14ac:dyDescent="0.3">
      <c r="A1782">
        <v>33</v>
      </c>
      <c r="B1782">
        <v>1</v>
      </c>
      <c r="C1782">
        <v>1</v>
      </c>
      <c r="D1782">
        <v>1</v>
      </c>
      <c r="E1782" t="s">
        <v>9</v>
      </c>
      <c r="F1782" t="s">
        <v>3060</v>
      </c>
      <c r="G1782" t="s">
        <v>3061</v>
      </c>
      <c r="H1782">
        <v>1.952</v>
      </c>
      <c r="I1782" t="s">
        <v>12</v>
      </c>
    </row>
    <row r="1783" spans="1:9" x14ac:dyDescent="0.3">
      <c r="A1783">
        <v>33</v>
      </c>
      <c r="B1783">
        <v>1</v>
      </c>
      <c r="C1783">
        <v>1</v>
      </c>
      <c r="D1783">
        <v>2</v>
      </c>
      <c r="E1783" t="s">
        <v>9</v>
      </c>
      <c r="F1783" t="s">
        <v>3062</v>
      </c>
      <c r="G1783" t="s">
        <v>3063</v>
      </c>
      <c r="H1783">
        <v>1.8859999999999999</v>
      </c>
      <c r="I1783" t="s">
        <v>12</v>
      </c>
    </row>
    <row r="1784" spans="1:9" x14ac:dyDescent="0.3">
      <c r="A1784">
        <v>33</v>
      </c>
      <c r="B1784">
        <v>1</v>
      </c>
      <c r="C1784">
        <v>1</v>
      </c>
      <c r="D1784">
        <v>3</v>
      </c>
      <c r="E1784" t="s">
        <v>9</v>
      </c>
      <c r="F1784" t="s">
        <v>3064</v>
      </c>
      <c r="G1784" t="s">
        <v>3065</v>
      </c>
      <c r="H1784">
        <v>5.6529999999999996</v>
      </c>
      <c r="I1784" t="s">
        <v>12</v>
      </c>
    </row>
    <row r="1785" spans="1:9" x14ac:dyDescent="0.3">
      <c r="A1785">
        <v>33</v>
      </c>
      <c r="B1785">
        <v>1</v>
      </c>
      <c r="C1785">
        <v>1</v>
      </c>
      <c r="D1785">
        <v>4</v>
      </c>
      <c r="E1785" t="s">
        <v>9</v>
      </c>
      <c r="F1785" t="s">
        <v>3066</v>
      </c>
      <c r="G1785" t="s">
        <v>3067</v>
      </c>
      <c r="H1785">
        <v>1.9850000000000001</v>
      </c>
      <c r="I1785" t="s">
        <v>12</v>
      </c>
    </row>
    <row r="1786" spans="1:9" x14ac:dyDescent="0.3">
      <c r="A1786">
        <v>33</v>
      </c>
      <c r="B1786">
        <v>1</v>
      </c>
      <c r="C1786">
        <v>1</v>
      </c>
      <c r="D1786">
        <v>5</v>
      </c>
      <c r="E1786" t="s">
        <v>9</v>
      </c>
      <c r="F1786" t="s">
        <v>3068</v>
      </c>
      <c r="G1786" t="s">
        <v>3069</v>
      </c>
      <c r="H1786">
        <v>1.885</v>
      </c>
      <c r="I1786" t="s">
        <v>12</v>
      </c>
    </row>
    <row r="1787" spans="1:9" x14ac:dyDescent="0.3">
      <c r="A1787">
        <v>34</v>
      </c>
      <c r="B1787">
        <v>1</v>
      </c>
      <c r="C1787">
        <v>1</v>
      </c>
      <c r="D1787">
        <v>1</v>
      </c>
      <c r="E1787" t="s">
        <v>9</v>
      </c>
      <c r="F1787" t="s">
        <v>3070</v>
      </c>
      <c r="G1787" t="s">
        <v>3071</v>
      </c>
      <c r="H1787">
        <v>1.82</v>
      </c>
      <c r="I1787" t="s">
        <v>12</v>
      </c>
    </row>
    <row r="1788" spans="1:9" x14ac:dyDescent="0.3">
      <c r="A1788">
        <v>34</v>
      </c>
      <c r="B1788">
        <v>1</v>
      </c>
      <c r="C1788">
        <v>1</v>
      </c>
      <c r="D1788">
        <v>2</v>
      </c>
      <c r="E1788" t="s">
        <v>9</v>
      </c>
      <c r="F1788" t="s">
        <v>3072</v>
      </c>
      <c r="G1788" t="s">
        <v>3073</v>
      </c>
      <c r="H1788">
        <v>1.5529999999999999</v>
      </c>
      <c r="I1788" t="s">
        <v>12</v>
      </c>
    </row>
    <row r="1789" spans="1:9" x14ac:dyDescent="0.3">
      <c r="A1789">
        <v>34</v>
      </c>
      <c r="B1789">
        <v>1</v>
      </c>
      <c r="C1789">
        <v>2</v>
      </c>
      <c r="D1789">
        <v>1</v>
      </c>
      <c r="E1789" t="s">
        <v>9</v>
      </c>
      <c r="F1789" t="s">
        <v>3074</v>
      </c>
      <c r="G1789" t="s">
        <v>3075</v>
      </c>
      <c r="H1789">
        <v>3.62</v>
      </c>
      <c r="I1789" t="s">
        <v>12</v>
      </c>
    </row>
    <row r="1790" spans="1:9" x14ac:dyDescent="0.3">
      <c r="A1790">
        <v>34</v>
      </c>
      <c r="B1790">
        <v>1</v>
      </c>
      <c r="C1790">
        <v>2</v>
      </c>
      <c r="D1790">
        <v>2</v>
      </c>
      <c r="E1790" t="s">
        <v>9</v>
      </c>
      <c r="F1790" t="s">
        <v>3076</v>
      </c>
      <c r="G1790" t="s">
        <v>3077</v>
      </c>
      <c r="H1790">
        <v>2.58</v>
      </c>
      <c r="I1790" t="s">
        <v>12</v>
      </c>
    </row>
    <row r="1791" spans="1:9" x14ac:dyDescent="0.3">
      <c r="A1791">
        <v>34</v>
      </c>
      <c r="B1791">
        <v>1</v>
      </c>
      <c r="C1791">
        <v>2</v>
      </c>
      <c r="D1791">
        <v>2</v>
      </c>
      <c r="E1791" t="s">
        <v>9</v>
      </c>
      <c r="F1791" t="s">
        <v>3078</v>
      </c>
      <c r="G1791" t="s">
        <v>3079</v>
      </c>
      <c r="H1791">
        <v>4.6289999999999996</v>
      </c>
      <c r="I1791" t="s">
        <v>12</v>
      </c>
    </row>
    <row r="1792" spans="1:9" x14ac:dyDescent="0.3">
      <c r="A1792">
        <v>34</v>
      </c>
      <c r="B1792">
        <v>1</v>
      </c>
      <c r="C1792">
        <v>2</v>
      </c>
      <c r="D1792">
        <v>3</v>
      </c>
      <c r="E1792" t="s">
        <v>9</v>
      </c>
      <c r="F1792" t="s">
        <v>3080</v>
      </c>
      <c r="G1792" t="s">
        <v>3081</v>
      </c>
      <c r="H1792">
        <v>3.4540000000000002</v>
      </c>
      <c r="I1792" t="s">
        <v>12</v>
      </c>
    </row>
    <row r="1793" spans="1:9" x14ac:dyDescent="0.3">
      <c r="A1793">
        <v>34</v>
      </c>
      <c r="B1793">
        <v>1</v>
      </c>
      <c r="C1793">
        <v>2</v>
      </c>
      <c r="D1793">
        <v>4</v>
      </c>
      <c r="E1793" t="s">
        <v>9</v>
      </c>
      <c r="F1793" t="s">
        <v>3082</v>
      </c>
      <c r="G1793" t="s">
        <v>3083</v>
      </c>
      <c r="H1793">
        <v>2.1869999999999998</v>
      </c>
      <c r="I1793" t="s">
        <v>12</v>
      </c>
    </row>
    <row r="1794" spans="1:9" x14ac:dyDescent="0.3">
      <c r="A1794">
        <v>34</v>
      </c>
      <c r="B1794">
        <v>1</v>
      </c>
      <c r="C1794">
        <v>2</v>
      </c>
      <c r="D1794">
        <v>5</v>
      </c>
      <c r="E1794" t="s">
        <v>9</v>
      </c>
      <c r="F1794" t="s">
        <v>3084</v>
      </c>
      <c r="G1794" t="s">
        <v>3085</v>
      </c>
      <c r="H1794">
        <v>1.5860000000000001</v>
      </c>
      <c r="I1794" t="s">
        <v>12</v>
      </c>
    </row>
    <row r="1795" spans="1:9" x14ac:dyDescent="0.3">
      <c r="A1795">
        <v>34</v>
      </c>
      <c r="B1795">
        <v>1</v>
      </c>
      <c r="C1795">
        <v>2</v>
      </c>
      <c r="D1795">
        <v>5</v>
      </c>
      <c r="E1795" t="s">
        <v>9</v>
      </c>
      <c r="F1795" t="s">
        <v>3086</v>
      </c>
      <c r="G1795" t="s">
        <v>3087</v>
      </c>
      <c r="H1795">
        <v>2.3540000000000001</v>
      </c>
      <c r="I1795" t="s">
        <v>12</v>
      </c>
    </row>
    <row r="1796" spans="1:9" x14ac:dyDescent="0.3">
      <c r="A1796">
        <v>34</v>
      </c>
      <c r="B1796">
        <v>1</v>
      </c>
      <c r="C1796">
        <v>2</v>
      </c>
      <c r="D1796">
        <v>6</v>
      </c>
      <c r="E1796" t="s">
        <v>9</v>
      </c>
      <c r="F1796" t="s">
        <v>3088</v>
      </c>
      <c r="G1796" t="s">
        <v>3089</v>
      </c>
      <c r="H1796">
        <v>3.819</v>
      </c>
      <c r="I1796" t="s">
        <v>12</v>
      </c>
    </row>
    <row r="1797" spans="1:9" x14ac:dyDescent="0.3">
      <c r="A1797">
        <v>34</v>
      </c>
      <c r="B1797">
        <v>1</v>
      </c>
      <c r="C1797">
        <v>2</v>
      </c>
      <c r="D1797">
        <v>7</v>
      </c>
      <c r="E1797" t="s">
        <v>9</v>
      </c>
      <c r="F1797" t="s">
        <v>3090</v>
      </c>
      <c r="G1797" t="s">
        <v>3091</v>
      </c>
      <c r="H1797">
        <v>3.52</v>
      </c>
      <c r="I1797" t="s">
        <v>12</v>
      </c>
    </row>
    <row r="1798" spans="1:9" x14ac:dyDescent="0.3">
      <c r="A1798">
        <v>34</v>
      </c>
      <c r="B1798">
        <v>1</v>
      </c>
      <c r="C1798">
        <v>2</v>
      </c>
      <c r="D1798">
        <v>7</v>
      </c>
      <c r="E1798" t="s">
        <v>9</v>
      </c>
      <c r="F1798" t="s">
        <v>3092</v>
      </c>
      <c r="G1798" t="s">
        <v>3093</v>
      </c>
      <c r="H1798">
        <v>4.133</v>
      </c>
      <c r="I1798" t="s">
        <v>12</v>
      </c>
    </row>
    <row r="1799" spans="1:9" x14ac:dyDescent="0.3">
      <c r="A1799">
        <v>34</v>
      </c>
      <c r="B1799">
        <v>1</v>
      </c>
      <c r="C1799">
        <v>3</v>
      </c>
      <c r="D1799">
        <v>3</v>
      </c>
      <c r="E1799" t="s">
        <v>9</v>
      </c>
      <c r="F1799" t="s">
        <v>5372</v>
      </c>
      <c r="G1799" t="s">
        <v>5373</v>
      </c>
      <c r="H1799">
        <v>5.3529999999999998</v>
      </c>
      <c r="I1799" t="s">
        <v>12</v>
      </c>
    </row>
    <row r="1800" spans="1:9" x14ac:dyDescent="0.3">
      <c r="A1800">
        <v>35</v>
      </c>
      <c r="B1800">
        <v>1</v>
      </c>
      <c r="C1800">
        <v>1</v>
      </c>
      <c r="D1800">
        <v>1</v>
      </c>
      <c r="E1800" t="s">
        <v>9</v>
      </c>
      <c r="F1800" t="s">
        <v>3094</v>
      </c>
      <c r="G1800" t="s">
        <v>3095</v>
      </c>
      <c r="H1800">
        <v>1.988</v>
      </c>
      <c r="I1800" t="s">
        <v>12</v>
      </c>
    </row>
    <row r="1801" spans="1:9" x14ac:dyDescent="0.3">
      <c r="A1801">
        <v>35</v>
      </c>
      <c r="B1801">
        <v>1</v>
      </c>
      <c r="C1801">
        <v>2</v>
      </c>
      <c r="D1801">
        <v>1</v>
      </c>
      <c r="E1801" t="s">
        <v>9</v>
      </c>
      <c r="F1801" t="s">
        <v>3096</v>
      </c>
      <c r="G1801" t="s">
        <v>3097</v>
      </c>
      <c r="H1801">
        <v>1.64</v>
      </c>
      <c r="I1801" t="s">
        <v>12</v>
      </c>
    </row>
    <row r="1802" spans="1:9" x14ac:dyDescent="0.3">
      <c r="A1802">
        <v>35</v>
      </c>
      <c r="B1802">
        <v>1</v>
      </c>
      <c r="C1802">
        <v>2</v>
      </c>
      <c r="D1802">
        <v>1</v>
      </c>
      <c r="E1802" t="s">
        <v>9</v>
      </c>
      <c r="F1802" t="s">
        <v>3098</v>
      </c>
      <c r="G1802" t="s">
        <v>3099</v>
      </c>
      <c r="H1802">
        <v>1.5009999999999999</v>
      </c>
      <c r="I1802" t="s">
        <v>12</v>
      </c>
    </row>
    <row r="1803" spans="1:9" x14ac:dyDescent="0.3">
      <c r="A1803">
        <v>35</v>
      </c>
      <c r="B1803">
        <v>1</v>
      </c>
      <c r="C1803">
        <v>3</v>
      </c>
      <c r="D1803">
        <v>1</v>
      </c>
      <c r="E1803" t="s">
        <v>9</v>
      </c>
      <c r="F1803" t="s">
        <v>3100</v>
      </c>
      <c r="G1803" t="s">
        <v>3101</v>
      </c>
      <c r="H1803">
        <v>8.3529999999999998</v>
      </c>
      <c r="I1803" t="s">
        <v>12</v>
      </c>
    </row>
    <row r="1804" spans="1:9" x14ac:dyDescent="0.3">
      <c r="A1804">
        <v>35</v>
      </c>
      <c r="B1804">
        <v>1</v>
      </c>
      <c r="C1804">
        <v>2</v>
      </c>
      <c r="D1804">
        <v>1</v>
      </c>
      <c r="E1804" t="s">
        <v>9</v>
      </c>
      <c r="F1804" t="s">
        <v>3102</v>
      </c>
      <c r="G1804" t="s">
        <v>3103</v>
      </c>
      <c r="H1804">
        <v>4.5519999999999996</v>
      </c>
      <c r="I1804" t="s">
        <v>12</v>
      </c>
    </row>
    <row r="1805" spans="1:9" x14ac:dyDescent="0.3">
      <c r="A1805">
        <v>35</v>
      </c>
      <c r="B1805">
        <v>1</v>
      </c>
      <c r="C1805">
        <v>2</v>
      </c>
      <c r="D1805">
        <v>1</v>
      </c>
      <c r="E1805" t="s">
        <v>9</v>
      </c>
      <c r="F1805" t="s">
        <v>3104</v>
      </c>
      <c r="H1805" t="s">
        <v>81</v>
      </c>
      <c r="I1805" t="s">
        <v>34</v>
      </c>
    </row>
    <row r="1806" spans="1:9" x14ac:dyDescent="0.3">
      <c r="A1806">
        <v>35</v>
      </c>
      <c r="B1806">
        <v>1</v>
      </c>
      <c r="C1806">
        <v>2</v>
      </c>
      <c r="D1806">
        <v>2</v>
      </c>
      <c r="E1806" t="s">
        <v>9</v>
      </c>
      <c r="F1806" t="s">
        <v>3105</v>
      </c>
      <c r="G1806" t="s">
        <v>3106</v>
      </c>
      <c r="H1806">
        <v>1.786</v>
      </c>
      <c r="I1806" t="s">
        <v>12</v>
      </c>
    </row>
    <row r="1807" spans="1:9" x14ac:dyDescent="0.3">
      <c r="A1807">
        <v>35</v>
      </c>
      <c r="B1807">
        <v>1</v>
      </c>
      <c r="C1807">
        <v>2</v>
      </c>
      <c r="D1807">
        <v>2</v>
      </c>
      <c r="E1807" t="s">
        <v>9</v>
      </c>
      <c r="F1807" t="s">
        <v>3107</v>
      </c>
      <c r="H1807" t="s">
        <v>81</v>
      </c>
      <c r="I1807" t="s">
        <v>34</v>
      </c>
    </row>
    <row r="1808" spans="1:9" x14ac:dyDescent="0.3">
      <c r="A1808">
        <v>35</v>
      </c>
      <c r="B1808">
        <v>1</v>
      </c>
      <c r="C1808">
        <v>2</v>
      </c>
      <c r="D1808">
        <v>3</v>
      </c>
      <c r="E1808" t="s">
        <v>9</v>
      </c>
      <c r="F1808" t="s">
        <v>3108</v>
      </c>
      <c r="G1808" t="s">
        <v>3109</v>
      </c>
      <c r="H1808">
        <v>4.2190000000000003</v>
      </c>
      <c r="I1808" t="s">
        <v>12</v>
      </c>
    </row>
    <row r="1809" spans="1:9" x14ac:dyDescent="0.3">
      <c r="A1809">
        <v>35</v>
      </c>
      <c r="B1809">
        <v>1</v>
      </c>
      <c r="C1809">
        <v>2</v>
      </c>
      <c r="D1809">
        <v>3</v>
      </c>
      <c r="E1809" t="s">
        <v>9</v>
      </c>
      <c r="F1809" t="s">
        <v>3110</v>
      </c>
      <c r="G1809" t="s">
        <v>3111</v>
      </c>
      <c r="H1809">
        <v>2.9</v>
      </c>
      <c r="I1809" t="s">
        <v>12</v>
      </c>
    </row>
    <row r="1810" spans="1:9" x14ac:dyDescent="0.3">
      <c r="A1810">
        <v>35</v>
      </c>
      <c r="B1810">
        <v>1</v>
      </c>
      <c r="C1810">
        <v>2</v>
      </c>
      <c r="D1810">
        <v>4</v>
      </c>
      <c r="E1810" t="s">
        <v>9</v>
      </c>
      <c r="F1810" t="s">
        <v>3112</v>
      </c>
      <c r="H1810" t="s">
        <v>81</v>
      </c>
      <c r="I1810" t="s">
        <v>34</v>
      </c>
    </row>
    <row r="1811" spans="1:9" x14ac:dyDescent="0.3">
      <c r="A1811">
        <v>35</v>
      </c>
      <c r="B1811">
        <v>1</v>
      </c>
      <c r="C1811">
        <v>2</v>
      </c>
      <c r="D1811">
        <v>4</v>
      </c>
      <c r="E1811" t="s">
        <v>9</v>
      </c>
      <c r="F1811" t="s">
        <v>3113</v>
      </c>
      <c r="H1811" t="s">
        <v>81</v>
      </c>
      <c r="I1811" t="s">
        <v>34</v>
      </c>
    </row>
    <row r="1812" spans="1:9" x14ac:dyDescent="0.3">
      <c r="A1812">
        <v>35</v>
      </c>
      <c r="B1812">
        <v>1</v>
      </c>
      <c r="C1812">
        <v>2</v>
      </c>
      <c r="D1812">
        <v>5</v>
      </c>
      <c r="E1812" t="s">
        <v>9</v>
      </c>
      <c r="F1812" t="s">
        <v>3114</v>
      </c>
      <c r="G1812" t="s">
        <v>3115</v>
      </c>
      <c r="H1812">
        <v>4.18</v>
      </c>
      <c r="I1812" t="s">
        <v>12</v>
      </c>
    </row>
    <row r="1813" spans="1:9" x14ac:dyDescent="0.3">
      <c r="A1813">
        <v>35</v>
      </c>
      <c r="B1813">
        <v>1</v>
      </c>
      <c r="C1813">
        <v>2</v>
      </c>
      <c r="D1813">
        <v>5</v>
      </c>
      <c r="E1813" t="s">
        <v>9</v>
      </c>
      <c r="F1813" t="s">
        <v>3116</v>
      </c>
      <c r="G1813" t="s">
        <v>3117</v>
      </c>
      <c r="H1813">
        <v>3.3</v>
      </c>
      <c r="I1813" t="s">
        <v>12</v>
      </c>
    </row>
    <row r="1814" spans="1:9" x14ac:dyDescent="0.3">
      <c r="A1814">
        <v>35</v>
      </c>
      <c r="B1814">
        <v>3</v>
      </c>
      <c r="C1814">
        <v>1</v>
      </c>
      <c r="D1814">
        <v>1</v>
      </c>
      <c r="E1814" t="s">
        <v>9</v>
      </c>
      <c r="F1814" t="s">
        <v>3118</v>
      </c>
      <c r="G1814" t="s">
        <v>3119</v>
      </c>
      <c r="H1814">
        <v>1.486</v>
      </c>
      <c r="I1814" t="s">
        <v>12</v>
      </c>
    </row>
    <row r="1815" spans="1:9" x14ac:dyDescent="0.3">
      <c r="A1815">
        <v>35</v>
      </c>
      <c r="B1815">
        <v>3</v>
      </c>
      <c r="C1815">
        <v>1</v>
      </c>
      <c r="D1815">
        <v>2</v>
      </c>
      <c r="E1815" t="s">
        <v>9</v>
      </c>
      <c r="F1815" t="s">
        <v>3120</v>
      </c>
      <c r="G1815" t="s">
        <v>3121</v>
      </c>
      <c r="H1815">
        <v>6.2539999999999996</v>
      </c>
      <c r="I1815" t="s">
        <v>12</v>
      </c>
    </row>
    <row r="1816" spans="1:9" x14ac:dyDescent="0.3">
      <c r="A1816">
        <v>35</v>
      </c>
      <c r="B1816">
        <v>3</v>
      </c>
      <c r="C1816">
        <v>1</v>
      </c>
      <c r="D1816">
        <v>3</v>
      </c>
      <c r="E1816" t="s">
        <v>22</v>
      </c>
      <c r="F1816" t="s">
        <v>3122</v>
      </c>
      <c r="G1816" t="s">
        <v>3123</v>
      </c>
      <c r="H1816">
        <v>5.52</v>
      </c>
      <c r="I1816" t="s">
        <v>34</v>
      </c>
    </row>
    <row r="1817" spans="1:9" x14ac:dyDescent="0.3">
      <c r="A1817">
        <v>35</v>
      </c>
      <c r="B1817">
        <v>3</v>
      </c>
      <c r="C1817">
        <v>1</v>
      </c>
      <c r="D1817">
        <v>3</v>
      </c>
      <c r="E1817" t="s">
        <v>9</v>
      </c>
      <c r="F1817" t="s">
        <v>3124</v>
      </c>
      <c r="G1817" t="s">
        <v>3125</v>
      </c>
      <c r="H1817">
        <v>5.5789999999999997</v>
      </c>
      <c r="I1817" t="s">
        <v>12</v>
      </c>
    </row>
    <row r="1818" spans="1:9" x14ac:dyDescent="0.3">
      <c r="A1818">
        <v>35</v>
      </c>
      <c r="B1818">
        <v>3</v>
      </c>
      <c r="C1818">
        <v>1</v>
      </c>
      <c r="D1818">
        <v>3</v>
      </c>
      <c r="E1818" t="s">
        <v>9</v>
      </c>
      <c r="F1818" t="s">
        <v>3126</v>
      </c>
      <c r="G1818" t="s">
        <v>3127</v>
      </c>
      <c r="H1818">
        <v>4.4950000000000001</v>
      </c>
      <c r="I1818" t="s">
        <v>12</v>
      </c>
    </row>
    <row r="1819" spans="1:9" x14ac:dyDescent="0.3">
      <c r="A1819">
        <v>35</v>
      </c>
      <c r="B1819">
        <v>3</v>
      </c>
      <c r="C1819">
        <v>1</v>
      </c>
      <c r="D1819">
        <v>3</v>
      </c>
      <c r="E1819" t="s">
        <v>19</v>
      </c>
      <c r="F1819" t="s">
        <v>3128</v>
      </c>
      <c r="I1819" t="s">
        <v>21</v>
      </c>
    </row>
    <row r="1820" spans="1:9" x14ac:dyDescent="0.3">
      <c r="A1820">
        <v>35</v>
      </c>
      <c r="B1820">
        <v>3</v>
      </c>
      <c r="C1820">
        <v>1</v>
      </c>
      <c r="D1820">
        <v>4</v>
      </c>
      <c r="E1820" t="s">
        <v>9</v>
      </c>
      <c r="F1820" t="s">
        <v>3129</v>
      </c>
      <c r="G1820" t="s">
        <v>3130</v>
      </c>
      <c r="H1820">
        <v>4.9189999999999996</v>
      </c>
      <c r="I1820" t="s">
        <v>12</v>
      </c>
    </row>
    <row r="1821" spans="1:9" x14ac:dyDescent="0.3">
      <c r="A1821">
        <v>35</v>
      </c>
      <c r="B1821">
        <v>3</v>
      </c>
      <c r="C1821">
        <v>1</v>
      </c>
      <c r="D1821">
        <v>4</v>
      </c>
      <c r="E1821" t="s">
        <v>9</v>
      </c>
      <c r="F1821" t="s">
        <v>3131</v>
      </c>
      <c r="G1821" t="s">
        <v>3132</v>
      </c>
      <c r="H1821">
        <v>2.6680000000000001</v>
      </c>
      <c r="I1821" t="s">
        <v>12</v>
      </c>
    </row>
    <row r="1822" spans="1:9" x14ac:dyDescent="0.3">
      <c r="A1822">
        <v>35</v>
      </c>
      <c r="B1822">
        <v>3</v>
      </c>
      <c r="C1822">
        <v>1</v>
      </c>
      <c r="D1822">
        <v>4</v>
      </c>
      <c r="E1822" t="s">
        <v>19</v>
      </c>
      <c r="F1822" t="s">
        <v>3133</v>
      </c>
      <c r="I1822" t="s">
        <v>21</v>
      </c>
    </row>
    <row r="1823" spans="1:9" x14ac:dyDescent="0.3">
      <c r="A1823">
        <v>35</v>
      </c>
      <c r="B1823">
        <v>3</v>
      </c>
      <c r="C1823">
        <v>1</v>
      </c>
      <c r="D1823">
        <v>5</v>
      </c>
      <c r="E1823" t="s">
        <v>9</v>
      </c>
      <c r="F1823" t="s">
        <v>3134</v>
      </c>
      <c r="G1823" t="s">
        <v>3135</v>
      </c>
      <c r="H1823">
        <v>3.0190000000000001</v>
      </c>
      <c r="I1823" t="s">
        <v>12</v>
      </c>
    </row>
    <row r="1824" spans="1:9" x14ac:dyDescent="0.3">
      <c r="A1824">
        <v>35</v>
      </c>
      <c r="B1824">
        <v>3</v>
      </c>
      <c r="C1824">
        <v>1</v>
      </c>
      <c r="D1824">
        <v>5</v>
      </c>
      <c r="E1824" t="s">
        <v>9</v>
      </c>
      <c r="F1824" t="s">
        <v>3136</v>
      </c>
      <c r="G1824" t="s">
        <v>3137</v>
      </c>
      <c r="H1824">
        <v>2.4340000000000002</v>
      </c>
      <c r="I1824" t="s">
        <v>12</v>
      </c>
    </row>
    <row r="1825" spans="1:9" x14ac:dyDescent="0.3">
      <c r="A1825">
        <v>35</v>
      </c>
      <c r="B1825">
        <v>3</v>
      </c>
      <c r="C1825">
        <v>1</v>
      </c>
      <c r="D1825">
        <v>5</v>
      </c>
      <c r="E1825" t="s">
        <v>22</v>
      </c>
      <c r="F1825" t="s">
        <v>3138</v>
      </c>
      <c r="G1825" t="s">
        <v>3139</v>
      </c>
      <c r="H1825">
        <v>2.867</v>
      </c>
      <c r="I1825" t="s">
        <v>21</v>
      </c>
    </row>
    <row r="1826" spans="1:9" x14ac:dyDescent="0.3">
      <c r="A1826">
        <v>35</v>
      </c>
      <c r="B1826">
        <v>3</v>
      </c>
      <c r="C1826">
        <v>1</v>
      </c>
      <c r="D1826">
        <v>5</v>
      </c>
      <c r="E1826" t="s">
        <v>19</v>
      </c>
      <c r="F1826" t="s">
        <v>3140</v>
      </c>
      <c r="I1826" t="s">
        <v>21</v>
      </c>
    </row>
    <row r="1827" spans="1:9" x14ac:dyDescent="0.3">
      <c r="A1827">
        <v>35</v>
      </c>
      <c r="B1827">
        <v>3</v>
      </c>
      <c r="C1827">
        <v>2</v>
      </c>
      <c r="D1827">
        <v>1</v>
      </c>
      <c r="E1827" t="s">
        <v>9</v>
      </c>
      <c r="F1827" t="s">
        <v>3141</v>
      </c>
      <c r="G1827" t="s">
        <v>3142</v>
      </c>
      <c r="H1827">
        <v>4.5529999999999999</v>
      </c>
      <c r="I1827" t="s">
        <v>12</v>
      </c>
    </row>
    <row r="1828" spans="1:9" x14ac:dyDescent="0.3">
      <c r="A1828">
        <v>35</v>
      </c>
      <c r="B1828">
        <v>3</v>
      </c>
      <c r="C1828">
        <v>2</v>
      </c>
      <c r="D1828">
        <v>1</v>
      </c>
      <c r="E1828" t="s">
        <v>9</v>
      </c>
      <c r="F1828" t="s">
        <v>3143</v>
      </c>
      <c r="G1828" t="s">
        <v>3144</v>
      </c>
      <c r="H1828">
        <v>4.101</v>
      </c>
      <c r="I1828" t="s">
        <v>12</v>
      </c>
    </row>
    <row r="1829" spans="1:9" x14ac:dyDescent="0.3">
      <c r="A1829">
        <v>35</v>
      </c>
      <c r="B1829">
        <v>3</v>
      </c>
      <c r="C1829">
        <v>2</v>
      </c>
      <c r="D1829">
        <v>1</v>
      </c>
      <c r="E1829" t="s">
        <v>9</v>
      </c>
      <c r="F1829" t="s">
        <v>3145</v>
      </c>
      <c r="G1829" t="s">
        <v>3146</v>
      </c>
      <c r="H1829">
        <v>4.9530000000000003</v>
      </c>
      <c r="I1829" t="s">
        <v>12</v>
      </c>
    </row>
    <row r="1830" spans="1:9" x14ac:dyDescent="0.3">
      <c r="A1830">
        <v>35</v>
      </c>
      <c r="B1830">
        <v>3</v>
      </c>
      <c r="C1830">
        <v>2</v>
      </c>
      <c r="D1830">
        <v>1</v>
      </c>
      <c r="E1830" t="s">
        <v>22</v>
      </c>
      <c r="F1830" t="s">
        <v>3147</v>
      </c>
      <c r="G1830" t="s">
        <v>3148</v>
      </c>
      <c r="H1830">
        <v>3.0009999999999999</v>
      </c>
      <c r="I1830" t="s">
        <v>21</v>
      </c>
    </row>
    <row r="1831" spans="1:9" x14ac:dyDescent="0.3">
      <c r="A1831">
        <v>35</v>
      </c>
      <c r="B1831">
        <v>3</v>
      </c>
      <c r="C1831">
        <v>2</v>
      </c>
      <c r="D1831">
        <v>1</v>
      </c>
      <c r="E1831" t="s">
        <v>19</v>
      </c>
      <c r="F1831" t="s">
        <v>3149</v>
      </c>
      <c r="I1831" t="s">
        <v>21</v>
      </c>
    </row>
    <row r="1832" spans="1:9" x14ac:dyDescent="0.3">
      <c r="A1832">
        <v>35</v>
      </c>
      <c r="B1832">
        <v>3</v>
      </c>
      <c r="C1832">
        <v>2</v>
      </c>
      <c r="D1832">
        <v>2</v>
      </c>
      <c r="E1832" t="s">
        <v>9</v>
      </c>
      <c r="F1832" t="s">
        <v>3150</v>
      </c>
      <c r="G1832" t="s">
        <v>3151</v>
      </c>
      <c r="H1832">
        <v>2.6190000000000002</v>
      </c>
      <c r="I1832" t="s">
        <v>12</v>
      </c>
    </row>
    <row r="1833" spans="1:9" x14ac:dyDescent="0.3">
      <c r="A1833">
        <v>35</v>
      </c>
      <c r="B1833">
        <v>3</v>
      </c>
      <c r="C1833">
        <v>2</v>
      </c>
      <c r="D1833">
        <v>2</v>
      </c>
      <c r="E1833" t="s">
        <v>9</v>
      </c>
      <c r="F1833" t="s">
        <v>3152</v>
      </c>
      <c r="G1833" t="s">
        <v>3153</v>
      </c>
      <c r="H1833">
        <v>3.3330000000000002</v>
      </c>
      <c r="I1833" t="s">
        <v>12</v>
      </c>
    </row>
    <row r="1834" spans="1:9" x14ac:dyDescent="0.3">
      <c r="A1834">
        <v>35</v>
      </c>
      <c r="B1834">
        <v>3</v>
      </c>
      <c r="C1834">
        <v>2</v>
      </c>
      <c r="D1834">
        <v>2</v>
      </c>
      <c r="E1834" t="s">
        <v>9</v>
      </c>
      <c r="F1834" t="s">
        <v>3154</v>
      </c>
      <c r="G1834" t="s">
        <v>3155</v>
      </c>
      <c r="H1834">
        <v>2.8010000000000002</v>
      </c>
      <c r="I1834" t="s">
        <v>12</v>
      </c>
    </row>
    <row r="1835" spans="1:9" x14ac:dyDescent="0.3">
      <c r="A1835">
        <v>35</v>
      </c>
      <c r="B1835">
        <v>3</v>
      </c>
      <c r="C1835">
        <v>2</v>
      </c>
      <c r="D1835">
        <v>2</v>
      </c>
      <c r="E1835" t="s">
        <v>22</v>
      </c>
      <c r="F1835" t="s">
        <v>3156</v>
      </c>
      <c r="G1835" t="s">
        <v>3157</v>
      </c>
      <c r="H1835">
        <v>2.367</v>
      </c>
      <c r="I1835" t="s">
        <v>21</v>
      </c>
    </row>
    <row r="1836" spans="1:9" x14ac:dyDescent="0.3">
      <c r="A1836">
        <v>35</v>
      </c>
      <c r="B1836">
        <v>3</v>
      </c>
      <c r="C1836">
        <v>2</v>
      </c>
      <c r="D1836">
        <v>2</v>
      </c>
      <c r="E1836" t="s">
        <v>19</v>
      </c>
      <c r="F1836" t="s">
        <v>3158</v>
      </c>
      <c r="I1836" t="s">
        <v>34</v>
      </c>
    </row>
    <row r="1837" spans="1:9" x14ac:dyDescent="0.3">
      <c r="A1837">
        <v>35</v>
      </c>
      <c r="B1837">
        <v>3</v>
      </c>
      <c r="C1837">
        <v>2</v>
      </c>
      <c r="D1837">
        <v>2</v>
      </c>
      <c r="E1837" t="s">
        <v>19</v>
      </c>
      <c r="F1837" t="s">
        <v>3159</v>
      </c>
      <c r="I1837" t="s">
        <v>21</v>
      </c>
    </row>
    <row r="1838" spans="1:9" x14ac:dyDescent="0.3">
      <c r="A1838">
        <v>35</v>
      </c>
      <c r="B1838">
        <v>3</v>
      </c>
      <c r="C1838">
        <v>2</v>
      </c>
      <c r="D1838">
        <v>3</v>
      </c>
      <c r="E1838" t="s">
        <v>9</v>
      </c>
      <c r="F1838" t="s">
        <v>3160</v>
      </c>
      <c r="G1838" t="s">
        <v>3161</v>
      </c>
      <c r="H1838">
        <v>2.52</v>
      </c>
      <c r="I1838" t="s">
        <v>12</v>
      </c>
    </row>
    <row r="1839" spans="1:9" x14ac:dyDescent="0.3">
      <c r="A1839">
        <v>35</v>
      </c>
      <c r="B1839">
        <v>3</v>
      </c>
      <c r="C1839">
        <v>2</v>
      </c>
      <c r="D1839">
        <v>3</v>
      </c>
      <c r="E1839" t="s">
        <v>9</v>
      </c>
      <c r="F1839" t="s">
        <v>3162</v>
      </c>
      <c r="G1839" t="s">
        <v>3163</v>
      </c>
      <c r="H1839">
        <v>2.5339999999999998</v>
      </c>
      <c r="I1839" t="s">
        <v>12</v>
      </c>
    </row>
    <row r="1840" spans="1:9" x14ac:dyDescent="0.3">
      <c r="A1840">
        <v>35</v>
      </c>
      <c r="B1840">
        <v>3</v>
      </c>
      <c r="C1840">
        <v>2</v>
      </c>
      <c r="D1840">
        <v>3</v>
      </c>
      <c r="E1840" t="s">
        <v>9</v>
      </c>
      <c r="F1840" t="s">
        <v>3164</v>
      </c>
      <c r="G1840" t="s">
        <v>3165</v>
      </c>
      <c r="H1840">
        <v>2.2010000000000001</v>
      </c>
      <c r="I1840" t="s">
        <v>12</v>
      </c>
    </row>
    <row r="1841" spans="1:9" x14ac:dyDescent="0.3">
      <c r="A1841">
        <v>35</v>
      </c>
      <c r="B1841">
        <v>3</v>
      </c>
      <c r="C1841">
        <v>2</v>
      </c>
      <c r="D1841">
        <v>3</v>
      </c>
      <c r="E1841" t="s">
        <v>22</v>
      </c>
      <c r="F1841" t="s">
        <v>3166</v>
      </c>
      <c r="G1841" t="s">
        <v>3167</v>
      </c>
      <c r="H1841">
        <v>2.101</v>
      </c>
      <c r="I1841" t="s">
        <v>21</v>
      </c>
    </row>
    <row r="1842" spans="1:9" x14ac:dyDescent="0.3">
      <c r="A1842">
        <v>35</v>
      </c>
      <c r="B1842">
        <v>3</v>
      </c>
      <c r="C1842">
        <v>2</v>
      </c>
      <c r="D1842">
        <v>3</v>
      </c>
      <c r="E1842" t="s">
        <v>19</v>
      </c>
      <c r="F1842" t="s">
        <v>3168</v>
      </c>
      <c r="I1842" t="s">
        <v>21</v>
      </c>
    </row>
    <row r="1843" spans="1:9" x14ac:dyDescent="0.3">
      <c r="A1843">
        <v>35</v>
      </c>
      <c r="B1843">
        <v>3</v>
      </c>
      <c r="C1843">
        <v>2</v>
      </c>
      <c r="D1843">
        <v>4</v>
      </c>
      <c r="E1843" t="s">
        <v>9</v>
      </c>
      <c r="F1843" t="s">
        <v>3169</v>
      </c>
      <c r="G1843" t="s">
        <v>3170</v>
      </c>
      <c r="H1843">
        <v>3.0190000000000001</v>
      </c>
      <c r="I1843" t="s">
        <v>12</v>
      </c>
    </row>
    <row r="1844" spans="1:9" x14ac:dyDescent="0.3">
      <c r="A1844">
        <v>35</v>
      </c>
      <c r="B1844">
        <v>3</v>
      </c>
      <c r="C1844">
        <v>2</v>
      </c>
      <c r="D1844">
        <v>4</v>
      </c>
      <c r="E1844" t="s">
        <v>9</v>
      </c>
      <c r="F1844" t="s">
        <v>3171</v>
      </c>
      <c r="G1844" t="s">
        <v>3172</v>
      </c>
      <c r="H1844">
        <v>2.3340000000000001</v>
      </c>
      <c r="I1844" t="s">
        <v>12</v>
      </c>
    </row>
    <row r="1845" spans="1:9" x14ac:dyDescent="0.3">
      <c r="A1845">
        <v>35</v>
      </c>
      <c r="B1845">
        <v>3</v>
      </c>
      <c r="C1845">
        <v>2</v>
      </c>
      <c r="D1845">
        <v>4</v>
      </c>
      <c r="E1845" t="s">
        <v>9</v>
      </c>
      <c r="F1845" t="s">
        <v>3173</v>
      </c>
      <c r="H1845" t="s">
        <v>81</v>
      </c>
      <c r="I1845" t="s">
        <v>34</v>
      </c>
    </row>
    <row r="1846" spans="1:9" x14ac:dyDescent="0.3">
      <c r="A1846">
        <v>35</v>
      </c>
      <c r="B1846">
        <v>3</v>
      </c>
      <c r="C1846">
        <v>2</v>
      </c>
      <c r="D1846">
        <v>4</v>
      </c>
      <c r="E1846" t="s">
        <v>22</v>
      </c>
      <c r="F1846" t="s">
        <v>3174</v>
      </c>
      <c r="G1846" t="s">
        <v>3175</v>
      </c>
      <c r="H1846">
        <v>2.734</v>
      </c>
      <c r="I1846" t="s">
        <v>21</v>
      </c>
    </row>
    <row r="1847" spans="1:9" x14ac:dyDescent="0.3">
      <c r="A1847">
        <v>35</v>
      </c>
      <c r="B1847">
        <v>3</v>
      </c>
      <c r="C1847">
        <v>2</v>
      </c>
      <c r="D1847">
        <v>4</v>
      </c>
      <c r="E1847" t="s">
        <v>19</v>
      </c>
      <c r="F1847" t="s">
        <v>3176</v>
      </c>
      <c r="I1847" t="s">
        <v>21</v>
      </c>
    </row>
    <row r="1848" spans="1:9" x14ac:dyDescent="0.3">
      <c r="A1848">
        <v>35</v>
      </c>
      <c r="B1848">
        <v>3</v>
      </c>
      <c r="C1848">
        <v>3</v>
      </c>
      <c r="D1848">
        <v>1</v>
      </c>
      <c r="E1848" t="s">
        <v>9</v>
      </c>
      <c r="F1848" t="s">
        <v>3177</v>
      </c>
      <c r="G1848" t="s">
        <v>3178</v>
      </c>
      <c r="H1848">
        <v>2.7519999999999998</v>
      </c>
      <c r="I1848" t="s">
        <v>12</v>
      </c>
    </row>
    <row r="1849" spans="1:9" x14ac:dyDescent="0.3">
      <c r="A1849">
        <v>35</v>
      </c>
      <c r="B1849">
        <v>3</v>
      </c>
      <c r="C1849">
        <v>3</v>
      </c>
      <c r="D1849">
        <v>1</v>
      </c>
      <c r="E1849" t="s">
        <v>9</v>
      </c>
      <c r="F1849" t="s">
        <v>3179</v>
      </c>
      <c r="G1849" t="s">
        <v>3180</v>
      </c>
      <c r="H1849">
        <v>2.8679999999999999</v>
      </c>
      <c r="I1849" t="s">
        <v>12</v>
      </c>
    </row>
    <row r="1850" spans="1:9" x14ac:dyDescent="0.3">
      <c r="A1850">
        <v>35</v>
      </c>
      <c r="B1850">
        <v>3</v>
      </c>
      <c r="C1850">
        <v>3</v>
      </c>
      <c r="D1850">
        <v>1</v>
      </c>
      <c r="E1850" t="s">
        <v>22</v>
      </c>
      <c r="F1850" t="s">
        <v>3181</v>
      </c>
      <c r="G1850" t="s">
        <v>3182</v>
      </c>
      <c r="H1850">
        <v>6.3010000000000002</v>
      </c>
      <c r="I1850" t="s">
        <v>21</v>
      </c>
    </row>
    <row r="1851" spans="1:9" x14ac:dyDescent="0.3">
      <c r="A1851">
        <v>35</v>
      </c>
      <c r="B1851">
        <v>3</v>
      </c>
      <c r="C1851">
        <v>3</v>
      </c>
      <c r="D1851">
        <v>1</v>
      </c>
      <c r="E1851" t="s">
        <v>19</v>
      </c>
      <c r="F1851" t="s">
        <v>3183</v>
      </c>
      <c r="I1851" t="s">
        <v>34</v>
      </c>
    </row>
    <row r="1852" spans="1:9" x14ac:dyDescent="0.3">
      <c r="A1852">
        <v>35</v>
      </c>
      <c r="B1852">
        <v>3</v>
      </c>
      <c r="C1852">
        <v>3</v>
      </c>
      <c r="D1852">
        <v>2</v>
      </c>
      <c r="E1852" t="s">
        <v>9</v>
      </c>
      <c r="F1852" t="s">
        <v>3184</v>
      </c>
      <c r="G1852" t="s">
        <v>3185</v>
      </c>
      <c r="H1852">
        <v>2.4849999999999999</v>
      </c>
      <c r="I1852" t="s">
        <v>12</v>
      </c>
    </row>
    <row r="1853" spans="1:9" x14ac:dyDescent="0.3">
      <c r="A1853">
        <v>35</v>
      </c>
      <c r="B1853">
        <v>3</v>
      </c>
      <c r="C1853">
        <v>3</v>
      </c>
      <c r="D1853">
        <v>2</v>
      </c>
      <c r="E1853" t="s">
        <v>9</v>
      </c>
      <c r="F1853" t="s">
        <v>3186</v>
      </c>
      <c r="G1853" t="s">
        <v>3187</v>
      </c>
      <c r="H1853">
        <v>2.367</v>
      </c>
      <c r="I1853" t="s">
        <v>12</v>
      </c>
    </row>
    <row r="1854" spans="1:9" x14ac:dyDescent="0.3">
      <c r="A1854">
        <v>35</v>
      </c>
      <c r="B1854">
        <v>3</v>
      </c>
      <c r="C1854">
        <v>3</v>
      </c>
      <c r="D1854">
        <v>2</v>
      </c>
      <c r="E1854" t="s">
        <v>22</v>
      </c>
      <c r="F1854" t="s">
        <v>3188</v>
      </c>
      <c r="G1854" t="s">
        <v>3189</v>
      </c>
      <c r="H1854">
        <v>5.367</v>
      </c>
      <c r="I1854" t="s">
        <v>21</v>
      </c>
    </row>
    <row r="1855" spans="1:9" x14ac:dyDescent="0.3">
      <c r="A1855">
        <v>35</v>
      </c>
      <c r="B1855">
        <v>3</v>
      </c>
      <c r="C1855">
        <v>3</v>
      </c>
      <c r="D1855">
        <v>2</v>
      </c>
      <c r="E1855" t="s">
        <v>22</v>
      </c>
      <c r="F1855" t="s">
        <v>3190</v>
      </c>
      <c r="G1855" t="s">
        <v>3191</v>
      </c>
      <c r="H1855">
        <v>2.1669999999999998</v>
      </c>
      <c r="I1855" t="s">
        <v>21</v>
      </c>
    </row>
    <row r="1856" spans="1:9" x14ac:dyDescent="0.3">
      <c r="A1856">
        <v>35</v>
      </c>
      <c r="B1856">
        <v>3</v>
      </c>
      <c r="C1856">
        <v>3</v>
      </c>
      <c r="D1856">
        <v>2</v>
      </c>
      <c r="E1856" t="s">
        <v>19</v>
      </c>
      <c r="F1856" t="s">
        <v>3192</v>
      </c>
      <c r="I1856" t="s">
        <v>34</v>
      </c>
    </row>
    <row r="1857" spans="1:9" x14ac:dyDescent="0.3">
      <c r="A1857">
        <v>35</v>
      </c>
      <c r="B1857">
        <v>3</v>
      </c>
      <c r="C1857">
        <v>3</v>
      </c>
      <c r="D1857">
        <v>3</v>
      </c>
      <c r="E1857" t="s">
        <v>9</v>
      </c>
      <c r="F1857" t="s">
        <v>3193</v>
      </c>
      <c r="G1857" t="s">
        <v>3194</v>
      </c>
      <c r="H1857">
        <v>3.6859999999999999</v>
      </c>
      <c r="I1857" t="s">
        <v>12</v>
      </c>
    </row>
    <row r="1858" spans="1:9" x14ac:dyDescent="0.3">
      <c r="A1858">
        <v>35</v>
      </c>
      <c r="B1858">
        <v>3</v>
      </c>
      <c r="C1858">
        <v>3</v>
      </c>
      <c r="D1858">
        <v>3</v>
      </c>
      <c r="E1858" t="s">
        <v>9</v>
      </c>
      <c r="F1858" t="s">
        <v>3195</v>
      </c>
      <c r="G1858" t="s">
        <v>3196</v>
      </c>
      <c r="H1858">
        <v>4.101</v>
      </c>
      <c r="I1858" t="s">
        <v>12</v>
      </c>
    </row>
    <row r="1859" spans="1:9" x14ac:dyDescent="0.3">
      <c r="A1859">
        <v>35</v>
      </c>
      <c r="B1859">
        <v>3</v>
      </c>
      <c r="C1859">
        <v>3</v>
      </c>
      <c r="D1859">
        <v>3</v>
      </c>
      <c r="E1859" t="s">
        <v>22</v>
      </c>
      <c r="F1859" t="s">
        <v>3197</v>
      </c>
      <c r="G1859" t="s">
        <v>3198</v>
      </c>
      <c r="H1859">
        <v>4.7009999999999996</v>
      </c>
      <c r="I1859" t="s">
        <v>21</v>
      </c>
    </row>
    <row r="1860" spans="1:9" x14ac:dyDescent="0.3">
      <c r="A1860">
        <v>35</v>
      </c>
      <c r="B1860">
        <v>3</v>
      </c>
      <c r="C1860">
        <v>3</v>
      </c>
      <c r="D1860">
        <v>3</v>
      </c>
      <c r="E1860" t="s">
        <v>19</v>
      </c>
      <c r="F1860" t="s">
        <v>3199</v>
      </c>
      <c r="I1860" t="s">
        <v>21</v>
      </c>
    </row>
    <row r="1861" spans="1:9" x14ac:dyDescent="0.3">
      <c r="A1861">
        <v>35</v>
      </c>
      <c r="B1861">
        <v>3</v>
      </c>
      <c r="C1861">
        <v>1</v>
      </c>
      <c r="D1861">
        <v>1</v>
      </c>
      <c r="E1861" t="s">
        <v>9</v>
      </c>
      <c r="F1861" t="s">
        <v>3200</v>
      </c>
      <c r="H1861" t="s">
        <v>81</v>
      </c>
      <c r="I1861" t="s">
        <v>34</v>
      </c>
    </row>
    <row r="1862" spans="1:9" x14ac:dyDescent="0.3">
      <c r="A1862">
        <v>35</v>
      </c>
      <c r="B1862">
        <v>3</v>
      </c>
      <c r="C1862">
        <v>1</v>
      </c>
      <c r="D1862">
        <v>1</v>
      </c>
      <c r="E1862" t="s">
        <v>9</v>
      </c>
      <c r="F1862" t="s">
        <v>3201</v>
      </c>
      <c r="G1862" t="s">
        <v>3202</v>
      </c>
      <c r="H1862">
        <v>2.2519999999999998</v>
      </c>
      <c r="I1862" t="s">
        <v>12</v>
      </c>
    </row>
    <row r="1863" spans="1:9" x14ac:dyDescent="0.3">
      <c r="A1863">
        <v>35</v>
      </c>
      <c r="B1863">
        <v>3</v>
      </c>
      <c r="C1863">
        <v>1</v>
      </c>
      <c r="D1863">
        <v>1</v>
      </c>
      <c r="E1863" t="s">
        <v>22</v>
      </c>
      <c r="F1863" t="s">
        <v>3203</v>
      </c>
      <c r="G1863" t="s">
        <v>3204</v>
      </c>
      <c r="H1863">
        <v>2.5670000000000002</v>
      </c>
      <c r="I1863" t="s">
        <v>21</v>
      </c>
    </row>
    <row r="1864" spans="1:9" x14ac:dyDescent="0.3">
      <c r="A1864">
        <v>35</v>
      </c>
      <c r="B1864">
        <v>3</v>
      </c>
      <c r="C1864">
        <v>1</v>
      </c>
      <c r="D1864">
        <v>1</v>
      </c>
      <c r="E1864" t="s">
        <v>19</v>
      </c>
      <c r="F1864" t="s">
        <v>3205</v>
      </c>
      <c r="I1864" t="s">
        <v>34</v>
      </c>
    </row>
    <row r="1865" spans="1:9" x14ac:dyDescent="0.3">
      <c r="A1865">
        <v>35</v>
      </c>
      <c r="B1865">
        <v>3</v>
      </c>
      <c r="C1865">
        <v>1</v>
      </c>
      <c r="D1865">
        <v>1</v>
      </c>
      <c r="E1865" t="s">
        <v>22</v>
      </c>
      <c r="F1865" t="s">
        <v>3206</v>
      </c>
      <c r="G1865" t="s">
        <v>3207</v>
      </c>
      <c r="H1865">
        <v>2.234</v>
      </c>
      <c r="I1865" t="s">
        <v>21</v>
      </c>
    </row>
    <row r="1866" spans="1:9" x14ac:dyDescent="0.3">
      <c r="A1866">
        <v>35</v>
      </c>
      <c r="B1866">
        <v>3</v>
      </c>
      <c r="C1866">
        <v>1</v>
      </c>
      <c r="D1866">
        <v>1</v>
      </c>
      <c r="E1866" t="s">
        <v>19</v>
      </c>
      <c r="F1866" t="s">
        <v>3208</v>
      </c>
      <c r="I1866" t="s">
        <v>21</v>
      </c>
    </row>
    <row r="1867" spans="1:9" x14ac:dyDescent="0.3">
      <c r="A1867">
        <v>35</v>
      </c>
      <c r="B1867">
        <v>3</v>
      </c>
      <c r="C1867">
        <v>2</v>
      </c>
      <c r="D1867">
        <v>1</v>
      </c>
      <c r="E1867" t="s">
        <v>9</v>
      </c>
      <c r="F1867" t="s">
        <v>3209</v>
      </c>
      <c r="G1867" t="s">
        <v>3210</v>
      </c>
      <c r="H1867">
        <v>4.1529999999999996</v>
      </c>
      <c r="I1867" t="s">
        <v>12</v>
      </c>
    </row>
    <row r="1868" spans="1:9" x14ac:dyDescent="0.3">
      <c r="A1868">
        <v>35</v>
      </c>
      <c r="B1868">
        <v>3</v>
      </c>
      <c r="C1868">
        <v>2</v>
      </c>
      <c r="D1868">
        <v>1</v>
      </c>
      <c r="E1868" t="s">
        <v>9</v>
      </c>
      <c r="F1868" t="s">
        <v>3211</v>
      </c>
      <c r="G1868" t="s">
        <v>3212</v>
      </c>
      <c r="H1868">
        <v>2.8679999999999999</v>
      </c>
      <c r="I1868" t="s">
        <v>12</v>
      </c>
    </row>
    <row r="1869" spans="1:9" x14ac:dyDescent="0.3">
      <c r="A1869">
        <v>35</v>
      </c>
      <c r="B1869">
        <v>3</v>
      </c>
      <c r="C1869">
        <v>2</v>
      </c>
      <c r="D1869">
        <v>1</v>
      </c>
      <c r="E1869" t="s">
        <v>9</v>
      </c>
      <c r="F1869" t="s">
        <v>3213</v>
      </c>
      <c r="G1869" t="s">
        <v>3214</v>
      </c>
      <c r="H1869">
        <v>4.1340000000000003</v>
      </c>
      <c r="I1869" t="s">
        <v>12</v>
      </c>
    </row>
    <row r="1870" spans="1:9" x14ac:dyDescent="0.3">
      <c r="A1870">
        <v>35</v>
      </c>
      <c r="B1870">
        <v>3</v>
      </c>
      <c r="C1870">
        <v>2</v>
      </c>
      <c r="D1870">
        <v>1</v>
      </c>
      <c r="E1870" t="s">
        <v>22</v>
      </c>
      <c r="F1870" t="s">
        <v>3215</v>
      </c>
      <c r="G1870" t="s">
        <v>3216</v>
      </c>
      <c r="H1870">
        <v>4.3680000000000003</v>
      </c>
      <c r="I1870" t="s">
        <v>21</v>
      </c>
    </row>
    <row r="1871" spans="1:9" x14ac:dyDescent="0.3">
      <c r="A1871">
        <v>35</v>
      </c>
      <c r="B1871">
        <v>3</v>
      </c>
      <c r="C1871">
        <v>2</v>
      </c>
      <c r="D1871">
        <v>1</v>
      </c>
      <c r="E1871" t="s">
        <v>9</v>
      </c>
      <c r="F1871" t="s">
        <v>3217</v>
      </c>
      <c r="G1871" t="s">
        <v>3218</v>
      </c>
      <c r="H1871">
        <v>3.0339999999999998</v>
      </c>
      <c r="I1871" t="s">
        <v>12</v>
      </c>
    </row>
    <row r="1872" spans="1:9" x14ac:dyDescent="0.3">
      <c r="A1872">
        <v>35</v>
      </c>
      <c r="B1872">
        <v>3</v>
      </c>
      <c r="C1872">
        <v>2</v>
      </c>
      <c r="D1872">
        <v>1</v>
      </c>
      <c r="E1872" t="s">
        <v>22</v>
      </c>
      <c r="F1872" t="s">
        <v>3219</v>
      </c>
      <c r="G1872" t="s">
        <v>3220</v>
      </c>
      <c r="H1872">
        <v>2.734</v>
      </c>
      <c r="I1872" t="s">
        <v>21</v>
      </c>
    </row>
    <row r="1873" spans="1:9" x14ac:dyDescent="0.3">
      <c r="A1873">
        <v>35</v>
      </c>
      <c r="B1873">
        <v>3</v>
      </c>
      <c r="C1873">
        <v>2</v>
      </c>
      <c r="D1873">
        <v>1</v>
      </c>
      <c r="E1873" t="s">
        <v>19</v>
      </c>
      <c r="F1873" t="s">
        <v>3221</v>
      </c>
      <c r="I1873" t="s">
        <v>21</v>
      </c>
    </row>
    <row r="1874" spans="1:9" x14ac:dyDescent="0.3">
      <c r="A1874">
        <v>35</v>
      </c>
      <c r="B1874">
        <v>3</v>
      </c>
      <c r="C1874">
        <v>1</v>
      </c>
      <c r="D1874">
        <v>1</v>
      </c>
      <c r="E1874" t="s">
        <v>22</v>
      </c>
      <c r="F1874" t="s">
        <v>3222</v>
      </c>
      <c r="G1874" t="s">
        <v>3223</v>
      </c>
      <c r="H1874">
        <v>4.1520000000000001</v>
      </c>
      <c r="I1874" t="s">
        <v>21</v>
      </c>
    </row>
    <row r="1875" spans="1:9" x14ac:dyDescent="0.3">
      <c r="A1875">
        <v>35</v>
      </c>
      <c r="B1875">
        <v>3</v>
      </c>
      <c r="C1875">
        <v>1</v>
      </c>
      <c r="D1875">
        <v>1</v>
      </c>
      <c r="E1875" t="s">
        <v>22</v>
      </c>
      <c r="F1875" t="s">
        <v>3224</v>
      </c>
      <c r="G1875" t="s">
        <v>3225</v>
      </c>
      <c r="H1875">
        <v>3.5680000000000001</v>
      </c>
      <c r="I1875" t="s">
        <v>21</v>
      </c>
    </row>
    <row r="1876" spans="1:9" x14ac:dyDescent="0.3">
      <c r="A1876">
        <v>35</v>
      </c>
      <c r="B1876">
        <v>3</v>
      </c>
      <c r="C1876">
        <v>1</v>
      </c>
      <c r="D1876">
        <v>1</v>
      </c>
      <c r="E1876" t="s">
        <v>9</v>
      </c>
      <c r="F1876" t="s">
        <v>3226</v>
      </c>
      <c r="G1876" t="s">
        <v>3227</v>
      </c>
      <c r="H1876">
        <v>3.7010000000000001</v>
      </c>
      <c r="I1876" t="s">
        <v>12</v>
      </c>
    </row>
    <row r="1877" spans="1:9" x14ac:dyDescent="0.3">
      <c r="A1877">
        <v>35</v>
      </c>
      <c r="B1877">
        <v>3</v>
      </c>
      <c r="C1877">
        <v>1</v>
      </c>
      <c r="D1877">
        <v>1</v>
      </c>
      <c r="E1877" t="s">
        <v>9</v>
      </c>
      <c r="F1877" t="s">
        <v>3228</v>
      </c>
      <c r="G1877" t="s">
        <v>3229</v>
      </c>
      <c r="H1877">
        <v>4.3949999999999996</v>
      </c>
      <c r="I1877" t="s">
        <v>12</v>
      </c>
    </row>
    <row r="1878" spans="1:9" x14ac:dyDescent="0.3">
      <c r="A1878">
        <v>35</v>
      </c>
      <c r="B1878">
        <v>3</v>
      </c>
      <c r="C1878">
        <v>1</v>
      </c>
      <c r="D1878">
        <v>1</v>
      </c>
      <c r="E1878" t="s">
        <v>9</v>
      </c>
      <c r="F1878" t="s">
        <v>3230</v>
      </c>
      <c r="G1878" t="s">
        <v>3231</v>
      </c>
      <c r="H1878">
        <v>4.5</v>
      </c>
      <c r="I1878" t="s">
        <v>12</v>
      </c>
    </row>
    <row r="1879" spans="1:9" x14ac:dyDescent="0.3">
      <c r="A1879">
        <v>35</v>
      </c>
      <c r="B1879">
        <v>3</v>
      </c>
      <c r="C1879">
        <v>1</v>
      </c>
      <c r="D1879">
        <v>1</v>
      </c>
      <c r="E1879" t="s">
        <v>19</v>
      </c>
      <c r="F1879" t="s">
        <v>3232</v>
      </c>
      <c r="I1879" t="s">
        <v>21</v>
      </c>
    </row>
    <row r="1880" spans="1:9" x14ac:dyDescent="0.3">
      <c r="A1880">
        <v>35</v>
      </c>
      <c r="B1880">
        <v>3</v>
      </c>
      <c r="C1880">
        <v>1</v>
      </c>
      <c r="D1880">
        <v>1</v>
      </c>
      <c r="E1880" t="s">
        <v>9</v>
      </c>
      <c r="F1880" t="s">
        <v>5374</v>
      </c>
      <c r="G1880" t="s">
        <v>5375</v>
      </c>
      <c r="H1880">
        <v>3.968</v>
      </c>
      <c r="I1880" t="s">
        <v>12</v>
      </c>
    </row>
    <row r="1881" spans="1:9" x14ac:dyDescent="0.3">
      <c r="A1881">
        <v>37</v>
      </c>
      <c r="B1881">
        <v>1</v>
      </c>
      <c r="C1881">
        <v>1</v>
      </c>
      <c r="D1881">
        <v>1</v>
      </c>
      <c r="E1881" t="s">
        <v>9</v>
      </c>
      <c r="F1881" t="s">
        <v>3233</v>
      </c>
      <c r="G1881" t="s">
        <v>3234</v>
      </c>
      <c r="H1881">
        <v>6.3529999999999998</v>
      </c>
      <c r="I1881" t="s">
        <v>12</v>
      </c>
    </row>
    <row r="1882" spans="1:9" x14ac:dyDescent="0.3">
      <c r="A1882">
        <v>37</v>
      </c>
      <c r="B1882">
        <v>1</v>
      </c>
      <c r="C1882">
        <v>1</v>
      </c>
      <c r="D1882">
        <v>2</v>
      </c>
      <c r="E1882" t="s">
        <v>9</v>
      </c>
      <c r="F1882" t="s">
        <v>3235</v>
      </c>
      <c r="G1882" t="s">
        <v>3236</v>
      </c>
      <c r="H1882">
        <v>5.1529999999999996</v>
      </c>
      <c r="I1882" t="s">
        <v>12</v>
      </c>
    </row>
    <row r="1883" spans="1:9" x14ac:dyDescent="0.3">
      <c r="A1883">
        <v>37</v>
      </c>
      <c r="B1883">
        <v>1</v>
      </c>
      <c r="C1883">
        <v>1</v>
      </c>
      <c r="D1883">
        <v>2</v>
      </c>
      <c r="E1883" t="s">
        <v>9</v>
      </c>
      <c r="F1883" t="s">
        <v>3237</v>
      </c>
      <c r="G1883" t="s">
        <v>3238</v>
      </c>
      <c r="H1883">
        <v>3.234</v>
      </c>
      <c r="I1883" t="s">
        <v>12</v>
      </c>
    </row>
    <row r="1884" spans="1:9" x14ac:dyDescent="0.3">
      <c r="A1884">
        <v>37</v>
      </c>
      <c r="B1884">
        <v>1</v>
      </c>
      <c r="C1884">
        <v>1</v>
      </c>
      <c r="D1884">
        <v>2</v>
      </c>
      <c r="E1884" t="s">
        <v>19</v>
      </c>
      <c r="F1884" t="s">
        <v>3239</v>
      </c>
      <c r="I1884" t="s">
        <v>21</v>
      </c>
    </row>
    <row r="1885" spans="1:9" x14ac:dyDescent="0.3">
      <c r="A1885">
        <v>37</v>
      </c>
      <c r="B1885">
        <v>1</v>
      </c>
      <c r="C1885">
        <v>1</v>
      </c>
      <c r="D1885">
        <v>3</v>
      </c>
      <c r="E1885" t="s">
        <v>9</v>
      </c>
      <c r="F1885" t="s">
        <v>3240</v>
      </c>
      <c r="G1885" t="s">
        <v>3241</v>
      </c>
      <c r="H1885">
        <v>2.52</v>
      </c>
      <c r="I1885" t="s">
        <v>12</v>
      </c>
    </row>
    <row r="1886" spans="1:9" x14ac:dyDescent="0.3">
      <c r="A1886">
        <v>37</v>
      </c>
      <c r="B1886">
        <v>1</v>
      </c>
      <c r="C1886">
        <v>1</v>
      </c>
      <c r="D1886">
        <v>3</v>
      </c>
      <c r="E1886" t="s">
        <v>22</v>
      </c>
      <c r="F1886" t="s">
        <v>3242</v>
      </c>
      <c r="G1886" t="s">
        <v>3243</v>
      </c>
      <c r="H1886">
        <v>3.601</v>
      </c>
      <c r="I1886" t="s">
        <v>21</v>
      </c>
    </row>
    <row r="1887" spans="1:9" x14ac:dyDescent="0.3">
      <c r="A1887">
        <v>37</v>
      </c>
      <c r="B1887">
        <v>1</v>
      </c>
      <c r="C1887">
        <v>1</v>
      </c>
      <c r="D1887">
        <v>3</v>
      </c>
      <c r="E1887" t="s">
        <v>9</v>
      </c>
      <c r="F1887" t="s">
        <v>3244</v>
      </c>
      <c r="G1887" t="s">
        <v>3245</v>
      </c>
      <c r="H1887">
        <v>3.3340000000000001</v>
      </c>
      <c r="I1887" t="s">
        <v>12</v>
      </c>
    </row>
    <row r="1888" spans="1:9" x14ac:dyDescent="0.3">
      <c r="A1888">
        <v>37</v>
      </c>
      <c r="B1888">
        <v>1</v>
      </c>
      <c r="C1888">
        <v>1</v>
      </c>
      <c r="D1888">
        <v>3</v>
      </c>
      <c r="E1888" t="s">
        <v>19</v>
      </c>
      <c r="F1888" t="s">
        <v>3246</v>
      </c>
      <c r="I1888" t="s">
        <v>21</v>
      </c>
    </row>
    <row r="1889" spans="1:9" x14ac:dyDescent="0.3">
      <c r="A1889">
        <v>37</v>
      </c>
      <c r="B1889">
        <v>1</v>
      </c>
      <c r="C1889">
        <v>1</v>
      </c>
      <c r="D1889">
        <v>4</v>
      </c>
      <c r="E1889" t="s">
        <v>22</v>
      </c>
      <c r="F1889" t="s">
        <v>3247</v>
      </c>
      <c r="G1889" t="s">
        <v>3248</v>
      </c>
      <c r="H1889">
        <v>3.7839999999999998</v>
      </c>
      <c r="I1889" t="s">
        <v>21</v>
      </c>
    </row>
    <row r="1890" spans="1:9" x14ac:dyDescent="0.3">
      <c r="A1890">
        <v>37</v>
      </c>
      <c r="B1890">
        <v>1</v>
      </c>
      <c r="C1890">
        <v>1</v>
      </c>
      <c r="D1890">
        <v>4</v>
      </c>
      <c r="E1890" t="s">
        <v>9</v>
      </c>
      <c r="F1890" t="s">
        <v>3249</v>
      </c>
      <c r="G1890" t="s">
        <v>3250</v>
      </c>
      <c r="H1890">
        <v>2.2349999999999999</v>
      </c>
      <c r="I1890" t="s">
        <v>12</v>
      </c>
    </row>
    <row r="1891" spans="1:9" x14ac:dyDescent="0.3">
      <c r="A1891">
        <v>37</v>
      </c>
      <c r="B1891">
        <v>1</v>
      </c>
      <c r="C1891">
        <v>1</v>
      </c>
      <c r="D1891">
        <v>4</v>
      </c>
      <c r="E1891" t="s">
        <v>19</v>
      </c>
      <c r="F1891" t="s">
        <v>3251</v>
      </c>
      <c r="I1891" t="s">
        <v>21</v>
      </c>
    </row>
    <row r="1892" spans="1:9" x14ac:dyDescent="0.3">
      <c r="A1892">
        <v>37</v>
      </c>
      <c r="B1892">
        <v>1</v>
      </c>
      <c r="C1892">
        <v>1</v>
      </c>
      <c r="D1892">
        <v>4</v>
      </c>
      <c r="E1892" t="s">
        <v>9</v>
      </c>
      <c r="F1892" t="s">
        <v>3252</v>
      </c>
      <c r="G1892" t="s">
        <v>3253</v>
      </c>
      <c r="H1892">
        <v>3.367</v>
      </c>
      <c r="I1892" t="s">
        <v>12</v>
      </c>
    </row>
    <row r="1893" spans="1:9" x14ac:dyDescent="0.3">
      <c r="A1893">
        <v>37</v>
      </c>
      <c r="B1893">
        <v>1</v>
      </c>
      <c r="C1893">
        <v>1</v>
      </c>
      <c r="D1893">
        <v>4</v>
      </c>
      <c r="E1893" t="s">
        <v>9</v>
      </c>
      <c r="F1893" t="s">
        <v>3254</v>
      </c>
      <c r="G1893" t="s">
        <v>3255</v>
      </c>
      <c r="H1893">
        <v>3</v>
      </c>
      <c r="I1893" t="s">
        <v>12</v>
      </c>
    </row>
    <row r="1894" spans="1:9" x14ac:dyDescent="0.3">
      <c r="A1894">
        <v>37</v>
      </c>
      <c r="B1894">
        <v>1</v>
      </c>
      <c r="C1894">
        <v>1</v>
      </c>
      <c r="D1894">
        <v>4</v>
      </c>
      <c r="E1894" t="s">
        <v>9</v>
      </c>
      <c r="F1894" t="s">
        <v>3256</v>
      </c>
      <c r="G1894" t="s">
        <v>3257</v>
      </c>
      <c r="H1894">
        <v>1.3340000000000001</v>
      </c>
      <c r="I1894" t="s">
        <v>12</v>
      </c>
    </row>
    <row r="1895" spans="1:9" x14ac:dyDescent="0.3">
      <c r="A1895">
        <v>37</v>
      </c>
      <c r="B1895">
        <v>1</v>
      </c>
      <c r="C1895">
        <v>1</v>
      </c>
      <c r="D1895">
        <v>4</v>
      </c>
      <c r="E1895" t="s">
        <v>19</v>
      </c>
      <c r="F1895" t="s">
        <v>3258</v>
      </c>
      <c r="I1895" t="s">
        <v>21</v>
      </c>
    </row>
    <row r="1896" spans="1:9" x14ac:dyDescent="0.3">
      <c r="A1896">
        <v>37</v>
      </c>
      <c r="B1896">
        <v>1</v>
      </c>
      <c r="C1896">
        <v>2</v>
      </c>
      <c r="D1896">
        <v>1</v>
      </c>
      <c r="E1896" t="s">
        <v>9</v>
      </c>
      <c r="F1896" t="s">
        <v>3259</v>
      </c>
      <c r="G1896" t="s">
        <v>3260</v>
      </c>
      <c r="H1896">
        <v>4.0519999999999996</v>
      </c>
      <c r="I1896" t="s">
        <v>12</v>
      </c>
    </row>
    <row r="1897" spans="1:9" x14ac:dyDescent="0.3">
      <c r="A1897">
        <v>37</v>
      </c>
      <c r="B1897">
        <v>1</v>
      </c>
      <c r="C1897">
        <v>2</v>
      </c>
      <c r="D1897">
        <v>1</v>
      </c>
      <c r="E1897" t="s">
        <v>9</v>
      </c>
      <c r="F1897" t="s">
        <v>3261</v>
      </c>
      <c r="G1897" t="s">
        <v>3262</v>
      </c>
      <c r="H1897">
        <v>4.468</v>
      </c>
      <c r="I1897" t="s">
        <v>12</v>
      </c>
    </row>
    <row r="1898" spans="1:9" x14ac:dyDescent="0.3">
      <c r="A1898">
        <v>37</v>
      </c>
      <c r="B1898">
        <v>1</v>
      </c>
      <c r="C1898">
        <v>2</v>
      </c>
      <c r="D1898">
        <v>1</v>
      </c>
      <c r="E1898" t="s">
        <v>19</v>
      </c>
      <c r="F1898" t="s">
        <v>3263</v>
      </c>
      <c r="I1898" t="s">
        <v>34</v>
      </c>
    </row>
    <row r="1899" spans="1:9" x14ac:dyDescent="0.3">
      <c r="A1899">
        <v>37</v>
      </c>
      <c r="B1899">
        <v>1</v>
      </c>
      <c r="C1899">
        <v>2</v>
      </c>
      <c r="D1899">
        <v>1</v>
      </c>
      <c r="E1899" t="s">
        <v>22</v>
      </c>
      <c r="F1899" t="s">
        <v>3264</v>
      </c>
      <c r="G1899" t="s">
        <v>3265</v>
      </c>
      <c r="H1899">
        <v>3.9</v>
      </c>
      <c r="I1899" t="s">
        <v>21</v>
      </c>
    </row>
    <row r="1900" spans="1:9" x14ac:dyDescent="0.3">
      <c r="A1900">
        <v>37</v>
      </c>
      <c r="B1900">
        <v>1</v>
      </c>
      <c r="C1900">
        <v>2</v>
      </c>
      <c r="D1900">
        <v>1</v>
      </c>
      <c r="E1900" t="s">
        <v>22</v>
      </c>
      <c r="F1900" t="s">
        <v>3266</v>
      </c>
      <c r="G1900" t="s">
        <v>3267</v>
      </c>
      <c r="H1900">
        <v>0.86699999999999999</v>
      </c>
      <c r="I1900" t="s">
        <v>21</v>
      </c>
    </row>
    <row r="1901" spans="1:9" x14ac:dyDescent="0.3">
      <c r="A1901">
        <v>37</v>
      </c>
      <c r="B1901">
        <v>1</v>
      </c>
      <c r="C1901">
        <v>2</v>
      </c>
      <c r="D1901">
        <v>1</v>
      </c>
      <c r="E1901" t="s">
        <v>9</v>
      </c>
      <c r="F1901" t="s">
        <v>3268</v>
      </c>
      <c r="G1901" t="s">
        <v>3269</v>
      </c>
      <c r="H1901">
        <v>3.0409999999999999</v>
      </c>
      <c r="I1901" t="s">
        <v>12</v>
      </c>
    </row>
    <row r="1902" spans="1:9" x14ac:dyDescent="0.3">
      <c r="A1902">
        <v>37</v>
      </c>
      <c r="B1902">
        <v>1</v>
      </c>
      <c r="C1902">
        <v>2</v>
      </c>
      <c r="D1902">
        <v>1</v>
      </c>
      <c r="E1902" t="s">
        <v>9</v>
      </c>
      <c r="F1902" t="s">
        <v>3270</v>
      </c>
      <c r="G1902" t="s">
        <v>3271</v>
      </c>
      <c r="H1902">
        <v>2.867</v>
      </c>
      <c r="I1902" t="s">
        <v>12</v>
      </c>
    </row>
    <row r="1903" spans="1:9" x14ac:dyDescent="0.3">
      <c r="A1903">
        <v>37</v>
      </c>
      <c r="B1903">
        <v>1</v>
      </c>
      <c r="C1903">
        <v>3</v>
      </c>
      <c r="D1903">
        <v>1</v>
      </c>
      <c r="E1903" t="s">
        <v>22</v>
      </c>
      <c r="F1903" t="s">
        <v>3272</v>
      </c>
      <c r="G1903" t="s">
        <v>3273</v>
      </c>
      <c r="H1903">
        <v>3.802</v>
      </c>
      <c r="I1903" t="s">
        <v>21</v>
      </c>
    </row>
    <row r="1904" spans="1:9" x14ac:dyDescent="0.3">
      <c r="A1904">
        <v>37</v>
      </c>
      <c r="B1904">
        <v>1</v>
      </c>
      <c r="C1904">
        <v>3</v>
      </c>
      <c r="D1904">
        <v>1</v>
      </c>
      <c r="E1904" t="s">
        <v>22</v>
      </c>
      <c r="F1904" t="s">
        <v>3274</v>
      </c>
      <c r="G1904" t="s">
        <v>3275</v>
      </c>
      <c r="H1904">
        <v>2.5329999999999999</v>
      </c>
      <c r="I1904" t="s">
        <v>21</v>
      </c>
    </row>
    <row r="1905" spans="1:9" x14ac:dyDescent="0.3">
      <c r="A1905">
        <v>37</v>
      </c>
      <c r="B1905">
        <v>1</v>
      </c>
      <c r="C1905">
        <v>3</v>
      </c>
      <c r="D1905">
        <v>1</v>
      </c>
      <c r="E1905" t="s">
        <v>19</v>
      </c>
      <c r="F1905" t="s">
        <v>3276</v>
      </c>
      <c r="I1905" t="s">
        <v>21</v>
      </c>
    </row>
    <row r="1906" spans="1:9" x14ac:dyDescent="0.3">
      <c r="A1906">
        <v>37</v>
      </c>
      <c r="B1906">
        <v>1</v>
      </c>
      <c r="C1906">
        <v>3</v>
      </c>
      <c r="D1906">
        <v>1</v>
      </c>
      <c r="E1906" t="s">
        <v>9</v>
      </c>
      <c r="F1906" t="s">
        <v>3277</v>
      </c>
      <c r="G1906" t="s">
        <v>3278</v>
      </c>
      <c r="H1906">
        <v>6.468</v>
      </c>
      <c r="I1906" t="s">
        <v>12</v>
      </c>
    </row>
    <row r="1907" spans="1:9" x14ac:dyDescent="0.3">
      <c r="A1907">
        <v>37</v>
      </c>
      <c r="B1907">
        <v>1</v>
      </c>
      <c r="C1907">
        <v>3</v>
      </c>
      <c r="D1907">
        <v>1</v>
      </c>
      <c r="E1907" t="s">
        <v>9</v>
      </c>
      <c r="F1907" t="s">
        <v>3279</v>
      </c>
      <c r="G1907" t="s">
        <v>3280</v>
      </c>
      <c r="H1907">
        <v>1.702</v>
      </c>
      <c r="I1907" t="s">
        <v>12</v>
      </c>
    </row>
    <row r="1908" spans="1:9" x14ac:dyDescent="0.3">
      <c r="A1908">
        <v>37</v>
      </c>
      <c r="B1908">
        <v>1</v>
      </c>
      <c r="C1908">
        <v>3</v>
      </c>
      <c r="D1908">
        <v>1</v>
      </c>
      <c r="E1908" t="s">
        <v>9</v>
      </c>
      <c r="F1908" t="s">
        <v>3281</v>
      </c>
      <c r="G1908" t="s">
        <v>3282</v>
      </c>
      <c r="H1908">
        <v>2.8359999999999999</v>
      </c>
      <c r="I1908" t="s">
        <v>12</v>
      </c>
    </row>
    <row r="1909" spans="1:9" x14ac:dyDescent="0.3">
      <c r="A1909">
        <v>37</v>
      </c>
      <c r="B1909">
        <v>1</v>
      </c>
      <c r="C1909">
        <v>3</v>
      </c>
      <c r="D1909">
        <v>1</v>
      </c>
      <c r="E1909" t="s">
        <v>9</v>
      </c>
      <c r="F1909" t="s">
        <v>3283</v>
      </c>
      <c r="G1909" t="s">
        <v>3284</v>
      </c>
      <c r="H1909">
        <v>1.266</v>
      </c>
      <c r="I1909" t="s">
        <v>12</v>
      </c>
    </row>
    <row r="1910" spans="1:9" x14ac:dyDescent="0.3">
      <c r="A1910">
        <v>37</v>
      </c>
      <c r="B1910">
        <v>1</v>
      </c>
      <c r="C1910">
        <v>3</v>
      </c>
      <c r="D1910">
        <v>1</v>
      </c>
      <c r="E1910" t="s">
        <v>19</v>
      </c>
      <c r="F1910" t="s">
        <v>3285</v>
      </c>
      <c r="I1910" t="s">
        <v>21</v>
      </c>
    </row>
    <row r="1911" spans="1:9" x14ac:dyDescent="0.3">
      <c r="A1911">
        <v>37</v>
      </c>
      <c r="B1911">
        <v>1</v>
      </c>
      <c r="C1911">
        <v>2</v>
      </c>
      <c r="D1911">
        <v>1</v>
      </c>
      <c r="E1911" t="s">
        <v>19</v>
      </c>
      <c r="F1911" t="s">
        <v>3286</v>
      </c>
      <c r="I1911" t="s">
        <v>34</v>
      </c>
    </row>
    <row r="1912" spans="1:9" x14ac:dyDescent="0.3">
      <c r="A1912">
        <v>37</v>
      </c>
      <c r="B1912">
        <v>1</v>
      </c>
      <c r="C1912">
        <v>2</v>
      </c>
      <c r="D1912">
        <v>1</v>
      </c>
      <c r="E1912" t="s">
        <v>22</v>
      </c>
      <c r="F1912" t="s">
        <v>3287</v>
      </c>
      <c r="H1912" t="s">
        <v>81</v>
      </c>
      <c r="I1912" t="s">
        <v>34</v>
      </c>
    </row>
    <row r="1913" spans="1:9" x14ac:dyDescent="0.3">
      <c r="A1913">
        <v>37</v>
      </c>
      <c r="B1913">
        <v>1</v>
      </c>
      <c r="C1913">
        <v>2</v>
      </c>
      <c r="D1913">
        <v>1</v>
      </c>
      <c r="E1913" t="s">
        <v>22</v>
      </c>
      <c r="F1913" t="s">
        <v>3288</v>
      </c>
      <c r="G1913" t="s">
        <v>3289</v>
      </c>
      <c r="H1913">
        <v>1.671</v>
      </c>
      <c r="I1913" t="s">
        <v>21</v>
      </c>
    </row>
    <row r="1914" spans="1:9" x14ac:dyDescent="0.3">
      <c r="A1914">
        <v>37</v>
      </c>
      <c r="B1914">
        <v>1</v>
      </c>
      <c r="C1914">
        <v>2</v>
      </c>
      <c r="D1914">
        <v>1</v>
      </c>
      <c r="E1914" t="s">
        <v>9</v>
      </c>
      <c r="F1914" t="s">
        <v>3290</v>
      </c>
      <c r="G1914" t="s">
        <v>3291</v>
      </c>
      <c r="H1914">
        <v>2.2370000000000001</v>
      </c>
      <c r="I1914" t="s">
        <v>12</v>
      </c>
    </row>
    <row r="1915" spans="1:9" x14ac:dyDescent="0.3">
      <c r="A1915">
        <v>37</v>
      </c>
      <c r="B1915">
        <v>1</v>
      </c>
      <c r="C1915">
        <v>2</v>
      </c>
      <c r="D1915">
        <v>1</v>
      </c>
      <c r="E1915" t="s">
        <v>9</v>
      </c>
      <c r="F1915" t="s">
        <v>3292</v>
      </c>
      <c r="G1915" t="s">
        <v>3293</v>
      </c>
      <c r="H1915">
        <v>1.9650000000000001</v>
      </c>
      <c r="I1915" t="s">
        <v>12</v>
      </c>
    </row>
    <row r="1916" spans="1:9" x14ac:dyDescent="0.3">
      <c r="A1916">
        <v>37</v>
      </c>
      <c r="B1916">
        <v>1</v>
      </c>
      <c r="C1916">
        <v>2</v>
      </c>
      <c r="D1916">
        <v>2</v>
      </c>
      <c r="E1916" t="s">
        <v>22</v>
      </c>
      <c r="F1916" t="s">
        <v>3294</v>
      </c>
      <c r="G1916" t="s">
        <v>3295</v>
      </c>
      <c r="H1916">
        <v>2.0299999999999998</v>
      </c>
      <c r="I1916" t="s">
        <v>21</v>
      </c>
    </row>
    <row r="1917" spans="1:9" x14ac:dyDescent="0.3">
      <c r="A1917">
        <v>37</v>
      </c>
      <c r="B1917">
        <v>1</v>
      </c>
      <c r="C1917">
        <v>2</v>
      </c>
      <c r="D1917">
        <v>2</v>
      </c>
      <c r="E1917" t="s">
        <v>22</v>
      </c>
      <c r="F1917" t="s">
        <v>3296</v>
      </c>
      <c r="G1917" t="s">
        <v>3297</v>
      </c>
      <c r="H1917">
        <v>1.4339999999999999</v>
      </c>
      <c r="I1917" t="s">
        <v>21</v>
      </c>
    </row>
    <row r="1918" spans="1:9" x14ac:dyDescent="0.3">
      <c r="A1918">
        <v>37</v>
      </c>
      <c r="B1918">
        <v>1</v>
      </c>
      <c r="C1918">
        <v>2</v>
      </c>
      <c r="D1918">
        <v>2</v>
      </c>
      <c r="E1918" t="s">
        <v>9</v>
      </c>
      <c r="F1918" t="s">
        <v>3298</v>
      </c>
      <c r="G1918" t="s">
        <v>3299</v>
      </c>
      <c r="H1918">
        <v>3.069</v>
      </c>
      <c r="I1918" t="s">
        <v>12</v>
      </c>
    </row>
    <row r="1919" spans="1:9" x14ac:dyDescent="0.3">
      <c r="A1919">
        <v>37</v>
      </c>
      <c r="B1919">
        <v>1</v>
      </c>
      <c r="C1919">
        <v>2</v>
      </c>
      <c r="D1919">
        <v>2</v>
      </c>
      <c r="E1919" t="s">
        <v>19</v>
      </c>
      <c r="F1919" t="s">
        <v>3300</v>
      </c>
      <c r="I1919" t="s">
        <v>21</v>
      </c>
    </row>
    <row r="1920" spans="1:9" x14ac:dyDescent="0.3">
      <c r="A1920">
        <v>37</v>
      </c>
      <c r="B1920">
        <v>1</v>
      </c>
      <c r="C1920">
        <v>2</v>
      </c>
      <c r="D1920">
        <v>2</v>
      </c>
      <c r="E1920" t="s">
        <v>9</v>
      </c>
      <c r="F1920" t="s">
        <v>3301</v>
      </c>
      <c r="G1920" t="s">
        <v>3302</v>
      </c>
      <c r="H1920">
        <v>2.8690000000000002</v>
      </c>
      <c r="I1920" t="s">
        <v>12</v>
      </c>
    </row>
    <row r="1921" spans="1:9" x14ac:dyDescent="0.3">
      <c r="A1921">
        <v>37</v>
      </c>
      <c r="B1921">
        <v>1</v>
      </c>
      <c r="C1921">
        <v>2</v>
      </c>
      <c r="D1921">
        <v>2</v>
      </c>
      <c r="E1921" t="s">
        <v>9</v>
      </c>
      <c r="F1921" t="s">
        <v>3303</v>
      </c>
      <c r="G1921" t="s">
        <v>3304</v>
      </c>
      <c r="H1921">
        <v>4.2009999999999996</v>
      </c>
      <c r="I1921" t="s">
        <v>12</v>
      </c>
    </row>
    <row r="1922" spans="1:9" x14ac:dyDescent="0.3">
      <c r="A1922">
        <v>37</v>
      </c>
      <c r="B1922">
        <v>1</v>
      </c>
      <c r="C1922">
        <v>2</v>
      </c>
      <c r="D1922">
        <v>2</v>
      </c>
      <c r="E1922" t="s">
        <v>9</v>
      </c>
      <c r="F1922" t="s">
        <v>3305</v>
      </c>
      <c r="G1922" t="s">
        <v>3306</v>
      </c>
      <c r="H1922">
        <v>1.4319999999999999</v>
      </c>
      <c r="I1922" t="s">
        <v>12</v>
      </c>
    </row>
    <row r="1923" spans="1:9" x14ac:dyDescent="0.3">
      <c r="A1923">
        <v>37</v>
      </c>
      <c r="B1923">
        <v>1</v>
      </c>
      <c r="C1923">
        <v>3</v>
      </c>
      <c r="D1923">
        <v>1</v>
      </c>
      <c r="E1923" t="s">
        <v>22</v>
      </c>
      <c r="F1923" t="s">
        <v>3307</v>
      </c>
      <c r="G1923" t="s">
        <v>3308</v>
      </c>
      <c r="H1923">
        <v>3.9849999999999999</v>
      </c>
      <c r="I1923" t="s">
        <v>21</v>
      </c>
    </row>
    <row r="1924" spans="1:9" x14ac:dyDescent="0.3">
      <c r="A1924">
        <v>37</v>
      </c>
      <c r="B1924">
        <v>1</v>
      </c>
      <c r="C1924">
        <v>3</v>
      </c>
      <c r="D1924">
        <v>1</v>
      </c>
      <c r="E1924" t="s">
        <v>9</v>
      </c>
      <c r="F1924" t="s">
        <v>3309</v>
      </c>
      <c r="G1924" t="s">
        <v>3310</v>
      </c>
      <c r="H1924">
        <v>2.7029999999999998</v>
      </c>
      <c r="I1924" t="s">
        <v>12</v>
      </c>
    </row>
    <row r="1925" spans="1:9" x14ac:dyDescent="0.3">
      <c r="A1925">
        <v>37</v>
      </c>
      <c r="B1925">
        <v>1</v>
      </c>
      <c r="C1925">
        <v>3</v>
      </c>
      <c r="D1925">
        <v>1</v>
      </c>
      <c r="E1925" t="s">
        <v>22</v>
      </c>
      <c r="F1925" t="s">
        <v>3311</v>
      </c>
      <c r="G1925" t="s">
        <v>3312</v>
      </c>
      <c r="H1925">
        <v>3.9009999999999998</v>
      </c>
      <c r="I1925" t="s">
        <v>21</v>
      </c>
    </row>
    <row r="1926" spans="1:9" x14ac:dyDescent="0.3">
      <c r="A1926">
        <v>37</v>
      </c>
      <c r="B1926">
        <v>1</v>
      </c>
      <c r="C1926">
        <v>3</v>
      </c>
      <c r="D1926">
        <v>1</v>
      </c>
      <c r="E1926" t="s">
        <v>22</v>
      </c>
      <c r="F1926" t="s">
        <v>3313</v>
      </c>
      <c r="G1926" t="s">
        <v>3314</v>
      </c>
      <c r="H1926">
        <v>6.2690000000000001</v>
      </c>
      <c r="I1926" t="s">
        <v>21</v>
      </c>
    </row>
    <row r="1927" spans="1:9" x14ac:dyDescent="0.3">
      <c r="A1927">
        <v>37</v>
      </c>
      <c r="B1927">
        <v>1</v>
      </c>
      <c r="C1927">
        <v>3</v>
      </c>
      <c r="D1927">
        <v>1</v>
      </c>
      <c r="E1927" t="s">
        <v>19</v>
      </c>
      <c r="F1927" t="s">
        <v>3315</v>
      </c>
      <c r="I1927" t="s">
        <v>34</v>
      </c>
    </row>
    <row r="1928" spans="1:9" x14ac:dyDescent="0.3">
      <c r="A1928">
        <v>37</v>
      </c>
      <c r="B1928">
        <v>1</v>
      </c>
      <c r="C1928">
        <v>3</v>
      </c>
      <c r="D1928">
        <v>1</v>
      </c>
      <c r="E1928" t="s">
        <v>19</v>
      </c>
      <c r="F1928" t="s">
        <v>3316</v>
      </c>
      <c r="I1928" t="s">
        <v>34</v>
      </c>
    </row>
    <row r="1929" spans="1:9" x14ac:dyDescent="0.3">
      <c r="A1929">
        <v>37</v>
      </c>
      <c r="B1929">
        <v>1</v>
      </c>
      <c r="C1929">
        <v>3</v>
      </c>
      <c r="D1929">
        <v>1</v>
      </c>
      <c r="E1929" t="s">
        <v>9</v>
      </c>
      <c r="F1929" t="s">
        <v>3317</v>
      </c>
      <c r="G1929" t="s">
        <v>3318</v>
      </c>
      <c r="H1929">
        <v>2.8860000000000001</v>
      </c>
      <c r="I1929" t="s">
        <v>12</v>
      </c>
    </row>
    <row r="1930" spans="1:9" x14ac:dyDescent="0.3">
      <c r="A1930">
        <v>37</v>
      </c>
      <c r="B1930">
        <v>1</v>
      </c>
      <c r="C1930">
        <v>3</v>
      </c>
      <c r="D1930">
        <v>1</v>
      </c>
      <c r="E1930" t="s">
        <v>9</v>
      </c>
      <c r="F1930" t="s">
        <v>3319</v>
      </c>
      <c r="G1930" t="s">
        <v>3320</v>
      </c>
      <c r="H1930">
        <v>1</v>
      </c>
      <c r="I1930" t="s">
        <v>12</v>
      </c>
    </row>
    <row r="1931" spans="1:9" x14ac:dyDescent="0.3">
      <c r="A1931">
        <v>37</v>
      </c>
      <c r="B1931">
        <v>1</v>
      </c>
      <c r="C1931">
        <v>3</v>
      </c>
      <c r="D1931">
        <v>1</v>
      </c>
      <c r="E1931" t="s">
        <v>9</v>
      </c>
      <c r="F1931" t="s">
        <v>3321</v>
      </c>
      <c r="G1931" t="s">
        <v>3322</v>
      </c>
      <c r="H1931">
        <v>0.56899999999999995</v>
      </c>
      <c r="I1931" t="s">
        <v>12</v>
      </c>
    </row>
    <row r="1932" spans="1:9" x14ac:dyDescent="0.3">
      <c r="A1932">
        <v>37</v>
      </c>
      <c r="B1932">
        <v>1</v>
      </c>
      <c r="C1932">
        <v>2</v>
      </c>
      <c r="D1932">
        <v>1</v>
      </c>
      <c r="E1932" t="s">
        <v>9</v>
      </c>
      <c r="F1932" t="s">
        <v>3323</v>
      </c>
      <c r="G1932" t="s">
        <v>3324</v>
      </c>
      <c r="H1932">
        <v>1.6359999999999999</v>
      </c>
      <c r="I1932" t="s">
        <v>12</v>
      </c>
    </row>
    <row r="1933" spans="1:9" x14ac:dyDescent="0.3">
      <c r="A1933">
        <v>37</v>
      </c>
      <c r="B1933">
        <v>1</v>
      </c>
      <c r="C1933">
        <v>2</v>
      </c>
      <c r="D1933">
        <v>1</v>
      </c>
      <c r="E1933" t="s">
        <v>22</v>
      </c>
      <c r="F1933" t="s">
        <v>3325</v>
      </c>
      <c r="G1933" t="s">
        <v>3326</v>
      </c>
      <c r="H1933">
        <v>1.768</v>
      </c>
      <c r="I1933" t="s">
        <v>21</v>
      </c>
    </row>
    <row r="1934" spans="1:9" x14ac:dyDescent="0.3">
      <c r="A1934">
        <v>37</v>
      </c>
      <c r="B1934">
        <v>1</v>
      </c>
      <c r="C1934">
        <v>2</v>
      </c>
      <c r="D1934">
        <v>1</v>
      </c>
      <c r="E1934" t="s">
        <v>9</v>
      </c>
      <c r="F1934" t="s">
        <v>3327</v>
      </c>
      <c r="G1934" t="s">
        <v>3328</v>
      </c>
      <c r="H1934">
        <v>2.6349999999999998</v>
      </c>
      <c r="I1934" t="s">
        <v>12</v>
      </c>
    </row>
    <row r="1935" spans="1:9" x14ac:dyDescent="0.3">
      <c r="A1935">
        <v>37</v>
      </c>
      <c r="B1935">
        <v>1</v>
      </c>
      <c r="C1935">
        <v>2</v>
      </c>
      <c r="D1935">
        <v>1</v>
      </c>
      <c r="E1935" t="s">
        <v>22</v>
      </c>
      <c r="F1935" t="s">
        <v>3329</v>
      </c>
      <c r="G1935" t="s">
        <v>3330</v>
      </c>
      <c r="H1935">
        <v>2.67</v>
      </c>
      <c r="I1935" t="s">
        <v>21</v>
      </c>
    </row>
    <row r="1936" spans="1:9" x14ac:dyDescent="0.3">
      <c r="A1936">
        <v>37</v>
      </c>
      <c r="B1936">
        <v>3</v>
      </c>
      <c r="C1936">
        <v>1</v>
      </c>
      <c r="D1936">
        <v>1</v>
      </c>
      <c r="E1936" t="s">
        <v>9</v>
      </c>
      <c r="F1936" t="s">
        <v>3331</v>
      </c>
      <c r="G1936" t="s">
        <v>3332</v>
      </c>
      <c r="H1936">
        <v>2.12</v>
      </c>
      <c r="I1936" t="s">
        <v>12</v>
      </c>
    </row>
    <row r="1937" spans="1:9" x14ac:dyDescent="0.3">
      <c r="A1937">
        <v>37</v>
      </c>
      <c r="B1937">
        <v>3</v>
      </c>
      <c r="C1937">
        <v>1</v>
      </c>
      <c r="D1937">
        <v>1</v>
      </c>
      <c r="E1937" t="s">
        <v>22</v>
      </c>
      <c r="F1937" t="s">
        <v>3333</v>
      </c>
      <c r="G1937" t="s">
        <v>3334</v>
      </c>
      <c r="H1937">
        <v>1.1339999999999999</v>
      </c>
      <c r="I1937" t="s">
        <v>21</v>
      </c>
    </row>
    <row r="1938" spans="1:9" x14ac:dyDescent="0.3">
      <c r="A1938">
        <v>37</v>
      </c>
      <c r="B1938">
        <v>3</v>
      </c>
      <c r="C1938">
        <v>1</v>
      </c>
      <c r="D1938">
        <v>1</v>
      </c>
      <c r="E1938" t="s">
        <v>22</v>
      </c>
      <c r="F1938" t="s">
        <v>3335</v>
      </c>
      <c r="G1938" t="s">
        <v>3336</v>
      </c>
      <c r="H1938">
        <v>2.1680000000000001</v>
      </c>
      <c r="I1938" t="s">
        <v>21</v>
      </c>
    </row>
    <row r="1939" spans="1:9" x14ac:dyDescent="0.3">
      <c r="A1939">
        <v>37</v>
      </c>
      <c r="B1939">
        <v>3</v>
      </c>
      <c r="C1939">
        <v>1</v>
      </c>
      <c r="D1939">
        <v>1</v>
      </c>
      <c r="E1939" t="s">
        <v>19</v>
      </c>
      <c r="F1939" t="s">
        <v>3337</v>
      </c>
      <c r="I1939" t="s">
        <v>34</v>
      </c>
    </row>
    <row r="1940" spans="1:9" x14ac:dyDescent="0.3">
      <c r="A1940">
        <v>37</v>
      </c>
      <c r="B1940">
        <v>3</v>
      </c>
      <c r="C1940">
        <v>1</v>
      </c>
      <c r="D1940">
        <v>1</v>
      </c>
      <c r="E1940" t="s">
        <v>19</v>
      </c>
      <c r="F1940" t="s">
        <v>3338</v>
      </c>
      <c r="I1940" t="s">
        <v>21</v>
      </c>
    </row>
    <row r="1941" spans="1:9" x14ac:dyDescent="0.3">
      <c r="A1941">
        <v>37</v>
      </c>
      <c r="B1941">
        <v>3</v>
      </c>
      <c r="C1941">
        <v>1</v>
      </c>
      <c r="D1941">
        <v>2</v>
      </c>
      <c r="E1941" t="s">
        <v>22</v>
      </c>
      <c r="F1941" t="s">
        <v>3339</v>
      </c>
      <c r="G1941" t="s">
        <v>3340</v>
      </c>
      <c r="H1941">
        <v>2.0510000000000002</v>
      </c>
      <c r="I1941" t="s">
        <v>21</v>
      </c>
    </row>
    <row r="1942" spans="1:9" x14ac:dyDescent="0.3">
      <c r="A1942">
        <v>37</v>
      </c>
      <c r="B1942">
        <v>3</v>
      </c>
      <c r="C1942">
        <v>1</v>
      </c>
      <c r="D1942">
        <v>2</v>
      </c>
      <c r="E1942" t="s">
        <v>9</v>
      </c>
      <c r="F1942" t="s">
        <v>3341</v>
      </c>
      <c r="G1942" t="s">
        <v>3342</v>
      </c>
      <c r="H1942">
        <v>2.68</v>
      </c>
      <c r="I1942" t="s">
        <v>12</v>
      </c>
    </row>
    <row r="1943" spans="1:9" x14ac:dyDescent="0.3">
      <c r="A1943">
        <v>37</v>
      </c>
      <c r="B1943">
        <v>3</v>
      </c>
      <c r="C1943">
        <v>1</v>
      </c>
      <c r="D1943">
        <v>2</v>
      </c>
      <c r="E1943" t="s">
        <v>22</v>
      </c>
      <c r="F1943" t="s">
        <v>3343</v>
      </c>
      <c r="G1943" t="s">
        <v>3344</v>
      </c>
      <c r="H1943">
        <v>1.167</v>
      </c>
      <c r="I1943" t="s">
        <v>21</v>
      </c>
    </row>
    <row r="1944" spans="1:9" x14ac:dyDescent="0.3">
      <c r="A1944">
        <v>37</v>
      </c>
      <c r="B1944">
        <v>3</v>
      </c>
      <c r="C1944">
        <v>1</v>
      </c>
      <c r="D1944">
        <v>2</v>
      </c>
      <c r="E1944" t="s">
        <v>19</v>
      </c>
      <c r="F1944" t="s">
        <v>3345</v>
      </c>
      <c r="I1944" t="s">
        <v>21</v>
      </c>
    </row>
    <row r="1945" spans="1:9" x14ac:dyDescent="0.3">
      <c r="A1945">
        <v>37</v>
      </c>
      <c r="B1945">
        <v>3</v>
      </c>
      <c r="C1945">
        <v>1</v>
      </c>
      <c r="D1945">
        <v>2</v>
      </c>
      <c r="E1945" t="s">
        <v>19</v>
      </c>
      <c r="F1945" t="s">
        <v>3346</v>
      </c>
      <c r="I1945" t="s">
        <v>21</v>
      </c>
    </row>
    <row r="1946" spans="1:9" x14ac:dyDescent="0.3">
      <c r="A1946">
        <v>37</v>
      </c>
      <c r="B1946">
        <v>3</v>
      </c>
      <c r="C1946">
        <v>2</v>
      </c>
      <c r="D1946">
        <v>1</v>
      </c>
      <c r="E1946" t="s">
        <v>9</v>
      </c>
      <c r="F1946" t="s">
        <v>3347</v>
      </c>
      <c r="G1946" t="s">
        <v>3348</v>
      </c>
      <c r="H1946">
        <v>1.351</v>
      </c>
      <c r="I1946" t="s">
        <v>12</v>
      </c>
    </row>
    <row r="1947" spans="1:9" x14ac:dyDescent="0.3">
      <c r="A1947">
        <v>37</v>
      </c>
      <c r="B1947">
        <v>3</v>
      </c>
      <c r="C1947">
        <v>2</v>
      </c>
      <c r="D1947">
        <v>1</v>
      </c>
      <c r="E1947" t="s">
        <v>22</v>
      </c>
      <c r="F1947" t="s">
        <v>3349</v>
      </c>
      <c r="G1947" t="s">
        <v>3350</v>
      </c>
      <c r="H1947">
        <v>1.667</v>
      </c>
      <c r="I1947" t="s">
        <v>21</v>
      </c>
    </row>
    <row r="1948" spans="1:9" x14ac:dyDescent="0.3">
      <c r="A1948">
        <v>37</v>
      </c>
      <c r="B1948">
        <v>3</v>
      </c>
      <c r="C1948">
        <v>2</v>
      </c>
      <c r="D1948">
        <v>1</v>
      </c>
      <c r="E1948" t="s">
        <v>22</v>
      </c>
      <c r="F1948" t="s">
        <v>3351</v>
      </c>
      <c r="G1948" t="s">
        <v>3352</v>
      </c>
      <c r="H1948">
        <v>1.468</v>
      </c>
      <c r="I1948" t="s">
        <v>21</v>
      </c>
    </row>
    <row r="1949" spans="1:9" x14ac:dyDescent="0.3">
      <c r="A1949">
        <v>37</v>
      </c>
      <c r="B1949">
        <v>3</v>
      </c>
      <c r="C1949">
        <v>2</v>
      </c>
      <c r="D1949">
        <v>1</v>
      </c>
      <c r="E1949" t="s">
        <v>9</v>
      </c>
      <c r="F1949" t="s">
        <v>3353</v>
      </c>
      <c r="G1949" t="s">
        <v>3354</v>
      </c>
      <c r="H1949">
        <v>2.101</v>
      </c>
      <c r="I1949" t="s">
        <v>12</v>
      </c>
    </row>
    <row r="1950" spans="1:9" x14ac:dyDescent="0.3">
      <c r="A1950">
        <v>37</v>
      </c>
      <c r="B1950">
        <v>3</v>
      </c>
      <c r="C1950">
        <v>2</v>
      </c>
      <c r="D1950">
        <v>1</v>
      </c>
      <c r="E1950" t="s">
        <v>19</v>
      </c>
      <c r="F1950" t="s">
        <v>3355</v>
      </c>
      <c r="I1950" t="s">
        <v>21</v>
      </c>
    </row>
    <row r="1951" spans="1:9" x14ac:dyDescent="0.3">
      <c r="A1951">
        <v>37</v>
      </c>
      <c r="B1951">
        <v>3</v>
      </c>
      <c r="C1951">
        <v>2</v>
      </c>
      <c r="D1951">
        <v>1</v>
      </c>
      <c r="E1951" t="s">
        <v>9</v>
      </c>
      <c r="F1951" t="s">
        <v>3356</v>
      </c>
      <c r="H1951" t="s">
        <v>81</v>
      </c>
      <c r="I1951" t="s">
        <v>34</v>
      </c>
    </row>
    <row r="1952" spans="1:9" x14ac:dyDescent="0.3">
      <c r="A1952">
        <v>37</v>
      </c>
      <c r="B1952">
        <v>3</v>
      </c>
      <c r="C1952">
        <v>2</v>
      </c>
      <c r="D1952">
        <v>1</v>
      </c>
      <c r="E1952" t="s">
        <v>9</v>
      </c>
      <c r="F1952" t="s">
        <v>3357</v>
      </c>
      <c r="H1952" t="s">
        <v>81</v>
      </c>
      <c r="I1952" t="s">
        <v>34</v>
      </c>
    </row>
    <row r="1953" spans="1:9" x14ac:dyDescent="0.3">
      <c r="A1953">
        <v>37</v>
      </c>
      <c r="B1953">
        <v>3</v>
      </c>
      <c r="C1953">
        <v>2</v>
      </c>
      <c r="D1953">
        <v>1</v>
      </c>
      <c r="E1953" t="s">
        <v>19</v>
      </c>
      <c r="F1953" t="s">
        <v>3358</v>
      </c>
      <c r="I1953" t="s">
        <v>21</v>
      </c>
    </row>
    <row r="1954" spans="1:9" x14ac:dyDescent="0.3">
      <c r="A1954">
        <v>37</v>
      </c>
      <c r="B1954">
        <v>3</v>
      </c>
      <c r="C1954">
        <v>1</v>
      </c>
      <c r="D1954">
        <v>1</v>
      </c>
      <c r="E1954" t="s">
        <v>22</v>
      </c>
      <c r="F1954" t="s">
        <v>3359</v>
      </c>
      <c r="G1954" t="s">
        <v>3360</v>
      </c>
      <c r="H1954">
        <v>1.819</v>
      </c>
      <c r="I1954" t="s">
        <v>21</v>
      </c>
    </row>
    <row r="1955" spans="1:9" x14ac:dyDescent="0.3">
      <c r="A1955">
        <v>37</v>
      </c>
      <c r="B1955">
        <v>3</v>
      </c>
      <c r="C1955">
        <v>1</v>
      </c>
      <c r="D1955">
        <v>1</v>
      </c>
      <c r="E1955" t="s">
        <v>22</v>
      </c>
      <c r="F1955" t="s">
        <v>3361</v>
      </c>
      <c r="G1955" t="s">
        <v>3362</v>
      </c>
      <c r="H1955">
        <v>1.3009999999999999</v>
      </c>
      <c r="I1955" t="s">
        <v>21</v>
      </c>
    </row>
    <row r="1956" spans="1:9" x14ac:dyDescent="0.3">
      <c r="A1956">
        <v>37</v>
      </c>
      <c r="B1956">
        <v>3</v>
      </c>
      <c r="C1956">
        <v>1</v>
      </c>
      <c r="D1956">
        <v>1</v>
      </c>
      <c r="E1956" t="s">
        <v>19</v>
      </c>
      <c r="F1956" t="s">
        <v>3363</v>
      </c>
      <c r="I1956" t="s">
        <v>21</v>
      </c>
    </row>
    <row r="1957" spans="1:9" x14ac:dyDescent="0.3">
      <c r="A1957">
        <v>37</v>
      </c>
      <c r="B1957">
        <v>3</v>
      </c>
      <c r="C1957">
        <v>1</v>
      </c>
      <c r="D1957">
        <v>1</v>
      </c>
      <c r="E1957" t="s">
        <v>9</v>
      </c>
      <c r="F1957" t="s">
        <v>3364</v>
      </c>
      <c r="G1957" t="s">
        <v>3365</v>
      </c>
      <c r="H1957">
        <v>2.101</v>
      </c>
      <c r="I1957" t="s">
        <v>12</v>
      </c>
    </row>
    <row r="1958" spans="1:9" x14ac:dyDescent="0.3">
      <c r="A1958">
        <v>37</v>
      </c>
      <c r="B1958">
        <v>3</v>
      </c>
      <c r="C1958">
        <v>1</v>
      </c>
      <c r="D1958">
        <v>1</v>
      </c>
      <c r="E1958" t="s">
        <v>9</v>
      </c>
      <c r="F1958" t="s">
        <v>3366</v>
      </c>
      <c r="G1958" t="s">
        <v>3367</v>
      </c>
      <c r="H1958">
        <v>1.5680000000000001</v>
      </c>
      <c r="I1958" t="s">
        <v>12</v>
      </c>
    </row>
    <row r="1959" spans="1:9" x14ac:dyDescent="0.3">
      <c r="A1959">
        <v>37</v>
      </c>
      <c r="B1959">
        <v>3</v>
      </c>
      <c r="C1959">
        <v>1</v>
      </c>
      <c r="D1959">
        <v>1</v>
      </c>
      <c r="E1959" t="s">
        <v>9</v>
      </c>
      <c r="F1959" t="s">
        <v>3368</v>
      </c>
      <c r="G1959" t="s">
        <v>3369</v>
      </c>
      <c r="H1959">
        <v>3.0350000000000001</v>
      </c>
      <c r="I1959" t="s">
        <v>12</v>
      </c>
    </row>
    <row r="1960" spans="1:9" x14ac:dyDescent="0.3">
      <c r="A1960">
        <v>37</v>
      </c>
      <c r="B1960">
        <v>3</v>
      </c>
      <c r="C1960">
        <v>1</v>
      </c>
      <c r="D1960">
        <v>1</v>
      </c>
      <c r="E1960" t="s">
        <v>9</v>
      </c>
      <c r="F1960" t="s">
        <v>3370</v>
      </c>
      <c r="G1960" t="s">
        <v>3371</v>
      </c>
      <c r="H1960">
        <v>5.6740000000000004</v>
      </c>
      <c r="I1960" t="s">
        <v>12</v>
      </c>
    </row>
    <row r="1961" spans="1:9" x14ac:dyDescent="0.3">
      <c r="A1961">
        <v>37</v>
      </c>
      <c r="B1961">
        <v>3</v>
      </c>
      <c r="C1961">
        <v>1</v>
      </c>
      <c r="D1961">
        <v>1</v>
      </c>
      <c r="E1961" t="s">
        <v>19</v>
      </c>
      <c r="F1961" t="s">
        <v>3372</v>
      </c>
      <c r="I1961" t="s">
        <v>21</v>
      </c>
    </row>
    <row r="1962" spans="1:9" x14ac:dyDescent="0.3">
      <c r="A1962">
        <v>37</v>
      </c>
      <c r="B1962">
        <v>3</v>
      </c>
      <c r="C1962">
        <v>3</v>
      </c>
      <c r="D1962">
        <v>1</v>
      </c>
      <c r="E1962" t="s">
        <v>22</v>
      </c>
      <c r="F1962" t="s">
        <v>3373</v>
      </c>
      <c r="G1962" t="s">
        <v>3374</v>
      </c>
      <c r="H1962">
        <v>2.2519999999999998</v>
      </c>
      <c r="I1962" t="s">
        <v>21</v>
      </c>
    </row>
    <row r="1963" spans="1:9" x14ac:dyDescent="0.3">
      <c r="A1963">
        <v>37</v>
      </c>
      <c r="B1963">
        <v>3</v>
      </c>
      <c r="C1963">
        <v>3</v>
      </c>
      <c r="D1963">
        <v>1</v>
      </c>
      <c r="E1963" t="s">
        <v>9</v>
      </c>
      <c r="F1963" t="s">
        <v>3375</v>
      </c>
      <c r="G1963" t="s">
        <v>3376</v>
      </c>
      <c r="H1963">
        <v>4.202</v>
      </c>
      <c r="I1963" t="s">
        <v>12</v>
      </c>
    </row>
    <row r="1964" spans="1:9" x14ac:dyDescent="0.3">
      <c r="A1964">
        <v>37</v>
      </c>
      <c r="B1964">
        <v>3</v>
      </c>
      <c r="C1964">
        <v>3</v>
      </c>
      <c r="D1964">
        <v>1</v>
      </c>
      <c r="E1964" t="s">
        <v>9</v>
      </c>
      <c r="F1964" t="s">
        <v>3377</v>
      </c>
      <c r="G1964" t="s">
        <v>3378</v>
      </c>
      <c r="H1964">
        <v>2.101</v>
      </c>
      <c r="I1964" t="s">
        <v>12</v>
      </c>
    </row>
    <row r="1965" spans="1:9" x14ac:dyDescent="0.3">
      <c r="A1965">
        <v>37</v>
      </c>
      <c r="B1965">
        <v>3</v>
      </c>
      <c r="C1965">
        <v>3</v>
      </c>
      <c r="D1965">
        <v>1</v>
      </c>
      <c r="E1965" t="s">
        <v>9</v>
      </c>
      <c r="F1965" t="s">
        <v>3379</v>
      </c>
      <c r="G1965" t="s">
        <v>3380</v>
      </c>
      <c r="H1965">
        <v>1.6</v>
      </c>
      <c r="I1965" t="s">
        <v>12</v>
      </c>
    </row>
    <row r="1966" spans="1:9" x14ac:dyDescent="0.3">
      <c r="A1966">
        <v>37</v>
      </c>
      <c r="B1966">
        <v>3</v>
      </c>
      <c r="C1966">
        <v>3</v>
      </c>
      <c r="D1966">
        <v>1</v>
      </c>
      <c r="E1966" t="s">
        <v>9</v>
      </c>
      <c r="F1966" t="s">
        <v>3381</v>
      </c>
      <c r="G1966" t="s">
        <v>3382</v>
      </c>
      <c r="H1966">
        <v>1.6020000000000001</v>
      </c>
      <c r="I1966" t="s">
        <v>12</v>
      </c>
    </row>
    <row r="1967" spans="1:9" x14ac:dyDescent="0.3">
      <c r="A1967">
        <v>37</v>
      </c>
      <c r="B1967">
        <v>3</v>
      </c>
      <c r="C1967">
        <v>3</v>
      </c>
      <c r="D1967">
        <v>1</v>
      </c>
      <c r="E1967" t="s">
        <v>19</v>
      </c>
      <c r="F1967" t="s">
        <v>3383</v>
      </c>
      <c r="I1967" t="s">
        <v>21</v>
      </c>
    </row>
    <row r="1968" spans="1:9" x14ac:dyDescent="0.3">
      <c r="A1968">
        <v>37</v>
      </c>
      <c r="B1968">
        <v>3</v>
      </c>
      <c r="C1968">
        <v>3</v>
      </c>
      <c r="D1968">
        <v>1</v>
      </c>
      <c r="E1968" t="s">
        <v>22</v>
      </c>
      <c r="F1968" t="s">
        <v>3384</v>
      </c>
      <c r="G1968" t="s">
        <v>3385</v>
      </c>
      <c r="H1968">
        <v>1.135</v>
      </c>
      <c r="I1968" t="s">
        <v>21</v>
      </c>
    </row>
    <row r="1969" spans="1:9" x14ac:dyDescent="0.3">
      <c r="A1969">
        <v>37</v>
      </c>
      <c r="B1969">
        <v>3</v>
      </c>
      <c r="C1969">
        <v>3</v>
      </c>
      <c r="D1969">
        <v>1</v>
      </c>
      <c r="E1969" t="s">
        <v>19</v>
      </c>
      <c r="F1969" t="s">
        <v>3386</v>
      </c>
      <c r="I1969" t="s">
        <v>21</v>
      </c>
    </row>
    <row r="1970" spans="1:9" x14ac:dyDescent="0.3">
      <c r="A1970">
        <v>37</v>
      </c>
      <c r="B1970">
        <v>3</v>
      </c>
      <c r="C1970">
        <v>1</v>
      </c>
      <c r="D1970">
        <v>1</v>
      </c>
      <c r="E1970" t="s">
        <v>22</v>
      </c>
      <c r="F1970" t="s">
        <v>3387</v>
      </c>
      <c r="G1970" t="s">
        <v>3388</v>
      </c>
      <c r="H1970">
        <v>1.786</v>
      </c>
      <c r="I1970" t="s">
        <v>21</v>
      </c>
    </row>
    <row r="1971" spans="1:9" x14ac:dyDescent="0.3">
      <c r="A1971">
        <v>37</v>
      </c>
      <c r="B1971">
        <v>3</v>
      </c>
      <c r="C1971">
        <v>1</v>
      </c>
      <c r="D1971">
        <v>1</v>
      </c>
      <c r="E1971" t="s">
        <v>22</v>
      </c>
      <c r="F1971" t="s">
        <v>3389</v>
      </c>
      <c r="G1971" t="s">
        <v>3390</v>
      </c>
      <c r="H1971">
        <v>2.4340000000000002</v>
      </c>
      <c r="I1971" t="s">
        <v>21</v>
      </c>
    </row>
    <row r="1972" spans="1:9" x14ac:dyDescent="0.3">
      <c r="A1972">
        <v>37</v>
      </c>
      <c r="B1972">
        <v>3</v>
      </c>
      <c r="C1972">
        <v>1</v>
      </c>
      <c r="D1972">
        <v>1</v>
      </c>
      <c r="E1972" t="s">
        <v>19</v>
      </c>
      <c r="F1972" t="s">
        <v>3391</v>
      </c>
      <c r="I1972" t="s">
        <v>21</v>
      </c>
    </row>
    <row r="1973" spans="1:9" x14ac:dyDescent="0.3">
      <c r="A1973">
        <v>37</v>
      </c>
      <c r="B1973">
        <v>3</v>
      </c>
      <c r="C1973">
        <v>1</v>
      </c>
      <c r="D1973">
        <v>1</v>
      </c>
      <c r="E1973" t="s">
        <v>9</v>
      </c>
      <c r="F1973" t="s">
        <v>3392</v>
      </c>
      <c r="G1973" t="s">
        <v>3393</v>
      </c>
      <c r="H1973">
        <v>3.8340000000000001</v>
      </c>
      <c r="I1973" t="s">
        <v>12</v>
      </c>
    </row>
    <row r="1974" spans="1:9" x14ac:dyDescent="0.3">
      <c r="A1974">
        <v>37</v>
      </c>
      <c r="B1974">
        <v>3</v>
      </c>
      <c r="C1974">
        <v>1</v>
      </c>
      <c r="D1974">
        <v>1</v>
      </c>
      <c r="E1974" t="s">
        <v>9</v>
      </c>
      <c r="F1974" t="s">
        <v>3394</v>
      </c>
      <c r="G1974" t="s">
        <v>3395</v>
      </c>
      <c r="H1974">
        <v>2.9009999999999998</v>
      </c>
      <c r="I1974" t="s">
        <v>12</v>
      </c>
    </row>
    <row r="1975" spans="1:9" x14ac:dyDescent="0.3">
      <c r="A1975">
        <v>37</v>
      </c>
      <c r="B1975">
        <v>3</v>
      </c>
      <c r="C1975">
        <v>1</v>
      </c>
      <c r="D1975">
        <v>1</v>
      </c>
      <c r="E1975" t="s">
        <v>9</v>
      </c>
      <c r="F1975" t="s">
        <v>3396</v>
      </c>
      <c r="G1975" t="s">
        <v>3397</v>
      </c>
      <c r="H1975">
        <v>2.4009999999999998</v>
      </c>
      <c r="I1975" t="s">
        <v>12</v>
      </c>
    </row>
    <row r="1976" spans="1:9" x14ac:dyDescent="0.3">
      <c r="A1976">
        <v>37</v>
      </c>
      <c r="B1976">
        <v>3</v>
      </c>
      <c r="C1976">
        <v>1</v>
      </c>
      <c r="D1976">
        <v>1</v>
      </c>
      <c r="E1976" t="s">
        <v>9</v>
      </c>
      <c r="F1976" t="s">
        <v>3398</v>
      </c>
      <c r="G1976" t="s">
        <v>3399</v>
      </c>
      <c r="H1976">
        <v>2.7669999999999999</v>
      </c>
      <c r="I1976" t="s">
        <v>12</v>
      </c>
    </row>
    <row r="1977" spans="1:9" x14ac:dyDescent="0.3">
      <c r="A1977">
        <v>37</v>
      </c>
      <c r="B1977">
        <v>3</v>
      </c>
      <c r="C1977">
        <v>1</v>
      </c>
      <c r="D1977">
        <v>1</v>
      </c>
      <c r="E1977" t="s">
        <v>19</v>
      </c>
      <c r="F1977" t="s">
        <v>3400</v>
      </c>
      <c r="I1977" t="s">
        <v>21</v>
      </c>
    </row>
    <row r="1978" spans="1:9" x14ac:dyDescent="0.3">
      <c r="A1978">
        <v>37</v>
      </c>
      <c r="B1978">
        <v>3</v>
      </c>
      <c r="C1978">
        <v>1</v>
      </c>
      <c r="D1978">
        <v>2</v>
      </c>
      <c r="E1978" t="s">
        <v>22</v>
      </c>
      <c r="F1978" t="s">
        <v>3401</v>
      </c>
      <c r="G1978" t="s">
        <v>3402</v>
      </c>
      <c r="H1978">
        <v>1.9239999999999999</v>
      </c>
      <c r="I1978" t="s">
        <v>21</v>
      </c>
    </row>
    <row r="1979" spans="1:9" x14ac:dyDescent="0.3">
      <c r="A1979">
        <v>37</v>
      </c>
      <c r="B1979">
        <v>3</v>
      </c>
      <c r="C1979">
        <v>1</v>
      </c>
      <c r="D1979">
        <v>2</v>
      </c>
      <c r="E1979" t="s">
        <v>22</v>
      </c>
      <c r="F1979" t="s">
        <v>3403</v>
      </c>
      <c r="G1979" t="s">
        <v>3404</v>
      </c>
      <c r="H1979">
        <v>1.101</v>
      </c>
      <c r="I1979" t="s">
        <v>21</v>
      </c>
    </row>
    <row r="1980" spans="1:9" x14ac:dyDescent="0.3">
      <c r="A1980">
        <v>37</v>
      </c>
      <c r="B1980">
        <v>3</v>
      </c>
      <c r="C1980">
        <v>1</v>
      </c>
      <c r="D1980">
        <v>2</v>
      </c>
      <c r="E1980" t="s">
        <v>9</v>
      </c>
      <c r="F1980" t="s">
        <v>3405</v>
      </c>
      <c r="G1980" t="s">
        <v>3406</v>
      </c>
      <c r="H1980">
        <v>1.7849999999999999</v>
      </c>
      <c r="I1980" t="s">
        <v>12</v>
      </c>
    </row>
    <row r="1981" spans="1:9" x14ac:dyDescent="0.3">
      <c r="A1981">
        <v>37</v>
      </c>
      <c r="B1981">
        <v>3</v>
      </c>
      <c r="C1981">
        <v>1</v>
      </c>
      <c r="D1981">
        <v>2</v>
      </c>
      <c r="E1981" t="s">
        <v>9</v>
      </c>
      <c r="F1981" t="s">
        <v>3407</v>
      </c>
      <c r="G1981" t="s">
        <v>3408</v>
      </c>
      <c r="H1981">
        <v>4.4349999999999996</v>
      </c>
      <c r="I1981" t="s">
        <v>12</v>
      </c>
    </row>
    <row r="1982" spans="1:9" x14ac:dyDescent="0.3">
      <c r="A1982">
        <v>37</v>
      </c>
      <c r="B1982">
        <v>3</v>
      </c>
      <c r="C1982">
        <v>1</v>
      </c>
      <c r="D1982">
        <v>2</v>
      </c>
      <c r="E1982" t="s">
        <v>19</v>
      </c>
      <c r="F1982" t="s">
        <v>3409</v>
      </c>
      <c r="I1982" t="s">
        <v>21</v>
      </c>
    </row>
    <row r="1983" spans="1:9" x14ac:dyDescent="0.3">
      <c r="A1983">
        <v>37</v>
      </c>
      <c r="B1983">
        <v>3</v>
      </c>
      <c r="C1983">
        <v>1</v>
      </c>
      <c r="D1983">
        <v>2</v>
      </c>
      <c r="E1983" t="s">
        <v>9</v>
      </c>
      <c r="F1983" t="s">
        <v>3410</v>
      </c>
      <c r="G1983" t="s">
        <v>3411</v>
      </c>
      <c r="H1983">
        <v>2.1019999999999999</v>
      </c>
      <c r="I1983" t="s">
        <v>12</v>
      </c>
    </row>
    <row r="1984" spans="1:9" x14ac:dyDescent="0.3">
      <c r="A1984">
        <v>37</v>
      </c>
      <c r="B1984">
        <v>3</v>
      </c>
      <c r="C1984">
        <v>1</v>
      </c>
      <c r="D1984">
        <v>2</v>
      </c>
      <c r="E1984" t="s">
        <v>9</v>
      </c>
      <c r="F1984" t="s">
        <v>3412</v>
      </c>
      <c r="G1984" t="s">
        <v>3413</v>
      </c>
      <c r="H1984">
        <v>1.9339999999999999</v>
      </c>
      <c r="I1984" t="s">
        <v>12</v>
      </c>
    </row>
    <row r="1985" spans="1:9" x14ac:dyDescent="0.3">
      <c r="A1985">
        <v>37</v>
      </c>
      <c r="B1985">
        <v>3</v>
      </c>
      <c r="C1985">
        <v>1</v>
      </c>
      <c r="D1985">
        <v>2</v>
      </c>
      <c r="E1985" t="s">
        <v>19</v>
      </c>
      <c r="F1985" t="s">
        <v>3414</v>
      </c>
      <c r="I1985" t="s">
        <v>21</v>
      </c>
    </row>
    <row r="1986" spans="1:9" x14ac:dyDescent="0.3">
      <c r="A1986">
        <v>3</v>
      </c>
      <c r="B1986">
        <v>1</v>
      </c>
      <c r="C1986">
        <v>1</v>
      </c>
      <c r="D1986">
        <v>2</v>
      </c>
      <c r="E1986" t="s">
        <v>9</v>
      </c>
      <c r="F1986" t="s">
        <v>3415</v>
      </c>
      <c r="G1986" t="s">
        <v>3416</v>
      </c>
      <c r="H1986">
        <v>2.1240000000000001</v>
      </c>
      <c r="I1986" t="s">
        <v>12</v>
      </c>
    </row>
    <row r="1987" spans="1:9" x14ac:dyDescent="0.3">
      <c r="A1987">
        <v>41</v>
      </c>
      <c r="B1987">
        <v>1</v>
      </c>
      <c r="C1987">
        <v>1</v>
      </c>
      <c r="D1987">
        <v>1</v>
      </c>
      <c r="E1987" t="s">
        <v>9</v>
      </c>
      <c r="F1987" t="s">
        <v>3417</v>
      </c>
      <c r="G1987" t="s">
        <v>3418</v>
      </c>
      <c r="H1987">
        <v>4.819</v>
      </c>
      <c r="I1987" t="s">
        <v>12</v>
      </c>
    </row>
    <row r="1988" spans="1:9" x14ac:dyDescent="0.3">
      <c r="A1988">
        <v>41</v>
      </c>
      <c r="B1988">
        <v>1</v>
      </c>
      <c r="C1988">
        <v>1</v>
      </c>
      <c r="D1988">
        <v>2</v>
      </c>
      <c r="E1988" t="s">
        <v>22</v>
      </c>
      <c r="F1988" t="s">
        <v>3419</v>
      </c>
      <c r="G1988" t="s">
        <v>3420</v>
      </c>
      <c r="H1988">
        <v>2.3199999999999998</v>
      </c>
      <c r="I1988" t="s">
        <v>21</v>
      </c>
    </row>
    <row r="1989" spans="1:9" x14ac:dyDescent="0.3">
      <c r="A1989">
        <v>41</v>
      </c>
      <c r="B1989">
        <v>1</v>
      </c>
      <c r="C1989">
        <v>1</v>
      </c>
      <c r="D1989">
        <v>2</v>
      </c>
      <c r="E1989" t="s">
        <v>22</v>
      </c>
      <c r="F1989" t="s">
        <v>3421</v>
      </c>
      <c r="G1989" t="s">
        <v>3422</v>
      </c>
      <c r="H1989">
        <v>2.5</v>
      </c>
      <c r="I1989" t="s">
        <v>21</v>
      </c>
    </row>
    <row r="1990" spans="1:9" x14ac:dyDescent="0.3">
      <c r="A1990">
        <v>41</v>
      </c>
      <c r="B1990">
        <v>1</v>
      </c>
      <c r="C1990">
        <v>1</v>
      </c>
      <c r="D1990">
        <v>2</v>
      </c>
      <c r="E1990" t="s">
        <v>9</v>
      </c>
      <c r="F1990" t="s">
        <v>3423</v>
      </c>
      <c r="G1990" t="s">
        <v>3424</v>
      </c>
      <c r="H1990">
        <v>1.734</v>
      </c>
      <c r="I1990" t="s">
        <v>12</v>
      </c>
    </row>
    <row r="1991" spans="1:9" x14ac:dyDescent="0.3">
      <c r="A1991">
        <v>41</v>
      </c>
      <c r="B1991">
        <v>1</v>
      </c>
      <c r="C1991">
        <v>1</v>
      </c>
      <c r="D1991">
        <v>2</v>
      </c>
      <c r="E1991" t="s">
        <v>19</v>
      </c>
      <c r="F1991" t="s">
        <v>3425</v>
      </c>
      <c r="I1991" t="s">
        <v>34</v>
      </c>
    </row>
    <row r="1992" spans="1:9" x14ac:dyDescent="0.3">
      <c r="A1992">
        <v>41</v>
      </c>
      <c r="B1992">
        <v>1</v>
      </c>
      <c r="C1992">
        <v>1</v>
      </c>
      <c r="D1992">
        <v>2</v>
      </c>
      <c r="E1992" t="s">
        <v>9</v>
      </c>
      <c r="F1992" t="s">
        <v>3426</v>
      </c>
      <c r="G1992" t="s">
        <v>3427</v>
      </c>
      <c r="H1992">
        <v>2.5680000000000001</v>
      </c>
      <c r="I1992" t="s">
        <v>12</v>
      </c>
    </row>
    <row r="1993" spans="1:9" x14ac:dyDescent="0.3">
      <c r="A1993">
        <v>41</v>
      </c>
      <c r="B1993">
        <v>1</v>
      </c>
      <c r="C1993">
        <v>1</v>
      </c>
      <c r="D1993">
        <v>2</v>
      </c>
      <c r="E1993" t="s">
        <v>9</v>
      </c>
      <c r="F1993" t="s">
        <v>3428</v>
      </c>
      <c r="G1993" t="s">
        <v>3429</v>
      </c>
      <c r="H1993">
        <v>5.6340000000000003</v>
      </c>
      <c r="I1993" t="s">
        <v>12</v>
      </c>
    </row>
    <row r="1994" spans="1:9" x14ac:dyDescent="0.3">
      <c r="A1994">
        <v>41</v>
      </c>
      <c r="B1994">
        <v>1</v>
      </c>
      <c r="C1994">
        <v>1</v>
      </c>
      <c r="D1994">
        <v>2</v>
      </c>
      <c r="E1994" t="s">
        <v>9</v>
      </c>
      <c r="F1994" t="s">
        <v>3430</v>
      </c>
      <c r="G1994" t="s">
        <v>3431</v>
      </c>
      <c r="H1994">
        <v>3.9670000000000001</v>
      </c>
      <c r="I1994" t="s">
        <v>12</v>
      </c>
    </row>
    <row r="1995" spans="1:9" x14ac:dyDescent="0.3">
      <c r="A1995">
        <v>41</v>
      </c>
      <c r="B1995">
        <v>1</v>
      </c>
      <c r="C1995">
        <v>1</v>
      </c>
      <c r="D1995">
        <v>2</v>
      </c>
      <c r="E1995" t="s">
        <v>19</v>
      </c>
      <c r="F1995" t="s">
        <v>3432</v>
      </c>
      <c r="I1995" t="s">
        <v>21</v>
      </c>
    </row>
    <row r="1996" spans="1:9" x14ac:dyDescent="0.3">
      <c r="A1996">
        <v>41</v>
      </c>
      <c r="B1996">
        <v>1</v>
      </c>
      <c r="C1996">
        <v>2</v>
      </c>
      <c r="D1996">
        <v>1</v>
      </c>
      <c r="E1996" t="s">
        <v>9</v>
      </c>
      <c r="F1996" t="s">
        <v>3433</v>
      </c>
      <c r="H1996" t="s">
        <v>81</v>
      </c>
      <c r="I1996" t="s">
        <v>34</v>
      </c>
    </row>
    <row r="1997" spans="1:9" x14ac:dyDescent="0.3">
      <c r="A1997">
        <v>41</v>
      </c>
      <c r="B1997">
        <v>1</v>
      </c>
      <c r="C1997">
        <v>2</v>
      </c>
      <c r="D1997">
        <v>1</v>
      </c>
      <c r="E1997" t="s">
        <v>19</v>
      </c>
      <c r="F1997" t="s">
        <v>3434</v>
      </c>
      <c r="I1997" t="s">
        <v>21</v>
      </c>
    </row>
    <row r="1998" spans="1:9" x14ac:dyDescent="0.3">
      <c r="A1998">
        <v>41</v>
      </c>
      <c r="B1998">
        <v>1</v>
      </c>
      <c r="C1998">
        <v>2</v>
      </c>
      <c r="D1998">
        <v>1</v>
      </c>
      <c r="E1998" t="s">
        <v>22</v>
      </c>
      <c r="F1998" t="s">
        <v>3435</v>
      </c>
      <c r="G1998" t="s">
        <v>3436</v>
      </c>
      <c r="H1998">
        <v>3.3530000000000002</v>
      </c>
      <c r="I1998" t="s">
        <v>21</v>
      </c>
    </row>
    <row r="1999" spans="1:9" x14ac:dyDescent="0.3">
      <c r="A1999">
        <v>41</v>
      </c>
      <c r="B1999">
        <v>1</v>
      </c>
      <c r="C1999">
        <v>2</v>
      </c>
      <c r="D1999">
        <v>1</v>
      </c>
      <c r="E1999" t="s">
        <v>22</v>
      </c>
      <c r="F1999" t="s">
        <v>3437</v>
      </c>
      <c r="G1999" t="s">
        <v>3438</v>
      </c>
      <c r="H1999">
        <v>1.8009999999999999</v>
      </c>
      <c r="I1999" t="s">
        <v>21</v>
      </c>
    </row>
    <row r="2000" spans="1:9" x14ac:dyDescent="0.3">
      <c r="A2000">
        <v>41</v>
      </c>
      <c r="B2000">
        <v>1</v>
      </c>
      <c r="C2000">
        <v>2</v>
      </c>
      <c r="D2000">
        <v>1</v>
      </c>
      <c r="E2000" t="s">
        <v>9</v>
      </c>
      <c r="F2000" t="s">
        <v>3439</v>
      </c>
      <c r="G2000" t="s">
        <v>3440</v>
      </c>
      <c r="H2000">
        <v>4.4009999999999998</v>
      </c>
      <c r="I2000" t="s">
        <v>12</v>
      </c>
    </row>
    <row r="2001" spans="1:9" x14ac:dyDescent="0.3">
      <c r="A2001">
        <v>41</v>
      </c>
      <c r="B2001">
        <v>1</v>
      </c>
      <c r="C2001">
        <v>2</v>
      </c>
      <c r="D2001">
        <v>1</v>
      </c>
      <c r="E2001" t="s">
        <v>9</v>
      </c>
      <c r="F2001" t="s">
        <v>3441</v>
      </c>
      <c r="G2001" t="s">
        <v>3442</v>
      </c>
      <c r="H2001">
        <v>3.0009999999999999</v>
      </c>
      <c r="I2001" t="s">
        <v>12</v>
      </c>
    </row>
    <row r="2002" spans="1:9" x14ac:dyDescent="0.3">
      <c r="A2002">
        <v>41</v>
      </c>
      <c r="B2002">
        <v>1</v>
      </c>
      <c r="C2002">
        <v>2</v>
      </c>
      <c r="D2002">
        <v>1</v>
      </c>
      <c r="E2002" t="s">
        <v>9</v>
      </c>
      <c r="F2002" t="s">
        <v>3443</v>
      </c>
      <c r="G2002" t="s">
        <v>3444</v>
      </c>
      <c r="H2002">
        <v>2.6669999999999998</v>
      </c>
      <c r="I2002" t="s">
        <v>12</v>
      </c>
    </row>
    <row r="2003" spans="1:9" x14ac:dyDescent="0.3">
      <c r="A2003">
        <v>41</v>
      </c>
      <c r="B2003">
        <v>1</v>
      </c>
      <c r="C2003">
        <v>3</v>
      </c>
      <c r="D2003">
        <v>1</v>
      </c>
      <c r="E2003" t="s">
        <v>22</v>
      </c>
      <c r="F2003" t="s">
        <v>3445</v>
      </c>
      <c r="G2003" t="s">
        <v>3446</v>
      </c>
      <c r="H2003">
        <v>1.786</v>
      </c>
      <c r="I2003" t="s">
        <v>21</v>
      </c>
    </row>
    <row r="2004" spans="1:9" x14ac:dyDescent="0.3">
      <c r="A2004">
        <v>41</v>
      </c>
      <c r="B2004">
        <v>1</v>
      </c>
      <c r="C2004">
        <v>3</v>
      </c>
      <c r="D2004">
        <v>1</v>
      </c>
      <c r="E2004" t="s">
        <v>22</v>
      </c>
      <c r="F2004" t="s">
        <v>3447</v>
      </c>
      <c r="G2004" t="s">
        <v>3448</v>
      </c>
      <c r="H2004">
        <v>3.2679999999999998</v>
      </c>
      <c r="I2004" t="s">
        <v>21</v>
      </c>
    </row>
    <row r="2005" spans="1:9" x14ac:dyDescent="0.3">
      <c r="A2005">
        <v>41</v>
      </c>
      <c r="B2005">
        <v>1</v>
      </c>
      <c r="C2005">
        <v>3</v>
      </c>
      <c r="D2005">
        <v>2</v>
      </c>
      <c r="E2005" t="s">
        <v>22</v>
      </c>
      <c r="F2005" t="s">
        <v>3449</v>
      </c>
      <c r="G2005" t="s">
        <v>3450</v>
      </c>
      <c r="H2005">
        <v>4.22</v>
      </c>
      <c r="I2005" t="s">
        <v>21</v>
      </c>
    </row>
    <row r="2006" spans="1:9" x14ac:dyDescent="0.3">
      <c r="A2006">
        <v>41</v>
      </c>
      <c r="B2006">
        <v>1</v>
      </c>
      <c r="C2006">
        <v>3</v>
      </c>
      <c r="D2006">
        <v>2</v>
      </c>
      <c r="E2006" t="s">
        <v>22</v>
      </c>
      <c r="F2006" t="s">
        <v>3451</v>
      </c>
      <c r="G2006" t="s">
        <v>3452</v>
      </c>
      <c r="H2006">
        <v>1.367</v>
      </c>
      <c r="I2006" t="s">
        <v>21</v>
      </c>
    </row>
    <row r="2007" spans="1:9" x14ac:dyDescent="0.3">
      <c r="A2007">
        <v>41</v>
      </c>
      <c r="B2007">
        <v>1</v>
      </c>
      <c r="C2007">
        <v>3</v>
      </c>
      <c r="D2007">
        <v>2</v>
      </c>
      <c r="E2007" t="s">
        <v>9</v>
      </c>
      <c r="F2007" t="s">
        <v>3453</v>
      </c>
      <c r="G2007" t="s">
        <v>3454</v>
      </c>
      <c r="H2007">
        <v>3.234</v>
      </c>
      <c r="I2007" t="s">
        <v>12</v>
      </c>
    </row>
    <row r="2008" spans="1:9" x14ac:dyDescent="0.3">
      <c r="A2008">
        <v>41</v>
      </c>
      <c r="B2008">
        <v>1</v>
      </c>
      <c r="C2008">
        <v>3</v>
      </c>
      <c r="D2008">
        <v>2</v>
      </c>
      <c r="E2008" t="s">
        <v>19</v>
      </c>
      <c r="F2008" t="s">
        <v>3455</v>
      </c>
      <c r="I2008" t="s">
        <v>34</v>
      </c>
    </row>
    <row r="2009" spans="1:9" x14ac:dyDescent="0.3">
      <c r="A2009">
        <v>41</v>
      </c>
      <c r="B2009">
        <v>1</v>
      </c>
      <c r="C2009">
        <v>3</v>
      </c>
      <c r="D2009">
        <v>2</v>
      </c>
      <c r="E2009" t="s">
        <v>9</v>
      </c>
      <c r="F2009" t="s">
        <v>3455</v>
      </c>
      <c r="G2009" t="s">
        <v>3456</v>
      </c>
      <c r="H2009">
        <v>2.1019999999999999</v>
      </c>
      <c r="I2009" t="s">
        <v>12</v>
      </c>
    </row>
    <row r="2010" spans="1:9" x14ac:dyDescent="0.3">
      <c r="A2010">
        <v>41</v>
      </c>
      <c r="B2010">
        <v>1</v>
      </c>
      <c r="C2010">
        <v>3</v>
      </c>
      <c r="D2010">
        <v>2</v>
      </c>
      <c r="E2010" t="s">
        <v>9</v>
      </c>
      <c r="F2010" t="s">
        <v>3457</v>
      </c>
      <c r="G2010" t="s">
        <v>3458</v>
      </c>
      <c r="H2010">
        <v>4.7</v>
      </c>
      <c r="I2010" t="s">
        <v>12</v>
      </c>
    </row>
    <row r="2011" spans="1:9" x14ac:dyDescent="0.3">
      <c r="A2011">
        <v>41</v>
      </c>
      <c r="B2011">
        <v>1</v>
      </c>
      <c r="C2011">
        <v>3</v>
      </c>
      <c r="D2011">
        <v>2</v>
      </c>
      <c r="E2011" t="s">
        <v>9</v>
      </c>
      <c r="F2011" t="s">
        <v>3459</v>
      </c>
      <c r="G2011" t="s">
        <v>3460</v>
      </c>
      <c r="H2011">
        <v>3.867</v>
      </c>
      <c r="I2011" t="s">
        <v>12</v>
      </c>
    </row>
    <row r="2012" spans="1:9" x14ac:dyDescent="0.3">
      <c r="A2012">
        <v>41</v>
      </c>
      <c r="B2012">
        <v>1</v>
      </c>
      <c r="C2012">
        <v>3</v>
      </c>
      <c r="D2012">
        <v>2</v>
      </c>
      <c r="E2012" t="s">
        <v>19</v>
      </c>
      <c r="F2012" t="s">
        <v>3461</v>
      </c>
      <c r="I2012" t="s">
        <v>21</v>
      </c>
    </row>
    <row r="2013" spans="1:9" x14ac:dyDescent="0.3">
      <c r="A2013">
        <v>41</v>
      </c>
      <c r="B2013">
        <v>1</v>
      </c>
      <c r="C2013">
        <v>3</v>
      </c>
      <c r="D2013">
        <v>3</v>
      </c>
      <c r="E2013" t="s">
        <v>22</v>
      </c>
      <c r="F2013" t="s">
        <v>3462</v>
      </c>
      <c r="G2013" t="s">
        <v>3463</v>
      </c>
      <c r="H2013">
        <v>6.32</v>
      </c>
      <c r="I2013" t="s">
        <v>21</v>
      </c>
    </row>
    <row r="2014" spans="1:9" x14ac:dyDescent="0.3">
      <c r="A2014">
        <v>41</v>
      </c>
      <c r="B2014">
        <v>1</v>
      </c>
      <c r="C2014">
        <v>3</v>
      </c>
      <c r="D2014">
        <v>3</v>
      </c>
      <c r="E2014" t="s">
        <v>22</v>
      </c>
      <c r="F2014" t="s">
        <v>3464</v>
      </c>
      <c r="G2014" t="s">
        <v>3465</v>
      </c>
      <c r="H2014">
        <v>1.6</v>
      </c>
      <c r="I2014" t="s">
        <v>21</v>
      </c>
    </row>
    <row r="2015" spans="1:9" x14ac:dyDescent="0.3">
      <c r="A2015">
        <v>41</v>
      </c>
      <c r="B2015">
        <v>1</v>
      </c>
      <c r="C2015">
        <v>3</v>
      </c>
      <c r="D2015">
        <v>3</v>
      </c>
      <c r="E2015" t="s">
        <v>9</v>
      </c>
      <c r="F2015" t="s">
        <v>3466</v>
      </c>
      <c r="G2015" t="s">
        <v>3467</v>
      </c>
      <c r="H2015">
        <v>4.5019999999999998</v>
      </c>
      <c r="I2015" t="s">
        <v>12</v>
      </c>
    </row>
    <row r="2016" spans="1:9" x14ac:dyDescent="0.3">
      <c r="A2016">
        <v>41</v>
      </c>
      <c r="B2016">
        <v>1</v>
      </c>
      <c r="C2016">
        <v>3</v>
      </c>
      <c r="D2016">
        <v>3</v>
      </c>
      <c r="E2016" t="s">
        <v>19</v>
      </c>
      <c r="F2016" t="s">
        <v>3468</v>
      </c>
      <c r="I2016" t="s">
        <v>34</v>
      </c>
    </row>
    <row r="2017" spans="1:9" x14ac:dyDescent="0.3">
      <c r="A2017">
        <v>41</v>
      </c>
      <c r="B2017">
        <v>1</v>
      </c>
      <c r="C2017">
        <v>3</v>
      </c>
      <c r="D2017">
        <v>3</v>
      </c>
      <c r="E2017" t="s">
        <v>9</v>
      </c>
      <c r="F2017" t="s">
        <v>3468</v>
      </c>
      <c r="G2017" t="s">
        <v>3469</v>
      </c>
      <c r="H2017">
        <v>2.5339999999999998</v>
      </c>
      <c r="I2017" t="s">
        <v>12</v>
      </c>
    </row>
    <row r="2018" spans="1:9" x14ac:dyDescent="0.3">
      <c r="A2018">
        <v>41</v>
      </c>
      <c r="B2018">
        <v>1</v>
      </c>
      <c r="C2018">
        <v>3</v>
      </c>
      <c r="D2018">
        <v>3</v>
      </c>
      <c r="E2018" t="s">
        <v>9</v>
      </c>
      <c r="F2018" t="s">
        <v>3470</v>
      </c>
      <c r="G2018" t="s">
        <v>3471</v>
      </c>
      <c r="H2018">
        <v>1.5680000000000001</v>
      </c>
      <c r="I2018" t="s">
        <v>12</v>
      </c>
    </row>
    <row r="2019" spans="1:9" x14ac:dyDescent="0.3">
      <c r="A2019">
        <v>41</v>
      </c>
      <c r="B2019">
        <v>1</v>
      </c>
      <c r="C2019">
        <v>3</v>
      </c>
      <c r="D2019">
        <v>3</v>
      </c>
      <c r="E2019" t="s">
        <v>9</v>
      </c>
      <c r="F2019" t="s">
        <v>3472</v>
      </c>
      <c r="G2019" t="s">
        <v>3473</v>
      </c>
      <c r="H2019">
        <v>2.5350000000000001</v>
      </c>
      <c r="I2019" t="s">
        <v>12</v>
      </c>
    </row>
    <row r="2020" spans="1:9" x14ac:dyDescent="0.3">
      <c r="A2020">
        <v>41</v>
      </c>
      <c r="B2020">
        <v>1</v>
      </c>
      <c r="C2020">
        <v>3</v>
      </c>
      <c r="D2020">
        <v>3</v>
      </c>
      <c r="E2020" t="s">
        <v>19</v>
      </c>
      <c r="F2020" t="s">
        <v>3474</v>
      </c>
      <c r="I2020" t="s">
        <v>34</v>
      </c>
    </row>
    <row r="2021" spans="1:9" x14ac:dyDescent="0.3">
      <c r="A2021">
        <v>41</v>
      </c>
      <c r="B2021">
        <v>1</v>
      </c>
      <c r="C2021">
        <v>3</v>
      </c>
      <c r="D2021">
        <v>4</v>
      </c>
      <c r="E2021" t="s">
        <v>22</v>
      </c>
      <c r="F2021" t="s">
        <v>3475</v>
      </c>
      <c r="G2021" t="s">
        <v>3476</v>
      </c>
      <c r="H2021">
        <v>2.0190000000000001</v>
      </c>
      <c r="I2021" t="s">
        <v>21</v>
      </c>
    </row>
    <row r="2022" spans="1:9" x14ac:dyDescent="0.3">
      <c r="A2022">
        <v>41</v>
      </c>
      <c r="B2022">
        <v>1</v>
      </c>
      <c r="C2022">
        <v>3</v>
      </c>
      <c r="D2022">
        <v>4</v>
      </c>
      <c r="E2022" t="s">
        <v>22</v>
      </c>
      <c r="F2022" t="s">
        <v>3477</v>
      </c>
      <c r="G2022" t="s">
        <v>3478</v>
      </c>
      <c r="H2022">
        <v>1.5669999999999999</v>
      </c>
      <c r="I2022" t="s">
        <v>21</v>
      </c>
    </row>
    <row r="2023" spans="1:9" x14ac:dyDescent="0.3">
      <c r="A2023">
        <v>41</v>
      </c>
      <c r="B2023">
        <v>1</v>
      </c>
      <c r="C2023">
        <v>3</v>
      </c>
      <c r="D2023">
        <v>4</v>
      </c>
      <c r="E2023" t="s">
        <v>19</v>
      </c>
      <c r="F2023" t="s">
        <v>3479</v>
      </c>
      <c r="I2023" t="s">
        <v>21</v>
      </c>
    </row>
    <row r="2024" spans="1:9" x14ac:dyDescent="0.3">
      <c r="A2024">
        <v>41</v>
      </c>
      <c r="B2024">
        <v>1</v>
      </c>
      <c r="C2024">
        <v>3</v>
      </c>
      <c r="D2024">
        <v>4</v>
      </c>
      <c r="E2024" t="s">
        <v>9</v>
      </c>
      <c r="F2024" t="s">
        <v>3480</v>
      </c>
      <c r="G2024" t="s">
        <v>3481</v>
      </c>
      <c r="H2024">
        <v>2.8</v>
      </c>
      <c r="I2024" t="s">
        <v>12</v>
      </c>
    </row>
    <row r="2025" spans="1:9" x14ac:dyDescent="0.3">
      <c r="A2025">
        <v>41</v>
      </c>
      <c r="B2025">
        <v>1</v>
      </c>
      <c r="C2025">
        <v>3</v>
      </c>
      <c r="D2025">
        <v>4</v>
      </c>
      <c r="E2025" t="s">
        <v>9</v>
      </c>
      <c r="F2025" t="s">
        <v>3482</v>
      </c>
      <c r="G2025" t="s">
        <v>3483</v>
      </c>
      <c r="H2025">
        <v>1.8680000000000001</v>
      </c>
      <c r="I2025" t="s">
        <v>12</v>
      </c>
    </row>
    <row r="2026" spans="1:9" x14ac:dyDescent="0.3">
      <c r="A2026">
        <v>41</v>
      </c>
      <c r="B2026">
        <v>1</v>
      </c>
      <c r="C2026">
        <v>3</v>
      </c>
      <c r="D2026">
        <v>4</v>
      </c>
      <c r="E2026" t="s">
        <v>9</v>
      </c>
      <c r="F2026" t="s">
        <v>3484</v>
      </c>
      <c r="G2026" t="s">
        <v>3485</v>
      </c>
      <c r="H2026">
        <v>3.8730000000000002</v>
      </c>
      <c r="I2026" t="s">
        <v>12</v>
      </c>
    </row>
    <row r="2027" spans="1:9" x14ac:dyDescent="0.3">
      <c r="A2027">
        <v>41</v>
      </c>
      <c r="B2027">
        <v>1</v>
      </c>
      <c r="C2027">
        <v>3</v>
      </c>
      <c r="D2027">
        <v>4</v>
      </c>
      <c r="E2027" t="s">
        <v>9</v>
      </c>
      <c r="F2027" t="s">
        <v>3486</v>
      </c>
      <c r="G2027" t="s">
        <v>3487</v>
      </c>
      <c r="H2027">
        <v>1.401</v>
      </c>
      <c r="I2027" t="s">
        <v>12</v>
      </c>
    </row>
    <row r="2028" spans="1:9" x14ac:dyDescent="0.3">
      <c r="A2028">
        <v>41</v>
      </c>
      <c r="B2028">
        <v>1</v>
      </c>
      <c r="C2028">
        <v>3</v>
      </c>
      <c r="D2028">
        <v>4</v>
      </c>
      <c r="E2028" t="s">
        <v>19</v>
      </c>
      <c r="F2028" t="s">
        <v>3488</v>
      </c>
      <c r="I2028" t="s">
        <v>21</v>
      </c>
    </row>
    <row r="2029" spans="1:9" x14ac:dyDescent="0.3">
      <c r="A2029">
        <v>42</v>
      </c>
      <c r="B2029">
        <v>1</v>
      </c>
      <c r="C2029">
        <v>1</v>
      </c>
      <c r="D2029">
        <v>1</v>
      </c>
      <c r="E2029" t="s">
        <v>9</v>
      </c>
      <c r="F2029" t="s">
        <v>3489</v>
      </c>
      <c r="G2029" t="s">
        <v>3490</v>
      </c>
      <c r="H2029">
        <v>4.8019999999999996</v>
      </c>
      <c r="I2029" t="s">
        <v>12</v>
      </c>
    </row>
    <row r="2030" spans="1:9" x14ac:dyDescent="0.3">
      <c r="A2030">
        <v>42</v>
      </c>
      <c r="B2030">
        <v>1</v>
      </c>
      <c r="C2030">
        <v>1</v>
      </c>
      <c r="D2030">
        <v>2</v>
      </c>
      <c r="E2030" t="s">
        <v>9</v>
      </c>
      <c r="F2030" t="s">
        <v>3491</v>
      </c>
      <c r="G2030" t="s">
        <v>3492</v>
      </c>
      <c r="H2030">
        <v>3.29</v>
      </c>
      <c r="I2030" t="s">
        <v>12</v>
      </c>
    </row>
    <row r="2031" spans="1:9" x14ac:dyDescent="0.3">
      <c r="A2031">
        <v>42</v>
      </c>
      <c r="B2031">
        <v>1</v>
      </c>
      <c r="C2031">
        <v>2</v>
      </c>
      <c r="D2031">
        <v>1</v>
      </c>
      <c r="E2031" t="s">
        <v>9</v>
      </c>
      <c r="F2031" t="s">
        <v>3493</v>
      </c>
      <c r="H2031" t="s">
        <v>81</v>
      </c>
      <c r="I2031" t="s">
        <v>34</v>
      </c>
    </row>
    <row r="2032" spans="1:9" x14ac:dyDescent="0.3">
      <c r="A2032">
        <v>42</v>
      </c>
      <c r="B2032">
        <v>1</v>
      </c>
      <c r="C2032">
        <v>2</v>
      </c>
      <c r="D2032">
        <v>1</v>
      </c>
      <c r="E2032" t="s">
        <v>9</v>
      </c>
      <c r="F2032" t="s">
        <v>3494</v>
      </c>
      <c r="G2032" t="s">
        <v>3495</v>
      </c>
      <c r="H2032">
        <v>4.0730000000000004</v>
      </c>
      <c r="I2032" t="s">
        <v>12</v>
      </c>
    </row>
    <row r="2033" spans="1:9" x14ac:dyDescent="0.3">
      <c r="A2033">
        <v>42</v>
      </c>
      <c r="B2033">
        <v>1</v>
      </c>
      <c r="C2033">
        <v>2</v>
      </c>
      <c r="D2033">
        <v>2</v>
      </c>
      <c r="E2033" t="s">
        <v>9</v>
      </c>
      <c r="F2033" t="s">
        <v>3496</v>
      </c>
      <c r="G2033" t="s">
        <v>3497</v>
      </c>
      <c r="H2033">
        <v>2.8860000000000001</v>
      </c>
      <c r="I2033" t="s">
        <v>12</v>
      </c>
    </row>
    <row r="2034" spans="1:9" x14ac:dyDescent="0.3">
      <c r="A2034">
        <v>42</v>
      </c>
      <c r="B2034">
        <v>1</v>
      </c>
      <c r="C2034">
        <v>2</v>
      </c>
      <c r="D2034">
        <v>2</v>
      </c>
      <c r="E2034" t="s">
        <v>9</v>
      </c>
      <c r="F2034" t="s">
        <v>3498</v>
      </c>
      <c r="H2034" t="s">
        <v>81</v>
      </c>
      <c r="I2034" t="s">
        <v>34</v>
      </c>
    </row>
    <row r="2035" spans="1:9" x14ac:dyDescent="0.3">
      <c r="A2035">
        <v>42</v>
      </c>
      <c r="B2035">
        <v>1</v>
      </c>
      <c r="C2035">
        <v>2</v>
      </c>
      <c r="D2035">
        <v>3</v>
      </c>
      <c r="E2035" t="s">
        <v>9</v>
      </c>
      <c r="F2035" t="s">
        <v>3499</v>
      </c>
      <c r="G2035" t="s">
        <v>3500</v>
      </c>
      <c r="H2035">
        <v>2.2530000000000001</v>
      </c>
      <c r="I2035" t="s">
        <v>12</v>
      </c>
    </row>
    <row r="2036" spans="1:9" x14ac:dyDescent="0.3">
      <c r="A2036">
        <v>42</v>
      </c>
      <c r="B2036">
        <v>1</v>
      </c>
      <c r="C2036">
        <v>2</v>
      </c>
      <c r="D2036">
        <v>3</v>
      </c>
      <c r="E2036" t="s">
        <v>9</v>
      </c>
      <c r="F2036" t="s">
        <v>3501</v>
      </c>
      <c r="G2036" t="s">
        <v>3502</v>
      </c>
      <c r="H2036">
        <v>1.8340000000000001</v>
      </c>
      <c r="I2036" t="s">
        <v>12</v>
      </c>
    </row>
    <row r="2037" spans="1:9" x14ac:dyDescent="0.3">
      <c r="A2037">
        <v>43</v>
      </c>
      <c r="B2037">
        <v>1</v>
      </c>
      <c r="C2037">
        <v>1</v>
      </c>
      <c r="D2037">
        <v>1</v>
      </c>
      <c r="E2037" t="s">
        <v>9</v>
      </c>
      <c r="F2037" t="s">
        <v>3503</v>
      </c>
      <c r="G2037" t="s">
        <v>3504</v>
      </c>
      <c r="H2037">
        <v>5.1520000000000001</v>
      </c>
      <c r="I2037" t="s">
        <v>12</v>
      </c>
    </row>
    <row r="2038" spans="1:9" x14ac:dyDescent="0.3">
      <c r="A2038">
        <v>43</v>
      </c>
      <c r="B2038">
        <v>1</v>
      </c>
      <c r="C2038">
        <v>1</v>
      </c>
      <c r="D2038">
        <v>2</v>
      </c>
      <c r="E2038" t="s">
        <v>22</v>
      </c>
      <c r="F2038" t="s">
        <v>3505</v>
      </c>
      <c r="G2038" t="s">
        <v>3506</v>
      </c>
      <c r="H2038">
        <v>5.952</v>
      </c>
      <c r="I2038" t="s">
        <v>21</v>
      </c>
    </row>
    <row r="2039" spans="1:9" x14ac:dyDescent="0.3">
      <c r="A2039">
        <v>43</v>
      </c>
      <c r="B2039">
        <v>1</v>
      </c>
      <c r="C2039">
        <v>1</v>
      </c>
      <c r="D2039">
        <v>2</v>
      </c>
      <c r="E2039" t="s">
        <v>9</v>
      </c>
      <c r="F2039" t="s">
        <v>3507</v>
      </c>
      <c r="G2039" t="s">
        <v>3508</v>
      </c>
      <c r="H2039">
        <v>2.7</v>
      </c>
      <c r="I2039" t="s">
        <v>12</v>
      </c>
    </row>
    <row r="2040" spans="1:9" x14ac:dyDescent="0.3">
      <c r="A2040">
        <v>43</v>
      </c>
      <c r="B2040">
        <v>1</v>
      </c>
      <c r="C2040">
        <v>1</v>
      </c>
      <c r="D2040">
        <v>2</v>
      </c>
      <c r="E2040" t="s">
        <v>9</v>
      </c>
      <c r="F2040" t="s">
        <v>3509</v>
      </c>
      <c r="G2040" t="s">
        <v>3510</v>
      </c>
      <c r="H2040">
        <v>6.0860000000000003</v>
      </c>
      <c r="I2040" t="s">
        <v>12</v>
      </c>
    </row>
    <row r="2041" spans="1:9" x14ac:dyDescent="0.3">
      <c r="A2041">
        <v>43</v>
      </c>
      <c r="B2041">
        <v>1</v>
      </c>
      <c r="C2041">
        <v>1</v>
      </c>
      <c r="D2041">
        <v>2</v>
      </c>
      <c r="E2041" t="s">
        <v>19</v>
      </c>
      <c r="F2041" t="s">
        <v>3511</v>
      </c>
      <c r="I2041" t="s">
        <v>21</v>
      </c>
    </row>
    <row r="2042" spans="1:9" x14ac:dyDescent="0.3">
      <c r="A2042">
        <v>43</v>
      </c>
      <c r="B2042">
        <v>1</v>
      </c>
      <c r="C2042">
        <v>1</v>
      </c>
      <c r="D2042">
        <v>3</v>
      </c>
      <c r="E2042" t="s">
        <v>9</v>
      </c>
      <c r="F2042" t="s">
        <v>3512</v>
      </c>
      <c r="G2042" t="s">
        <v>3513</v>
      </c>
      <c r="H2042">
        <v>2.419</v>
      </c>
      <c r="I2042" t="s">
        <v>12</v>
      </c>
    </row>
    <row r="2043" spans="1:9" x14ac:dyDescent="0.3">
      <c r="A2043">
        <v>43</v>
      </c>
      <c r="B2043">
        <v>1</v>
      </c>
      <c r="C2043">
        <v>1</v>
      </c>
      <c r="D2043">
        <v>3</v>
      </c>
      <c r="E2043" t="s">
        <v>22</v>
      </c>
      <c r="F2043" t="s">
        <v>3514</v>
      </c>
      <c r="G2043" t="s">
        <v>3515</v>
      </c>
      <c r="H2043">
        <v>5.4669999999999996</v>
      </c>
      <c r="I2043" t="s">
        <v>21</v>
      </c>
    </row>
    <row r="2044" spans="1:9" x14ac:dyDescent="0.3">
      <c r="A2044">
        <v>43</v>
      </c>
      <c r="B2044">
        <v>1</v>
      </c>
      <c r="C2044">
        <v>1</v>
      </c>
      <c r="D2044">
        <v>3</v>
      </c>
      <c r="E2044" t="s">
        <v>9</v>
      </c>
      <c r="F2044" t="s">
        <v>3516</v>
      </c>
      <c r="G2044" t="s">
        <v>3517</v>
      </c>
      <c r="H2044">
        <v>2.234</v>
      </c>
      <c r="I2044" t="s">
        <v>12</v>
      </c>
    </row>
    <row r="2045" spans="1:9" x14ac:dyDescent="0.3">
      <c r="A2045">
        <v>43</v>
      </c>
      <c r="B2045">
        <v>1</v>
      </c>
      <c r="C2045">
        <v>1</v>
      </c>
      <c r="D2045">
        <v>3</v>
      </c>
      <c r="E2045" t="s">
        <v>19</v>
      </c>
      <c r="F2045" t="s">
        <v>3518</v>
      </c>
      <c r="I2045" t="s">
        <v>21</v>
      </c>
    </row>
    <row r="2046" spans="1:9" x14ac:dyDescent="0.3">
      <c r="A2046">
        <v>43</v>
      </c>
      <c r="B2046">
        <v>1</v>
      </c>
      <c r="C2046">
        <v>1</v>
      </c>
      <c r="D2046">
        <v>4</v>
      </c>
      <c r="E2046" t="s">
        <v>9</v>
      </c>
      <c r="F2046" t="s">
        <v>3519</v>
      </c>
      <c r="G2046" t="s">
        <v>3520</v>
      </c>
      <c r="H2046">
        <v>3.0190000000000001</v>
      </c>
      <c r="I2046" t="s">
        <v>12</v>
      </c>
    </row>
    <row r="2047" spans="1:9" x14ac:dyDescent="0.3">
      <c r="A2047">
        <v>43</v>
      </c>
      <c r="B2047">
        <v>1</v>
      </c>
      <c r="C2047">
        <v>1</v>
      </c>
      <c r="D2047">
        <v>4</v>
      </c>
      <c r="E2047" t="s">
        <v>22</v>
      </c>
      <c r="F2047" t="s">
        <v>3521</v>
      </c>
      <c r="G2047" t="s">
        <v>3522</v>
      </c>
      <c r="H2047">
        <v>2.3340000000000001</v>
      </c>
      <c r="I2047" t="s">
        <v>21</v>
      </c>
    </row>
    <row r="2048" spans="1:9" x14ac:dyDescent="0.3">
      <c r="A2048">
        <v>43</v>
      </c>
      <c r="B2048">
        <v>1</v>
      </c>
      <c r="C2048">
        <v>1</v>
      </c>
      <c r="D2048">
        <v>4</v>
      </c>
      <c r="E2048" t="s">
        <v>9</v>
      </c>
      <c r="F2048" t="s">
        <v>3523</v>
      </c>
      <c r="G2048" t="s">
        <v>3524</v>
      </c>
      <c r="H2048">
        <v>1.7010000000000001</v>
      </c>
      <c r="I2048" t="s">
        <v>12</v>
      </c>
    </row>
    <row r="2049" spans="1:9" x14ac:dyDescent="0.3">
      <c r="A2049">
        <v>43</v>
      </c>
      <c r="B2049">
        <v>1</v>
      </c>
      <c r="C2049">
        <v>1</v>
      </c>
      <c r="D2049">
        <v>4</v>
      </c>
      <c r="E2049" t="s">
        <v>19</v>
      </c>
      <c r="F2049" t="s">
        <v>3525</v>
      </c>
      <c r="I2049" t="s">
        <v>34</v>
      </c>
    </row>
    <row r="2050" spans="1:9" x14ac:dyDescent="0.3">
      <c r="A2050">
        <v>43</v>
      </c>
      <c r="B2050">
        <v>1</v>
      </c>
      <c r="C2050">
        <v>1</v>
      </c>
      <c r="D2050">
        <v>5</v>
      </c>
      <c r="E2050" t="s">
        <v>9</v>
      </c>
      <c r="F2050" t="s">
        <v>3526</v>
      </c>
      <c r="G2050" t="s">
        <v>3527</v>
      </c>
      <c r="H2050">
        <v>2.12</v>
      </c>
      <c r="I2050" t="s">
        <v>12</v>
      </c>
    </row>
    <row r="2051" spans="1:9" x14ac:dyDescent="0.3">
      <c r="A2051">
        <v>43</v>
      </c>
      <c r="B2051">
        <v>1</v>
      </c>
      <c r="C2051">
        <v>1</v>
      </c>
      <c r="D2051">
        <v>5</v>
      </c>
      <c r="E2051" t="s">
        <v>22</v>
      </c>
      <c r="F2051" t="s">
        <v>3528</v>
      </c>
      <c r="G2051" t="s">
        <v>3529</v>
      </c>
      <c r="H2051">
        <v>1.635</v>
      </c>
      <c r="I2051" t="s">
        <v>21</v>
      </c>
    </row>
    <row r="2052" spans="1:9" x14ac:dyDescent="0.3">
      <c r="A2052">
        <v>43</v>
      </c>
      <c r="B2052">
        <v>1</v>
      </c>
      <c r="C2052">
        <v>1</v>
      </c>
      <c r="D2052">
        <v>5</v>
      </c>
      <c r="E2052" t="s">
        <v>9</v>
      </c>
      <c r="F2052" t="s">
        <v>3530</v>
      </c>
      <c r="G2052" t="s">
        <v>3531</v>
      </c>
      <c r="H2052">
        <v>2.0339999999999998</v>
      </c>
      <c r="I2052" t="s">
        <v>12</v>
      </c>
    </row>
    <row r="2053" spans="1:9" x14ac:dyDescent="0.3">
      <c r="A2053">
        <v>43</v>
      </c>
      <c r="B2053">
        <v>1</v>
      </c>
      <c r="C2053">
        <v>1</v>
      </c>
      <c r="D2053">
        <v>5</v>
      </c>
      <c r="E2053" t="s">
        <v>19</v>
      </c>
      <c r="F2053" t="s">
        <v>3532</v>
      </c>
      <c r="I2053" t="s">
        <v>34</v>
      </c>
    </row>
    <row r="2054" spans="1:9" x14ac:dyDescent="0.3">
      <c r="A2054">
        <v>43</v>
      </c>
      <c r="B2054">
        <v>1</v>
      </c>
      <c r="C2054">
        <v>1</v>
      </c>
      <c r="D2054">
        <v>6</v>
      </c>
      <c r="E2054" t="s">
        <v>9</v>
      </c>
      <c r="F2054" t="s">
        <v>3533</v>
      </c>
      <c r="G2054" t="s">
        <v>3534</v>
      </c>
      <c r="H2054">
        <v>2.52</v>
      </c>
      <c r="I2054" t="s">
        <v>12</v>
      </c>
    </row>
    <row r="2055" spans="1:9" x14ac:dyDescent="0.3">
      <c r="A2055">
        <v>43</v>
      </c>
      <c r="B2055">
        <v>1</v>
      </c>
      <c r="C2055">
        <v>1</v>
      </c>
      <c r="D2055">
        <v>6</v>
      </c>
      <c r="E2055" t="s">
        <v>22</v>
      </c>
      <c r="F2055" t="s">
        <v>3535</v>
      </c>
      <c r="G2055" t="s">
        <v>3536</v>
      </c>
      <c r="H2055">
        <v>2.5009999999999999</v>
      </c>
      <c r="I2055" t="s">
        <v>21</v>
      </c>
    </row>
    <row r="2056" spans="1:9" x14ac:dyDescent="0.3">
      <c r="A2056">
        <v>43</v>
      </c>
      <c r="B2056">
        <v>1</v>
      </c>
      <c r="C2056">
        <v>1</v>
      </c>
      <c r="D2056">
        <v>6</v>
      </c>
      <c r="E2056" t="s">
        <v>9</v>
      </c>
      <c r="F2056" t="s">
        <v>3537</v>
      </c>
      <c r="G2056" t="s">
        <v>3538</v>
      </c>
      <c r="H2056">
        <v>1.7</v>
      </c>
      <c r="I2056" t="s">
        <v>12</v>
      </c>
    </row>
    <row r="2057" spans="1:9" x14ac:dyDescent="0.3">
      <c r="A2057">
        <v>43</v>
      </c>
      <c r="B2057">
        <v>1</v>
      </c>
      <c r="C2057">
        <v>1</v>
      </c>
      <c r="D2057">
        <v>6</v>
      </c>
      <c r="E2057" t="s">
        <v>9</v>
      </c>
      <c r="F2057" t="s">
        <v>3539</v>
      </c>
      <c r="G2057" t="s">
        <v>3540</v>
      </c>
      <c r="H2057">
        <v>2.133</v>
      </c>
      <c r="I2057" t="s">
        <v>12</v>
      </c>
    </row>
    <row r="2058" spans="1:9" x14ac:dyDescent="0.3">
      <c r="A2058">
        <v>43</v>
      </c>
      <c r="B2058">
        <v>1</v>
      </c>
      <c r="C2058">
        <v>1</v>
      </c>
      <c r="D2058">
        <v>6</v>
      </c>
      <c r="E2058" t="s">
        <v>9</v>
      </c>
      <c r="F2058" t="s">
        <v>3541</v>
      </c>
      <c r="G2058" t="s">
        <v>3542</v>
      </c>
      <c r="H2058">
        <v>1.6679999999999999</v>
      </c>
      <c r="I2058" t="s">
        <v>12</v>
      </c>
    </row>
    <row r="2059" spans="1:9" x14ac:dyDescent="0.3">
      <c r="A2059">
        <v>43</v>
      </c>
      <c r="B2059">
        <v>1</v>
      </c>
      <c r="C2059">
        <v>1</v>
      </c>
      <c r="D2059">
        <v>6</v>
      </c>
      <c r="E2059" t="s">
        <v>19</v>
      </c>
      <c r="F2059" t="s">
        <v>3543</v>
      </c>
      <c r="I2059" t="s">
        <v>21</v>
      </c>
    </row>
    <row r="2060" spans="1:9" x14ac:dyDescent="0.3">
      <c r="A2060">
        <v>43</v>
      </c>
      <c r="B2060">
        <v>1</v>
      </c>
      <c r="C2060">
        <v>1</v>
      </c>
      <c r="D2060">
        <v>6</v>
      </c>
      <c r="E2060" t="s">
        <v>19</v>
      </c>
      <c r="F2060" t="s">
        <v>3544</v>
      </c>
      <c r="I2060" t="s">
        <v>21</v>
      </c>
    </row>
    <row r="2061" spans="1:9" x14ac:dyDescent="0.3">
      <c r="A2061">
        <v>43</v>
      </c>
      <c r="B2061">
        <v>1</v>
      </c>
      <c r="C2061">
        <v>1</v>
      </c>
      <c r="D2061">
        <v>7</v>
      </c>
      <c r="E2061" t="s">
        <v>22</v>
      </c>
      <c r="F2061" t="s">
        <v>3545</v>
      </c>
      <c r="G2061" t="s">
        <v>3546</v>
      </c>
      <c r="H2061">
        <v>2.4180000000000001</v>
      </c>
      <c r="I2061" t="s">
        <v>21</v>
      </c>
    </row>
    <row r="2062" spans="1:9" x14ac:dyDescent="0.3">
      <c r="A2062">
        <v>43</v>
      </c>
      <c r="B2062">
        <v>1</v>
      </c>
      <c r="C2062">
        <v>1</v>
      </c>
      <c r="D2062">
        <v>7</v>
      </c>
      <c r="E2062" t="s">
        <v>9</v>
      </c>
      <c r="F2062" t="s">
        <v>3547</v>
      </c>
      <c r="G2062" t="s">
        <v>3548</v>
      </c>
      <c r="H2062">
        <v>1.8009999999999999</v>
      </c>
      <c r="I2062" t="s">
        <v>12</v>
      </c>
    </row>
    <row r="2063" spans="1:9" x14ac:dyDescent="0.3">
      <c r="A2063">
        <v>43</v>
      </c>
      <c r="B2063">
        <v>1</v>
      </c>
      <c r="C2063">
        <v>1</v>
      </c>
      <c r="D2063">
        <v>7</v>
      </c>
      <c r="E2063" t="s">
        <v>19</v>
      </c>
      <c r="F2063" t="s">
        <v>3549</v>
      </c>
      <c r="I2063" t="s">
        <v>21</v>
      </c>
    </row>
    <row r="2064" spans="1:9" x14ac:dyDescent="0.3">
      <c r="A2064">
        <v>43</v>
      </c>
      <c r="B2064">
        <v>1</v>
      </c>
      <c r="C2064">
        <v>1</v>
      </c>
      <c r="D2064">
        <v>7</v>
      </c>
      <c r="E2064" t="s">
        <v>9</v>
      </c>
      <c r="F2064" t="s">
        <v>3550</v>
      </c>
      <c r="G2064" t="s">
        <v>3551</v>
      </c>
      <c r="H2064">
        <v>2.5339999999999998</v>
      </c>
      <c r="I2064" t="s">
        <v>12</v>
      </c>
    </row>
    <row r="2065" spans="1:9" x14ac:dyDescent="0.3">
      <c r="A2065">
        <v>43</v>
      </c>
      <c r="B2065">
        <v>1</v>
      </c>
      <c r="C2065">
        <v>1</v>
      </c>
      <c r="D2065">
        <v>8</v>
      </c>
      <c r="E2065" t="s">
        <v>22</v>
      </c>
      <c r="F2065" t="s">
        <v>3552</v>
      </c>
      <c r="G2065" t="s">
        <v>3553</v>
      </c>
      <c r="H2065">
        <v>2.052</v>
      </c>
      <c r="I2065" t="s">
        <v>21</v>
      </c>
    </row>
    <row r="2066" spans="1:9" x14ac:dyDescent="0.3">
      <c r="A2066">
        <v>43</v>
      </c>
      <c r="B2066">
        <v>1</v>
      </c>
      <c r="C2066">
        <v>1</v>
      </c>
      <c r="D2066">
        <v>8</v>
      </c>
      <c r="E2066" t="s">
        <v>9</v>
      </c>
      <c r="F2066" t="s">
        <v>3554</v>
      </c>
      <c r="G2066" t="s">
        <v>3555</v>
      </c>
      <c r="H2066">
        <v>2.9020000000000001</v>
      </c>
      <c r="I2066" t="s">
        <v>12</v>
      </c>
    </row>
    <row r="2067" spans="1:9" x14ac:dyDescent="0.3">
      <c r="A2067">
        <v>43</v>
      </c>
      <c r="B2067">
        <v>1</v>
      </c>
      <c r="C2067">
        <v>1</v>
      </c>
      <c r="D2067">
        <v>8</v>
      </c>
      <c r="E2067" t="s">
        <v>19</v>
      </c>
      <c r="F2067" t="s">
        <v>3556</v>
      </c>
      <c r="I2067" t="s">
        <v>21</v>
      </c>
    </row>
    <row r="2068" spans="1:9" x14ac:dyDescent="0.3">
      <c r="A2068">
        <v>43</v>
      </c>
      <c r="B2068">
        <v>1</v>
      </c>
      <c r="C2068">
        <v>1</v>
      </c>
      <c r="D2068">
        <v>9</v>
      </c>
      <c r="E2068" t="s">
        <v>22</v>
      </c>
      <c r="F2068" t="s">
        <v>3557</v>
      </c>
      <c r="G2068" t="s">
        <v>3558</v>
      </c>
      <c r="H2068">
        <v>1.82</v>
      </c>
      <c r="I2068" t="s">
        <v>21</v>
      </c>
    </row>
    <row r="2069" spans="1:9" x14ac:dyDescent="0.3">
      <c r="A2069">
        <v>43</v>
      </c>
      <c r="B2069">
        <v>1</v>
      </c>
      <c r="C2069">
        <v>1</v>
      </c>
      <c r="D2069">
        <v>9</v>
      </c>
      <c r="E2069" t="s">
        <v>22</v>
      </c>
      <c r="F2069" t="s">
        <v>3559</v>
      </c>
      <c r="G2069" t="s">
        <v>3560</v>
      </c>
      <c r="H2069">
        <v>2.2679999999999998</v>
      </c>
      <c r="I2069" t="s">
        <v>21</v>
      </c>
    </row>
    <row r="2070" spans="1:9" x14ac:dyDescent="0.3">
      <c r="A2070">
        <v>43</v>
      </c>
      <c r="B2070">
        <v>1</v>
      </c>
      <c r="C2070">
        <v>1</v>
      </c>
      <c r="D2070">
        <v>9</v>
      </c>
      <c r="E2070" t="s">
        <v>9</v>
      </c>
      <c r="F2070" t="s">
        <v>3561</v>
      </c>
      <c r="G2070" t="s">
        <v>3562</v>
      </c>
      <c r="H2070">
        <v>2.0019999999999998</v>
      </c>
      <c r="I2070" t="s">
        <v>12</v>
      </c>
    </row>
    <row r="2071" spans="1:9" x14ac:dyDescent="0.3">
      <c r="A2071">
        <v>43</v>
      </c>
      <c r="B2071">
        <v>1</v>
      </c>
      <c r="C2071">
        <v>1</v>
      </c>
      <c r="D2071">
        <v>9</v>
      </c>
      <c r="E2071" t="s">
        <v>9</v>
      </c>
      <c r="F2071" t="s">
        <v>3563</v>
      </c>
      <c r="G2071" t="s">
        <v>3564</v>
      </c>
      <c r="H2071">
        <v>3.4350000000000001</v>
      </c>
      <c r="I2071" t="s">
        <v>12</v>
      </c>
    </row>
    <row r="2072" spans="1:9" x14ac:dyDescent="0.3">
      <c r="A2072">
        <v>43</v>
      </c>
      <c r="B2072">
        <v>1</v>
      </c>
      <c r="C2072">
        <v>1</v>
      </c>
      <c r="D2072">
        <v>9</v>
      </c>
      <c r="E2072" t="s">
        <v>19</v>
      </c>
      <c r="F2072" t="s">
        <v>3565</v>
      </c>
      <c r="I2072" t="s">
        <v>21</v>
      </c>
    </row>
    <row r="2073" spans="1:9" x14ac:dyDescent="0.3">
      <c r="A2073">
        <v>43</v>
      </c>
      <c r="B2073">
        <v>1</v>
      </c>
      <c r="C2073">
        <v>1</v>
      </c>
      <c r="D2073">
        <v>10</v>
      </c>
      <c r="E2073" t="s">
        <v>9</v>
      </c>
      <c r="F2073" t="s">
        <v>3566</v>
      </c>
      <c r="G2073" t="s">
        <v>3567</v>
      </c>
      <c r="H2073">
        <v>1.7529999999999999</v>
      </c>
      <c r="I2073" t="s">
        <v>12</v>
      </c>
    </row>
    <row r="2074" spans="1:9" x14ac:dyDescent="0.3">
      <c r="A2074">
        <v>43</v>
      </c>
      <c r="B2074">
        <v>1</v>
      </c>
      <c r="C2074">
        <v>1</v>
      </c>
      <c r="D2074">
        <v>10</v>
      </c>
      <c r="E2074" t="s">
        <v>9</v>
      </c>
      <c r="F2074" t="s">
        <v>5376</v>
      </c>
      <c r="G2074" t="s">
        <v>5377</v>
      </c>
      <c r="H2074">
        <v>2.101</v>
      </c>
      <c r="I2074" t="s">
        <v>12</v>
      </c>
    </row>
    <row r="2075" spans="1:9" x14ac:dyDescent="0.3">
      <c r="A2075">
        <v>43</v>
      </c>
      <c r="B2075">
        <v>5</v>
      </c>
      <c r="C2075">
        <v>1</v>
      </c>
      <c r="D2075">
        <v>1</v>
      </c>
      <c r="E2075" t="s">
        <v>9</v>
      </c>
      <c r="F2075" t="s">
        <v>3568</v>
      </c>
      <c r="G2075" t="s">
        <v>3569</v>
      </c>
      <c r="H2075">
        <v>1.851</v>
      </c>
      <c r="I2075" t="s">
        <v>12</v>
      </c>
    </row>
    <row r="2076" spans="1:9" x14ac:dyDescent="0.3">
      <c r="A2076">
        <v>43</v>
      </c>
      <c r="B2076">
        <v>5</v>
      </c>
      <c r="C2076">
        <v>1</v>
      </c>
      <c r="D2076">
        <v>1</v>
      </c>
      <c r="E2076" t="s">
        <v>22</v>
      </c>
      <c r="F2076" t="s">
        <v>3570</v>
      </c>
      <c r="G2076" t="s">
        <v>3571</v>
      </c>
      <c r="H2076">
        <v>1.4</v>
      </c>
      <c r="I2076" t="s">
        <v>21</v>
      </c>
    </row>
    <row r="2077" spans="1:9" x14ac:dyDescent="0.3">
      <c r="A2077">
        <v>43</v>
      </c>
      <c r="B2077">
        <v>5</v>
      </c>
      <c r="C2077">
        <v>1</v>
      </c>
      <c r="D2077">
        <v>1</v>
      </c>
      <c r="E2077" t="s">
        <v>9</v>
      </c>
      <c r="F2077" t="s">
        <v>3572</v>
      </c>
      <c r="G2077" t="s">
        <v>3573</v>
      </c>
      <c r="H2077">
        <v>2.2679999999999998</v>
      </c>
      <c r="I2077" t="s">
        <v>12</v>
      </c>
    </row>
    <row r="2078" spans="1:9" x14ac:dyDescent="0.3">
      <c r="A2078">
        <v>43</v>
      </c>
      <c r="B2078">
        <v>5</v>
      </c>
      <c r="C2078">
        <v>1</v>
      </c>
      <c r="D2078">
        <v>1</v>
      </c>
      <c r="E2078" t="s">
        <v>19</v>
      </c>
      <c r="F2078" t="s">
        <v>3574</v>
      </c>
      <c r="I2078" t="s">
        <v>21</v>
      </c>
    </row>
    <row r="2079" spans="1:9" x14ac:dyDescent="0.3">
      <c r="A2079">
        <v>43</v>
      </c>
      <c r="B2079">
        <v>5</v>
      </c>
      <c r="C2079">
        <v>1</v>
      </c>
      <c r="D2079">
        <v>2</v>
      </c>
      <c r="E2079" t="s">
        <v>9</v>
      </c>
      <c r="F2079" t="s">
        <v>3575</v>
      </c>
      <c r="G2079" t="s">
        <v>3576</v>
      </c>
      <c r="H2079">
        <v>1.752</v>
      </c>
      <c r="I2079" t="s">
        <v>12</v>
      </c>
    </row>
    <row r="2080" spans="1:9" x14ac:dyDescent="0.3">
      <c r="A2080">
        <v>43</v>
      </c>
      <c r="B2080">
        <v>5</v>
      </c>
      <c r="C2080">
        <v>1</v>
      </c>
      <c r="D2080">
        <v>2</v>
      </c>
      <c r="E2080" t="s">
        <v>19</v>
      </c>
      <c r="F2080" t="s">
        <v>3577</v>
      </c>
      <c r="I2080" t="s">
        <v>34</v>
      </c>
    </row>
    <row r="2081" spans="1:9" x14ac:dyDescent="0.3">
      <c r="A2081">
        <v>43</v>
      </c>
      <c r="B2081">
        <v>5</v>
      </c>
      <c r="C2081">
        <v>1</v>
      </c>
      <c r="D2081">
        <v>3</v>
      </c>
      <c r="E2081" t="s">
        <v>22</v>
      </c>
      <c r="F2081" t="s">
        <v>3578</v>
      </c>
      <c r="G2081" t="s">
        <v>3579</v>
      </c>
      <c r="H2081">
        <v>2.1520000000000001</v>
      </c>
      <c r="I2081" t="s">
        <v>21</v>
      </c>
    </row>
    <row r="2082" spans="1:9" x14ac:dyDescent="0.3">
      <c r="A2082">
        <v>43</v>
      </c>
      <c r="B2082">
        <v>5</v>
      </c>
      <c r="C2082">
        <v>1</v>
      </c>
      <c r="D2082">
        <v>3</v>
      </c>
      <c r="E2082" t="s">
        <v>9</v>
      </c>
      <c r="F2082" t="s">
        <v>3580</v>
      </c>
      <c r="G2082" t="s">
        <v>3581</v>
      </c>
      <c r="H2082">
        <v>2.3679999999999999</v>
      </c>
      <c r="I2082" t="s">
        <v>12</v>
      </c>
    </row>
    <row r="2083" spans="1:9" x14ac:dyDescent="0.3">
      <c r="A2083">
        <v>43</v>
      </c>
      <c r="B2083">
        <v>5</v>
      </c>
      <c r="C2083">
        <v>1</v>
      </c>
      <c r="D2083">
        <v>3</v>
      </c>
      <c r="E2083" t="s">
        <v>19</v>
      </c>
      <c r="F2083" t="s">
        <v>3582</v>
      </c>
      <c r="I2083" t="s">
        <v>21</v>
      </c>
    </row>
    <row r="2084" spans="1:9" x14ac:dyDescent="0.3">
      <c r="A2084">
        <v>43</v>
      </c>
      <c r="B2084">
        <v>5</v>
      </c>
      <c r="C2084">
        <v>1</v>
      </c>
      <c r="D2084">
        <v>3</v>
      </c>
      <c r="E2084" t="s">
        <v>9</v>
      </c>
      <c r="F2084" t="s">
        <v>3583</v>
      </c>
      <c r="G2084" t="s">
        <v>3584</v>
      </c>
      <c r="H2084">
        <v>1.9670000000000001</v>
      </c>
      <c r="I2084" t="s">
        <v>12</v>
      </c>
    </row>
    <row r="2085" spans="1:9" x14ac:dyDescent="0.3">
      <c r="A2085">
        <v>43</v>
      </c>
      <c r="B2085">
        <v>5</v>
      </c>
      <c r="C2085">
        <v>1</v>
      </c>
      <c r="D2085">
        <v>3</v>
      </c>
      <c r="E2085" t="s">
        <v>19</v>
      </c>
      <c r="F2085" t="s">
        <v>3585</v>
      </c>
      <c r="I2085" t="s">
        <v>34</v>
      </c>
    </row>
    <row r="2086" spans="1:9" x14ac:dyDescent="0.3">
      <c r="A2086">
        <v>43</v>
      </c>
      <c r="B2086">
        <v>5</v>
      </c>
      <c r="C2086">
        <v>1</v>
      </c>
      <c r="D2086">
        <v>4</v>
      </c>
      <c r="E2086" t="s">
        <v>22</v>
      </c>
      <c r="F2086" t="s">
        <v>3586</v>
      </c>
      <c r="G2086" t="s">
        <v>3587</v>
      </c>
      <c r="H2086">
        <v>1.385</v>
      </c>
      <c r="I2086" t="s">
        <v>21</v>
      </c>
    </row>
    <row r="2087" spans="1:9" x14ac:dyDescent="0.3">
      <c r="A2087">
        <v>43</v>
      </c>
      <c r="B2087">
        <v>5</v>
      </c>
      <c r="C2087">
        <v>1</v>
      </c>
      <c r="D2087">
        <v>4</v>
      </c>
      <c r="E2087" t="s">
        <v>22</v>
      </c>
      <c r="F2087" t="s">
        <v>3588</v>
      </c>
      <c r="G2087" t="s">
        <v>3589</v>
      </c>
      <c r="H2087">
        <v>1.5349999999999999</v>
      </c>
      <c r="I2087" t="s">
        <v>21</v>
      </c>
    </row>
    <row r="2088" spans="1:9" x14ac:dyDescent="0.3">
      <c r="A2088">
        <v>43</v>
      </c>
      <c r="B2088">
        <v>5</v>
      </c>
      <c r="C2088">
        <v>1</v>
      </c>
      <c r="D2088">
        <v>4</v>
      </c>
      <c r="E2088" t="s">
        <v>19</v>
      </c>
      <c r="F2088" t="s">
        <v>3590</v>
      </c>
      <c r="I2088" t="s">
        <v>21</v>
      </c>
    </row>
    <row r="2089" spans="1:9" x14ac:dyDescent="0.3">
      <c r="A2089">
        <v>43</v>
      </c>
      <c r="B2089">
        <v>5</v>
      </c>
      <c r="C2089">
        <v>1</v>
      </c>
      <c r="D2089">
        <v>4</v>
      </c>
      <c r="E2089" t="s">
        <v>9</v>
      </c>
      <c r="F2089" t="s">
        <v>3591</v>
      </c>
      <c r="G2089" t="s">
        <v>3592</v>
      </c>
      <c r="H2089">
        <v>2.2010000000000001</v>
      </c>
      <c r="I2089" t="s">
        <v>12</v>
      </c>
    </row>
    <row r="2090" spans="1:9" x14ac:dyDescent="0.3">
      <c r="A2090">
        <v>43</v>
      </c>
      <c r="B2090">
        <v>5</v>
      </c>
      <c r="C2090">
        <v>1</v>
      </c>
      <c r="D2090">
        <v>4</v>
      </c>
      <c r="E2090" t="s">
        <v>9</v>
      </c>
      <c r="F2090" t="s">
        <v>3593</v>
      </c>
      <c r="G2090" t="s">
        <v>3594</v>
      </c>
      <c r="H2090">
        <v>1.6020000000000001</v>
      </c>
      <c r="I2090" t="s">
        <v>12</v>
      </c>
    </row>
    <row r="2091" spans="1:9" x14ac:dyDescent="0.3">
      <c r="A2091">
        <v>43</v>
      </c>
      <c r="B2091">
        <v>5</v>
      </c>
      <c r="C2091">
        <v>1</v>
      </c>
      <c r="D2091">
        <v>4</v>
      </c>
      <c r="E2091" t="s">
        <v>19</v>
      </c>
      <c r="F2091" t="s">
        <v>3595</v>
      </c>
      <c r="I2091" t="s">
        <v>34</v>
      </c>
    </row>
    <row r="2092" spans="1:9" x14ac:dyDescent="0.3">
      <c r="A2092">
        <v>43</v>
      </c>
      <c r="B2092">
        <v>5</v>
      </c>
      <c r="C2092">
        <v>1</v>
      </c>
      <c r="D2092">
        <v>4</v>
      </c>
      <c r="E2092" t="s">
        <v>19</v>
      </c>
      <c r="F2092" t="s">
        <v>3596</v>
      </c>
      <c r="I2092" t="s">
        <v>21</v>
      </c>
    </row>
    <row r="2093" spans="1:9" x14ac:dyDescent="0.3">
      <c r="A2093">
        <v>43</v>
      </c>
      <c r="B2093">
        <v>5</v>
      </c>
      <c r="C2093">
        <v>1</v>
      </c>
      <c r="D2093">
        <v>4</v>
      </c>
      <c r="E2093" t="s">
        <v>9</v>
      </c>
      <c r="F2093" t="s">
        <v>3597</v>
      </c>
      <c r="G2093" t="s">
        <v>3598</v>
      </c>
      <c r="H2093">
        <v>1.6679999999999999</v>
      </c>
      <c r="I2093" t="s">
        <v>12</v>
      </c>
    </row>
    <row r="2094" spans="1:9" x14ac:dyDescent="0.3">
      <c r="A2094">
        <v>43</v>
      </c>
      <c r="B2094">
        <v>5</v>
      </c>
      <c r="C2094">
        <v>1</v>
      </c>
      <c r="D2094">
        <v>4</v>
      </c>
      <c r="E2094" t="s">
        <v>19</v>
      </c>
      <c r="F2094" t="s">
        <v>3599</v>
      </c>
      <c r="I2094" t="s">
        <v>21</v>
      </c>
    </row>
    <row r="2095" spans="1:9" x14ac:dyDescent="0.3">
      <c r="A2095">
        <v>43</v>
      </c>
      <c r="B2095">
        <v>5</v>
      </c>
      <c r="C2095">
        <v>1</v>
      </c>
      <c r="D2095">
        <v>4</v>
      </c>
      <c r="E2095" t="s">
        <v>9</v>
      </c>
      <c r="F2095" t="s">
        <v>3600</v>
      </c>
      <c r="G2095" t="s">
        <v>3601</v>
      </c>
      <c r="H2095">
        <v>1.7010000000000001</v>
      </c>
      <c r="I2095" t="s">
        <v>12</v>
      </c>
    </row>
    <row r="2096" spans="1:9" x14ac:dyDescent="0.3">
      <c r="A2096">
        <v>43</v>
      </c>
      <c r="B2096">
        <v>5</v>
      </c>
      <c r="C2096">
        <v>1</v>
      </c>
      <c r="D2096">
        <v>4</v>
      </c>
      <c r="E2096" t="s">
        <v>19</v>
      </c>
      <c r="F2096" t="s">
        <v>3602</v>
      </c>
      <c r="I2096" t="s">
        <v>21</v>
      </c>
    </row>
    <row r="2097" spans="1:9" x14ac:dyDescent="0.3">
      <c r="A2097">
        <v>43</v>
      </c>
      <c r="B2097">
        <v>5</v>
      </c>
      <c r="C2097">
        <v>2</v>
      </c>
      <c r="D2097">
        <v>1</v>
      </c>
      <c r="E2097" t="s">
        <v>9</v>
      </c>
      <c r="F2097" t="s">
        <v>3603</v>
      </c>
      <c r="G2097" t="s">
        <v>3604</v>
      </c>
      <c r="H2097">
        <v>2.718</v>
      </c>
      <c r="I2097" t="s">
        <v>12</v>
      </c>
    </row>
    <row r="2098" spans="1:9" x14ac:dyDescent="0.3">
      <c r="A2098">
        <v>43</v>
      </c>
      <c r="B2098">
        <v>5</v>
      </c>
      <c r="C2098">
        <v>2</v>
      </c>
      <c r="D2098">
        <v>1</v>
      </c>
      <c r="E2098" t="s">
        <v>22</v>
      </c>
      <c r="F2098" t="s">
        <v>3605</v>
      </c>
      <c r="G2098" t="s">
        <v>3606</v>
      </c>
      <c r="H2098">
        <v>1.466</v>
      </c>
      <c r="I2098" t="s">
        <v>21</v>
      </c>
    </row>
    <row r="2099" spans="1:9" x14ac:dyDescent="0.3">
      <c r="A2099">
        <v>43</v>
      </c>
      <c r="B2099">
        <v>5</v>
      </c>
      <c r="C2099">
        <v>2</v>
      </c>
      <c r="D2099">
        <v>1</v>
      </c>
      <c r="E2099" t="s">
        <v>19</v>
      </c>
      <c r="F2099" t="s">
        <v>3607</v>
      </c>
      <c r="I2099" t="s">
        <v>34</v>
      </c>
    </row>
    <row r="2100" spans="1:9" x14ac:dyDescent="0.3">
      <c r="A2100">
        <v>43</v>
      </c>
      <c r="B2100">
        <v>5</v>
      </c>
      <c r="C2100">
        <v>2</v>
      </c>
      <c r="D2100">
        <v>1</v>
      </c>
      <c r="E2100" t="s">
        <v>22</v>
      </c>
      <c r="F2100" t="s">
        <v>3608</v>
      </c>
      <c r="G2100" t="s">
        <v>3609</v>
      </c>
      <c r="H2100">
        <v>1.867</v>
      </c>
      <c r="I2100" t="s">
        <v>21</v>
      </c>
    </row>
    <row r="2101" spans="1:9" x14ac:dyDescent="0.3">
      <c r="A2101">
        <v>43</v>
      </c>
      <c r="B2101">
        <v>5</v>
      </c>
      <c r="C2101">
        <v>2</v>
      </c>
      <c r="D2101">
        <v>1</v>
      </c>
      <c r="E2101" t="s">
        <v>9</v>
      </c>
      <c r="F2101" t="s">
        <v>3610</v>
      </c>
      <c r="G2101" t="s">
        <v>3611</v>
      </c>
      <c r="H2101">
        <v>2.1339999999999999</v>
      </c>
      <c r="I2101" t="s">
        <v>12</v>
      </c>
    </row>
    <row r="2102" spans="1:9" x14ac:dyDescent="0.3">
      <c r="A2102">
        <v>43</v>
      </c>
      <c r="B2102">
        <v>5</v>
      </c>
      <c r="C2102">
        <v>2</v>
      </c>
      <c r="D2102">
        <v>1</v>
      </c>
      <c r="E2102" t="s">
        <v>19</v>
      </c>
      <c r="F2102" t="s">
        <v>3612</v>
      </c>
      <c r="I2102" t="s">
        <v>21</v>
      </c>
    </row>
    <row r="2103" spans="1:9" x14ac:dyDescent="0.3">
      <c r="A2103">
        <v>43</v>
      </c>
      <c r="B2103">
        <v>5</v>
      </c>
      <c r="C2103">
        <v>2</v>
      </c>
      <c r="D2103">
        <v>1</v>
      </c>
      <c r="E2103" t="s">
        <v>9</v>
      </c>
      <c r="F2103" t="s">
        <v>3613</v>
      </c>
      <c r="H2103" t="s">
        <v>81</v>
      </c>
      <c r="I2103" t="s">
        <v>34</v>
      </c>
    </row>
    <row r="2104" spans="1:9" x14ac:dyDescent="0.3">
      <c r="A2104">
        <v>43</v>
      </c>
      <c r="B2104">
        <v>5</v>
      </c>
      <c r="C2104">
        <v>2</v>
      </c>
      <c r="D2104">
        <v>1</v>
      </c>
      <c r="E2104" t="s">
        <v>9</v>
      </c>
      <c r="F2104" t="s">
        <v>3614</v>
      </c>
      <c r="H2104" t="s">
        <v>81</v>
      </c>
      <c r="I2104" t="s">
        <v>34</v>
      </c>
    </row>
    <row r="2105" spans="1:9" x14ac:dyDescent="0.3">
      <c r="A2105">
        <v>43</v>
      </c>
      <c r="B2105">
        <v>5</v>
      </c>
      <c r="C2105">
        <v>2</v>
      </c>
      <c r="D2105">
        <v>1</v>
      </c>
      <c r="E2105" t="s">
        <v>19</v>
      </c>
      <c r="F2105" t="s">
        <v>3615</v>
      </c>
      <c r="I2105" t="s">
        <v>21</v>
      </c>
    </row>
    <row r="2106" spans="1:9" x14ac:dyDescent="0.3">
      <c r="A2106">
        <v>43</v>
      </c>
      <c r="B2106">
        <v>5</v>
      </c>
      <c r="C2106">
        <v>2</v>
      </c>
      <c r="D2106">
        <v>1</v>
      </c>
      <c r="E2106" t="s">
        <v>19</v>
      </c>
      <c r="F2106" t="s">
        <v>3616</v>
      </c>
      <c r="I2106" t="s">
        <v>21</v>
      </c>
    </row>
    <row r="2107" spans="1:9" x14ac:dyDescent="0.3">
      <c r="A2107">
        <v>43</v>
      </c>
      <c r="B2107">
        <v>5</v>
      </c>
      <c r="C2107">
        <v>3</v>
      </c>
      <c r="D2107">
        <v>1</v>
      </c>
      <c r="E2107" t="s">
        <v>22</v>
      </c>
      <c r="F2107" t="s">
        <v>3617</v>
      </c>
      <c r="G2107" t="s">
        <v>3618</v>
      </c>
      <c r="H2107">
        <v>8.5579999999999998</v>
      </c>
      <c r="I2107" t="s">
        <v>21</v>
      </c>
    </row>
    <row r="2108" spans="1:9" x14ac:dyDescent="0.3">
      <c r="A2108">
        <v>43</v>
      </c>
      <c r="B2108">
        <v>5</v>
      </c>
      <c r="C2108">
        <v>3</v>
      </c>
      <c r="D2108">
        <v>1</v>
      </c>
      <c r="E2108" t="s">
        <v>22</v>
      </c>
      <c r="F2108" t="s">
        <v>3619</v>
      </c>
      <c r="G2108" t="s">
        <v>3620</v>
      </c>
      <c r="H2108">
        <v>1.7010000000000001</v>
      </c>
      <c r="I2108" t="s">
        <v>21</v>
      </c>
    </row>
    <row r="2109" spans="1:9" x14ac:dyDescent="0.3">
      <c r="A2109">
        <v>43</v>
      </c>
      <c r="B2109">
        <v>5</v>
      </c>
      <c r="C2109">
        <v>3</v>
      </c>
      <c r="D2109">
        <v>1</v>
      </c>
      <c r="E2109" t="s">
        <v>9</v>
      </c>
      <c r="F2109" t="s">
        <v>3621</v>
      </c>
      <c r="G2109" t="s">
        <v>3622</v>
      </c>
      <c r="H2109">
        <v>3.0009999999999999</v>
      </c>
      <c r="I2109" t="s">
        <v>12</v>
      </c>
    </row>
    <row r="2110" spans="1:9" x14ac:dyDescent="0.3">
      <c r="A2110">
        <v>43</v>
      </c>
      <c r="B2110">
        <v>5</v>
      </c>
      <c r="C2110">
        <v>3</v>
      </c>
      <c r="D2110">
        <v>1</v>
      </c>
      <c r="E2110" t="s">
        <v>19</v>
      </c>
      <c r="F2110" t="s">
        <v>3623</v>
      </c>
      <c r="I2110" t="s">
        <v>34</v>
      </c>
    </row>
    <row r="2111" spans="1:9" x14ac:dyDescent="0.3">
      <c r="A2111">
        <v>43</v>
      </c>
      <c r="B2111">
        <v>5</v>
      </c>
      <c r="C2111">
        <v>3</v>
      </c>
      <c r="D2111">
        <v>1</v>
      </c>
      <c r="E2111" t="s">
        <v>9</v>
      </c>
      <c r="F2111" t="s">
        <v>3624</v>
      </c>
      <c r="G2111" t="s">
        <v>3625</v>
      </c>
      <c r="H2111">
        <v>1.768</v>
      </c>
      <c r="I2111" t="s">
        <v>12</v>
      </c>
    </row>
    <row r="2112" spans="1:9" x14ac:dyDescent="0.3">
      <c r="A2112">
        <v>43</v>
      </c>
      <c r="B2112">
        <v>5</v>
      </c>
      <c r="C2112">
        <v>3</v>
      </c>
      <c r="D2112">
        <v>1</v>
      </c>
      <c r="E2112" t="s">
        <v>19</v>
      </c>
      <c r="F2112" t="s">
        <v>3626</v>
      </c>
      <c r="I2112" t="s">
        <v>34</v>
      </c>
    </row>
    <row r="2113" spans="1:9" x14ac:dyDescent="0.3">
      <c r="A2113">
        <v>43</v>
      </c>
      <c r="B2113">
        <v>5</v>
      </c>
      <c r="C2113">
        <v>3</v>
      </c>
      <c r="D2113">
        <v>1</v>
      </c>
      <c r="E2113" t="s">
        <v>19</v>
      </c>
      <c r="F2113" t="s">
        <v>3627</v>
      </c>
      <c r="I2113" t="s">
        <v>21</v>
      </c>
    </row>
    <row r="2114" spans="1:9" x14ac:dyDescent="0.3">
      <c r="A2114">
        <v>43</v>
      </c>
      <c r="B2114">
        <v>5</v>
      </c>
      <c r="C2114">
        <v>3</v>
      </c>
      <c r="D2114">
        <v>1</v>
      </c>
      <c r="E2114" t="s">
        <v>9</v>
      </c>
      <c r="F2114" t="s">
        <v>3628</v>
      </c>
      <c r="G2114" t="s">
        <v>3629</v>
      </c>
      <c r="H2114">
        <v>1.917</v>
      </c>
      <c r="I2114" t="s">
        <v>12</v>
      </c>
    </row>
    <row r="2115" spans="1:9" x14ac:dyDescent="0.3">
      <c r="A2115">
        <v>43</v>
      </c>
      <c r="B2115">
        <v>5</v>
      </c>
      <c r="C2115">
        <v>3</v>
      </c>
      <c r="D2115">
        <v>1</v>
      </c>
      <c r="E2115" t="s">
        <v>9</v>
      </c>
      <c r="F2115" t="s">
        <v>3630</v>
      </c>
      <c r="G2115" t="s">
        <v>3631</v>
      </c>
      <c r="H2115">
        <v>1.601</v>
      </c>
      <c r="I2115" t="s">
        <v>12</v>
      </c>
    </row>
    <row r="2116" spans="1:9" x14ac:dyDescent="0.3">
      <c r="A2116">
        <v>43</v>
      </c>
      <c r="B2116">
        <v>5</v>
      </c>
      <c r="C2116">
        <v>3</v>
      </c>
      <c r="D2116">
        <v>1</v>
      </c>
      <c r="E2116" t="s">
        <v>19</v>
      </c>
      <c r="F2116" t="s">
        <v>3632</v>
      </c>
      <c r="I2116" t="s">
        <v>34</v>
      </c>
    </row>
    <row r="2117" spans="1:9" x14ac:dyDescent="0.3">
      <c r="A2117">
        <v>43</v>
      </c>
      <c r="B2117">
        <v>5</v>
      </c>
      <c r="C2117">
        <v>3</v>
      </c>
      <c r="D2117">
        <v>1</v>
      </c>
      <c r="E2117" t="s">
        <v>19</v>
      </c>
      <c r="F2117" t="s">
        <v>3633</v>
      </c>
      <c r="I2117" t="s">
        <v>21</v>
      </c>
    </row>
    <row r="2118" spans="1:9" x14ac:dyDescent="0.3">
      <c r="A2118">
        <v>43</v>
      </c>
      <c r="B2118">
        <v>5</v>
      </c>
      <c r="C2118">
        <v>3</v>
      </c>
      <c r="D2118">
        <v>2</v>
      </c>
      <c r="E2118" t="s">
        <v>22</v>
      </c>
      <c r="F2118" t="s">
        <v>3634</v>
      </c>
      <c r="G2118" t="s">
        <v>3635</v>
      </c>
      <c r="H2118">
        <v>2.2519999999999998</v>
      </c>
      <c r="I2118" t="s">
        <v>21</v>
      </c>
    </row>
    <row r="2119" spans="1:9" x14ac:dyDescent="0.3">
      <c r="A2119">
        <v>43</v>
      </c>
      <c r="B2119">
        <v>5</v>
      </c>
      <c r="C2119">
        <v>3</v>
      </c>
      <c r="D2119">
        <v>2</v>
      </c>
      <c r="E2119" t="s">
        <v>22</v>
      </c>
      <c r="F2119" t="s">
        <v>3636</v>
      </c>
      <c r="G2119" t="s">
        <v>3637</v>
      </c>
      <c r="H2119">
        <v>1.3340000000000001</v>
      </c>
      <c r="I2119" t="s">
        <v>21</v>
      </c>
    </row>
    <row r="2120" spans="1:9" x14ac:dyDescent="0.3">
      <c r="A2120">
        <v>43</v>
      </c>
      <c r="B2120">
        <v>5</v>
      </c>
      <c r="C2120">
        <v>3</v>
      </c>
      <c r="D2120">
        <v>2</v>
      </c>
      <c r="E2120" t="s">
        <v>19</v>
      </c>
      <c r="F2120" t="s">
        <v>3638</v>
      </c>
      <c r="I2120" t="s">
        <v>21</v>
      </c>
    </row>
    <row r="2121" spans="1:9" x14ac:dyDescent="0.3">
      <c r="A2121">
        <v>43</v>
      </c>
      <c r="B2121">
        <v>5</v>
      </c>
      <c r="C2121">
        <v>3</v>
      </c>
      <c r="D2121">
        <v>2</v>
      </c>
      <c r="E2121" t="s">
        <v>9</v>
      </c>
      <c r="F2121" t="s">
        <v>3639</v>
      </c>
      <c r="G2121" t="s">
        <v>3640</v>
      </c>
      <c r="H2121">
        <v>1.768</v>
      </c>
      <c r="I2121" t="s">
        <v>12</v>
      </c>
    </row>
    <row r="2122" spans="1:9" x14ac:dyDescent="0.3">
      <c r="A2122">
        <v>43</v>
      </c>
      <c r="B2122">
        <v>5</v>
      </c>
      <c r="C2122">
        <v>3</v>
      </c>
      <c r="D2122">
        <v>2</v>
      </c>
      <c r="E2122" t="s">
        <v>19</v>
      </c>
      <c r="F2122" t="s">
        <v>3641</v>
      </c>
      <c r="I2122" t="s">
        <v>21</v>
      </c>
    </row>
    <row r="2123" spans="1:9" x14ac:dyDescent="0.3">
      <c r="A2123">
        <v>43</v>
      </c>
      <c r="B2123">
        <v>5</v>
      </c>
      <c r="C2123">
        <v>3</v>
      </c>
      <c r="D2123">
        <v>2</v>
      </c>
      <c r="E2123" t="s">
        <v>9</v>
      </c>
      <c r="F2123" t="s">
        <v>3642</v>
      </c>
      <c r="G2123" t="s">
        <v>3643</v>
      </c>
      <c r="H2123">
        <v>2.101</v>
      </c>
      <c r="I2123" t="s">
        <v>12</v>
      </c>
    </row>
    <row r="2124" spans="1:9" x14ac:dyDescent="0.3">
      <c r="A2124">
        <v>43</v>
      </c>
      <c r="B2124">
        <v>5</v>
      </c>
      <c r="C2124">
        <v>3</v>
      </c>
      <c r="D2124">
        <v>2</v>
      </c>
      <c r="E2124" t="s">
        <v>19</v>
      </c>
      <c r="F2124" t="s">
        <v>3644</v>
      </c>
      <c r="I2124" t="s">
        <v>21</v>
      </c>
    </row>
    <row r="2125" spans="1:9" x14ac:dyDescent="0.3">
      <c r="A2125">
        <v>43</v>
      </c>
      <c r="B2125">
        <v>5</v>
      </c>
      <c r="C2125">
        <v>3</v>
      </c>
      <c r="D2125">
        <v>2</v>
      </c>
      <c r="E2125" t="s">
        <v>9</v>
      </c>
      <c r="F2125" t="s">
        <v>3645</v>
      </c>
      <c r="G2125" t="s">
        <v>3646</v>
      </c>
      <c r="H2125">
        <v>2.0009999999999999</v>
      </c>
      <c r="I2125" t="s">
        <v>12</v>
      </c>
    </row>
    <row r="2126" spans="1:9" x14ac:dyDescent="0.3">
      <c r="A2126">
        <v>43</v>
      </c>
      <c r="B2126">
        <v>5</v>
      </c>
      <c r="C2126">
        <v>3</v>
      </c>
      <c r="D2126">
        <v>2</v>
      </c>
      <c r="E2126" t="s">
        <v>19</v>
      </c>
      <c r="F2126" t="s">
        <v>3647</v>
      </c>
      <c r="I2126" t="s">
        <v>21</v>
      </c>
    </row>
    <row r="2127" spans="1:9" x14ac:dyDescent="0.3">
      <c r="A2127">
        <v>43</v>
      </c>
      <c r="B2127">
        <v>5</v>
      </c>
      <c r="C2127">
        <v>3</v>
      </c>
      <c r="D2127">
        <v>2</v>
      </c>
      <c r="E2127" t="s">
        <v>9</v>
      </c>
      <c r="F2127" t="s">
        <v>3648</v>
      </c>
      <c r="G2127" t="s">
        <v>3649</v>
      </c>
      <c r="H2127">
        <v>1.7</v>
      </c>
      <c r="I2127" t="s">
        <v>12</v>
      </c>
    </row>
    <row r="2128" spans="1:9" x14ac:dyDescent="0.3">
      <c r="A2128">
        <v>43</v>
      </c>
      <c r="B2128">
        <v>5</v>
      </c>
      <c r="C2128">
        <v>3</v>
      </c>
      <c r="D2128">
        <v>2</v>
      </c>
      <c r="E2128" t="s">
        <v>19</v>
      </c>
      <c r="F2128" t="s">
        <v>3650</v>
      </c>
      <c r="I2128" t="s">
        <v>21</v>
      </c>
    </row>
    <row r="2129" spans="1:9" x14ac:dyDescent="0.3">
      <c r="A2129">
        <v>44</v>
      </c>
      <c r="B2129">
        <v>1</v>
      </c>
      <c r="C2129">
        <v>1</v>
      </c>
      <c r="D2129">
        <v>1</v>
      </c>
      <c r="E2129" t="s">
        <v>9</v>
      </c>
      <c r="F2129" t="s">
        <v>3651</v>
      </c>
      <c r="G2129" t="s">
        <v>3652</v>
      </c>
      <c r="H2129">
        <v>2.2189999999999999</v>
      </c>
      <c r="I2129" t="s">
        <v>12</v>
      </c>
    </row>
    <row r="2130" spans="1:9" x14ac:dyDescent="0.3">
      <c r="A2130">
        <v>44</v>
      </c>
      <c r="B2130">
        <v>1</v>
      </c>
      <c r="C2130">
        <v>2</v>
      </c>
      <c r="D2130">
        <v>1</v>
      </c>
      <c r="E2130" t="s">
        <v>9</v>
      </c>
      <c r="F2130" t="s">
        <v>3653</v>
      </c>
      <c r="H2130" t="s">
        <v>81</v>
      </c>
      <c r="I2130" t="s">
        <v>34</v>
      </c>
    </row>
    <row r="2131" spans="1:9" x14ac:dyDescent="0.3">
      <c r="A2131">
        <v>44</v>
      </c>
      <c r="B2131">
        <v>1</v>
      </c>
      <c r="C2131">
        <v>2</v>
      </c>
      <c r="D2131">
        <v>1</v>
      </c>
      <c r="E2131" t="s">
        <v>9</v>
      </c>
      <c r="F2131" t="s">
        <v>3654</v>
      </c>
      <c r="G2131" t="s">
        <v>3655</v>
      </c>
      <c r="H2131">
        <v>2.4</v>
      </c>
      <c r="I2131" t="s">
        <v>12</v>
      </c>
    </row>
    <row r="2132" spans="1:9" x14ac:dyDescent="0.3">
      <c r="A2132">
        <v>44</v>
      </c>
      <c r="B2132">
        <v>1</v>
      </c>
      <c r="C2132">
        <v>2</v>
      </c>
      <c r="D2132">
        <v>2</v>
      </c>
      <c r="E2132" t="s">
        <v>9</v>
      </c>
      <c r="F2132" t="s">
        <v>3656</v>
      </c>
      <c r="G2132" t="s">
        <v>3657</v>
      </c>
      <c r="H2132">
        <v>4.0880000000000001</v>
      </c>
      <c r="I2132" t="s">
        <v>12</v>
      </c>
    </row>
    <row r="2133" spans="1:9" x14ac:dyDescent="0.3">
      <c r="A2133">
        <v>44</v>
      </c>
      <c r="B2133">
        <v>1</v>
      </c>
      <c r="C2133">
        <v>2</v>
      </c>
      <c r="D2133">
        <v>2</v>
      </c>
      <c r="E2133" t="s">
        <v>9</v>
      </c>
      <c r="F2133" t="s">
        <v>3658</v>
      </c>
      <c r="G2133" t="s">
        <v>3659</v>
      </c>
      <c r="H2133">
        <v>1.135</v>
      </c>
      <c r="I2133" t="s">
        <v>12</v>
      </c>
    </row>
    <row r="2134" spans="1:9" x14ac:dyDescent="0.3">
      <c r="A2134">
        <v>45</v>
      </c>
      <c r="B2134">
        <v>1</v>
      </c>
      <c r="C2134">
        <v>1</v>
      </c>
      <c r="D2134">
        <v>1</v>
      </c>
      <c r="E2134" t="s">
        <v>9</v>
      </c>
      <c r="F2134" t="s">
        <v>3660</v>
      </c>
      <c r="G2134" t="s">
        <v>3661</v>
      </c>
      <c r="H2134">
        <v>8.3529999999999998</v>
      </c>
      <c r="I2134" t="s">
        <v>12</v>
      </c>
    </row>
    <row r="2135" spans="1:9" x14ac:dyDescent="0.3">
      <c r="A2135">
        <v>45</v>
      </c>
      <c r="B2135">
        <v>1</v>
      </c>
      <c r="C2135">
        <v>1</v>
      </c>
      <c r="D2135">
        <v>2</v>
      </c>
      <c r="E2135" t="s">
        <v>9</v>
      </c>
      <c r="F2135" t="s">
        <v>3662</v>
      </c>
      <c r="G2135" t="s">
        <v>3663</v>
      </c>
      <c r="H2135">
        <v>2.8860000000000001</v>
      </c>
      <c r="I2135" t="s">
        <v>12</v>
      </c>
    </row>
    <row r="2136" spans="1:9" x14ac:dyDescent="0.3">
      <c r="A2136">
        <v>45</v>
      </c>
      <c r="B2136">
        <v>1</v>
      </c>
      <c r="C2136">
        <v>1</v>
      </c>
      <c r="D2136">
        <v>3</v>
      </c>
      <c r="E2136" t="s">
        <v>9</v>
      </c>
      <c r="F2136" t="s">
        <v>3664</v>
      </c>
      <c r="H2136" t="s">
        <v>81</v>
      </c>
      <c r="I2136" t="s">
        <v>34</v>
      </c>
    </row>
    <row r="2137" spans="1:9" x14ac:dyDescent="0.3">
      <c r="A2137">
        <v>45</v>
      </c>
      <c r="B2137">
        <v>1</v>
      </c>
      <c r="C2137">
        <v>1</v>
      </c>
      <c r="D2137">
        <v>4</v>
      </c>
      <c r="E2137" t="s">
        <v>9</v>
      </c>
      <c r="F2137" t="s">
        <v>3665</v>
      </c>
      <c r="G2137" t="s">
        <v>3666</v>
      </c>
      <c r="H2137">
        <v>3.653</v>
      </c>
      <c r="I2137" t="s">
        <v>12</v>
      </c>
    </row>
    <row r="2138" spans="1:9" x14ac:dyDescent="0.3">
      <c r="A2138">
        <v>45</v>
      </c>
      <c r="B2138">
        <v>1</v>
      </c>
      <c r="C2138">
        <v>1</v>
      </c>
      <c r="D2138">
        <v>4</v>
      </c>
      <c r="E2138" t="s">
        <v>9</v>
      </c>
      <c r="F2138" t="s">
        <v>3667</v>
      </c>
      <c r="G2138" t="s">
        <v>3668</v>
      </c>
      <c r="H2138">
        <v>3.3660000000000001</v>
      </c>
      <c r="I2138" t="s">
        <v>12</v>
      </c>
    </row>
    <row r="2139" spans="1:9" x14ac:dyDescent="0.3">
      <c r="A2139">
        <v>45</v>
      </c>
      <c r="B2139">
        <v>1</v>
      </c>
      <c r="C2139">
        <v>1</v>
      </c>
      <c r="D2139">
        <v>4</v>
      </c>
      <c r="E2139" t="s">
        <v>22</v>
      </c>
      <c r="F2139" t="s">
        <v>3669</v>
      </c>
      <c r="G2139" t="s">
        <v>3670</v>
      </c>
      <c r="H2139">
        <v>1.835</v>
      </c>
      <c r="I2139" t="s">
        <v>21</v>
      </c>
    </row>
    <row r="2140" spans="1:9" x14ac:dyDescent="0.3">
      <c r="A2140">
        <v>45</v>
      </c>
      <c r="B2140">
        <v>1</v>
      </c>
      <c r="C2140">
        <v>1</v>
      </c>
      <c r="D2140">
        <v>4</v>
      </c>
      <c r="E2140" t="s">
        <v>9</v>
      </c>
      <c r="F2140" t="s">
        <v>3671</v>
      </c>
      <c r="G2140" t="s">
        <v>3672</v>
      </c>
      <c r="H2140">
        <v>5.1669999999999998</v>
      </c>
      <c r="I2140" t="s">
        <v>12</v>
      </c>
    </row>
    <row r="2141" spans="1:9" x14ac:dyDescent="0.3">
      <c r="A2141">
        <v>45</v>
      </c>
      <c r="B2141">
        <v>1</v>
      </c>
      <c r="C2141">
        <v>1</v>
      </c>
      <c r="D2141">
        <v>4</v>
      </c>
      <c r="E2141" t="s">
        <v>9</v>
      </c>
      <c r="F2141" t="s">
        <v>3673</v>
      </c>
      <c r="G2141" t="s">
        <v>3674</v>
      </c>
      <c r="H2141">
        <v>3.8010000000000002</v>
      </c>
      <c r="I2141" t="s">
        <v>12</v>
      </c>
    </row>
    <row r="2142" spans="1:9" x14ac:dyDescent="0.3">
      <c r="A2142">
        <v>45</v>
      </c>
      <c r="B2142">
        <v>1</v>
      </c>
      <c r="C2142">
        <v>1</v>
      </c>
      <c r="D2142">
        <v>4</v>
      </c>
      <c r="E2142" t="s">
        <v>19</v>
      </c>
      <c r="F2142" t="s">
        <v>3675</v>
      </c>
      <c r="I2142" t="s">
        <v>21</v>
      </c>
    </row>
    <row r="2143" spans="1:9" x14ac:dyDescent="0.3">
      <c r="A2143">
        <v>45</v>
      </c>
      <c r="B2143">
        <v>1</v>
      </c>
      <c r="C2143">
        <v>1</v>
      </c>
      <c r="D2143">
        <v>4</v>
      </c>
      <c r="E2143" t="s">
        <v>22</v>
      </c>
      <c r="F2143" t="s">
        <v>3676</v>
      </c>
      <c r="G2143" t="s">
        <v>3677</v>
      </c>
      <c r="H2143">
        <v>3.0670000000000002</v>
      </c>
      <c r="I2143" t="s">
        <v>21</v>
      </c>
    </row>
    <row r="2144" spans="1:9" x14ac:dyDescent="0.3">
      <c r="A2144">
        <v>45</v>
      </c>
      <c r="B2144">
        <v>1</v>
      </c>
      <c r="C2144">
        <v>1</v>
      </c>
      <c r="D2144">
        <v>4</v>
      </c>
      <c r="E2144" t="s">
        <v>19</v>
      </c>
      <c r="F2144" t="s">
        <v>3678</v>
      </c>
      <c r="I2144" t="s">
        <v>21</v>
      </c>
    </row>
    <row r="2145" spans="1:9" x14ac:dyDescent="0.3">
      <c r="A2145">
        <v>45</v>
      </c>
      <c r="B2145">
        <v>1</v>
      </c>
      <c r="C2145">
        <v>2</v>
      </c>
      <c r="D2145">
        <v>1</v>
      </c>
      <c r="E2145" t="s">
        <v>9</v>
      </c>
      <c r="F2145" t="s">
        <v>3679</v>
      </c>
      <c r="G2145" t="s">
        <v>3680</v>
      </c>
      <c r="H2145">
        <v>3.9209999999999998</v>
      </c>
      <c r="I2145" t="s">
        <v>12</v>
      </c>
    </row>
    <row r="2146" spans="1:9" x14ac:dyDescent="0.3">
      <c r="A2146">
        <v>45</v>
      </c>
      <c r="B2146">
        <v>1</v>
      </c>
      <c r="C2146">
        <v>2</v>
      </c>
      <c r="D2146">
        <v>1</v>
      </c>
      <c r="E2146" t="s">
        <v>22</v>
      </c>
      <c r="F2146" t="s">
        <v>3681</v>
      </c>
      <c r="H2146" t="s">
        <v>81</v>
      </c>
      <c r="I2146" t="s">
        <v>34</v>
      </c>
    </row>
    <row r="2147" spans="1:9" x14ac:dyDescent="0.3">
      <c r="A2147">
        <v>45</v>
      </c>
      <c r="B2147">
        <v>1</v>
      </c>
      <c r="C2147">
        <v>2</v>
      </c>
      <c r="D2147">
        <v>1</v>
      </c>
      <c r="E2147" t="s">
        <v>9</v>
      </c>
      <c r="F2147" t="s">
        <v>3682</v>
      </c>
      <c r="H2147" t="s">
        <v>81</v>
      </c>
      <c r="I2147" t="s">
        <v>34</v>
      </c>
    </row>
    <row r="2148" spans="1:9" x14ac:dyDescent="0.3">
      <c r="A2148">
        <v>45</v>
      </c>
      <c r="B2148">
        <v>1</v>
      </c>
      <c r="C2148">
        <v>2</v>
      </c>
      <c r="D2148">
        <v>1</v>
      </c>
      <c r="E2148" t="s">
        <v>9</v>
      </c>
      <c r="F2148" t="s">
        <v>3683</v>
      </c>
      <c r="H2148" t="s">
        <v>81</v>
      </c>
      <c r="I2148" t="s">
        <v>34</v>
      </c>
    </row>
    <row r="2149" spans="1:9" x14ac:dyDescent="0.3">
      <c r="A2149">
        <v>45</v>
      </c>
      <c r="B2149">
        <v>1</v>
      </c>
      <c r="C2149">
        <v>2</v>
      </c>
      <c r="D2149">
        <v>1</v>
      </c>
      <c r="E2149" t="s">
        <v>22</v>
      </c>
      <c r="F2149" t="s">
        <v>3684</v>
      </c>
      <c r="H2149" t="s">
        <v>81</v>
      </c>
      <c r="I2149" t="s">
        <v>34</v>
      </c>
    </row>
    <row r="2150" spans="1:9" x14ac:dyDescent="0.3">
      <c r="A2150">
        <v>45</v>
      </c>
      <c r="B2150">
        <v>1</v>
      </c>
      <c r="C2150">
        <v>2</v>
      </c>
      <c r="D2150">
        <v>1</v>
      </c>
      <c r="E2150" t="s">
        <v>19</v>
      </c>
      <c r="F2150" t="s">
        <v>3685</v>
      </c>
      <c r="I2150" t="s">
        <v>34</v>
      </c>
    </row>
    <row r="2151" spans="1:9" x14ac:dyDescent="0.3">
      <c r="A2151">
        <v>45</v>
      </c>
      <c r="B2151">
        <v>3</v>
      </c>
      <c r="C2151">
        <v>1</v>
      </c>
      <c r="D2151">
        <v>1</v>
      </c>
      <c r="E2151" t="s">
        <v>22</v>
      </c>
      <c r="F2151" t="s">
        <v>3686</v>
      </c>
      <c r="G2151" t="s">
        <v>3687</v>
      </c>
      <c r="H2151">
        <v>4.0519999999999996</v>
      </c>
      <c r="I2151" t="s">
        <v>21</v>
      </c>
    </row>
    <row r="2152" spans="1:9" x14ac:dyDescent="0.3">
      <c r="A2152">
        <v>45</v>
      </c>
      <c r="B2152">
        <v>3</v>
      </c>
      <c r="C2152">
        <v>1</v>
      </c>
      <c r="D2152">
        <v>1</v>
      </c>
      <c r="E2152" t="s">
        <v>9</v>
      </c>
      <c r="F2152" t="s">
        <v>3688</v>
      </c>
      <c r="G2152" t="s">
        <v>3689</v>
      </c>
      <c r="H2152">
        <v>4.4009999999999998</v>
      </c>
      <c r="I2152" t="s">
        <v>12</v>
      </c>
    </row>
    <row r="2153" spans="1:9" x14ac:dyDescent="0.3">
      <c r="A2153">
        <v>45</v>
      </c>
      <c r="B2153">
        <v>3</v>
      </c>
      <c r="C2153">
        <v>1</v>
      </c>
      <c r="D2153">
        <v>1</v>
      </c>
      <c r="E2153" t="s">
        <v>9</v>
      </c>
      <c r="F2153" t="s">
        <v>3690</v>
      </c>
      <c r="G2153" t="s">
        <v>3691</v>
      </c>
      <c r="H2153">
        <v>4.8330000000000002</v>
      </c>
      <c r="I2153" t="s">
        <v>12</v>
      </c>
    </row>
    <row r="2154" spans="1:9" x14ac:dyDescent="0.3">
      <c r="A2154">
        <v>45</v>
      </c>
      <c r="B2154">
        <v>3</v>
      </c>
      <c r="C2154">
        <v>1</v>
      </c>
      <c r="D2154">
        <v>1</v>
      </c>
      <c r="E2154" t="s">
        <v>9</v>
      </c>
      <c r="F2154" t="s">
        <v>3692</v>
      </c>
      <c r="G2154" t="s">
        <v>3693</v>
      </c>
      <c r="H2154">
        <v>4.5339999999999998</v>
      </c>
      <c r="I2154" t="s">
        <v>12</v>
      </c>
    </row>
    <row r="2155" spans="1:9" x14ac:dyDescent="0.3">
      <c r="A2155">
        <v>45</v>
      </c>
      <c r="B2155">
        <v>3</v>
      </c>
      <c r="C2155">
        <v>1</v>
      </c>
      <c r="D2155">
        <v>1</v>
      </c>
      <c r="E2155" t="s">
        <v>9</v>
      </c>
      <c r="F2155" t="s">
        <v>3694</v>
      </c>
      <c r="G2155" t="s">
        <v>3695</v>
      </c>
      <c r="H2155">
        <v>5.4329999999999998</v>
      </c>
      <c r="I2155" t="s">
        <v>12</v>
      </c>
    </row>
    <row r="2156" spans="1:9" x14ac:dyDescent="0.3">
      <c r="A2156">
        <v>45</v>
      </c>
      <c r="B2156">
        <v>3</v>
      </c>
      <c r="C2156">
        <v>1</v>
      </c>
      <c r="D2156">
        <v>1</v>
      </c>
      <c r="E2156" t="s">
        <v>22</v>
      </c>
      <c r="F2156" t="s">
        <v>3696</v>
      </c>
      <c r="G2156" t="s">
        <v>3697</v>
      </c>
      <c r="H2156">
        <v>6.4340000000000002</v>
      </c>
      <c r="I2156" t="s">
        <v>21</v>
      </c>
    </row>
    <row r="2157" spans="1:9" x14ac:dyDescent="0.3">
      <c r="A2157">
        <v>45</v>
      </c>
      <c r="B2157">
        <v>3</v>
      </c>
      <c r="C2157">
        <v>1</v>
      </c>
      <c r="D2157">
        <v>1</v>
      </c>
      <c r="E2157" t="s">
        <v>19</v>
      </c>
      <c r="F2157" t="s">
        <v>3698</v>
      </c>
      <c r="I2157" t="s">
        <v>34</v>
      </c>
    </row>
    <row r="2158" spans="1:9" x14ac:dyDescent="0.3">
      <c r="A2158">
        <v>45</v>
      </c>
      <c r="B2158">
        <v>3</v>
      </c>
      <c r="C2158">
        <v>1</v>
      </c>
      <c r="D2158">
        <v>2</v>
      </c>
      <c r="E2158" t="s">
        <v>9</v>
      </c>
      <c r="F2158" t="s">
        <v>3699</v>
      </c>
      <c r="G2158" t="s">
        <v>3700</v>
      </c>
      <c r="H2158">
        <v>3.8849999999999998</v>
      </c>
      <c r="I2158" t="s">
        <v>12</v>
      </c>
    </row>
    <row r="2159" spans="1:9" x14ac:dyDescent="0.3">
      <c r="A2159">
        <v>45</v>
      </c>
      <c r="B2159">
        <v>3</v>
      </c>
      <c r="C2159">
        <v>1</v>
      </c>
      <c r="D2159">
        <v>2</v>
      </c>
      <c r="E2159" t="s">
        <v>9</v>
      </c>
      <c r="F2159" t="s">
        <v>3701</v>
      </c>
      <c r="G2159" t="s">
        <v>3702</v>
      </c>
      <c r="H2159">
        <v>4.9329999999999998</v>
      </c>
      <c r="I2159" t="s">
        <v>12</v>
      </c>
    </row>
    <row r="2160" spans="1:9" x14ac:dyDescent="0.3">
      <c r="A2160">
        <v>45</v>
      </c>
      <c r="B2160">
        <v>3</v>
      </c>
      <c r="C2160">
        <v>1</v>
      </c>
      <c r="D2160">
        <v>2</v>
      </c>
      <c r="E2160" t="s">
        <v>22</v>
      </c>
      <c r="F2160" t="s">
        <v>3703</v>
      </c>
      <c r="G2160" t="s">
        <v>3704</v>
      </c>
      <c r="H2160">
        <v>3.2349999999999999</v>
      </c>
      <c r="I2160" t="s">
        <v>21</v>
      </c>
    </row>
    <row r="2161" spans="1:9" x14ac:dyDescent="0.3">
      <c r="A2161">
        <v>45</v>
      </c>
      <c r="B2161">
        <v>3</v>
      </c>
      <c r="C2161">
        <v>1</v>
      </c>
      <c r="D2161">
        <v>2</v>
      </c>
      <c r="E2161" t="s">
        <v>9</v>
      </c>
      <c r="F2161" t="s">
        <v>3705</v>
      </c>
      <c r="G2161" t="s">
        <v>3706</v>
      </c>
      <c r="H2161">
        <v>4.7</v>
      </c>
      <c r="I2161" t="s">
        <v>12</v>
      </c>
    </row>
    <row r="2162" spans="1:9" x14ac:dyDescent="0.3">
      <c r="A2162">
        <v>45</v>
      </c>
      <c r="B2162">
        <v>3</v>
      </c>
      <c r="C2162">
        <v>1</v>
      </c>
      <c r="D2162">
        <v>2</v>
      </c>
      <c r="E2162" t="s">
        <v>9</v>
      </c>
      <c r="F2162" t="s">
        <v>3707</v>
      </c>
      <c r="G2162" t="s">
        <v>3708</v>
      </c>
      <c r="H2162">
        <v>2.7679999999999998</v>
      </c>
      <c r="I2162" t="s">
        <v>12</v>
      </c>
    </row>
    <row r="2163" spans="1:9" x14ac:dyDescent="0.3">
      <c r="A2163">
        <v>45</v>
      </c>
      <c r="B2163">
        <v>3</v>
      </c>
      <c r="C2163">
        <v>1</v>
      </c>
      <c r="D2163">
        <v>2</v>
      </c>
      <c r="E2163" t="s">
        <v>19</v>
      </c>
      <c r="F2163" t="s">
        <v>3709</v>
      </c>
      <c r="I2163" t="s">
        <v>21</v>
      </c>
    </row>
    <row r="2164" spans="1:9" x14ac:dyDescent="0.3">
      <c r="A2164">
        <v>45</v>
      </c>
      <c r="B2164">
        <v>3</v>
      </c>
      <c r="C2164">
        <v>1</v>
      </c>
      <c r="D2164">
        <v>2</v>
      </c>
      <c r="E2164" t="s">
        <v>22</v>
      </c>
      <c r="F2164" t="s">
        <v>3710</v>
      </c>
      <c r="G2164" t="s">
        <v>3711</v>
      </c>
      <c r="H2164">
        <v>2.7</v>
      </c>
      <c r="I2164" t="s">
        <v>21</v>
      </c>
    </row>
    <row r="2165" spans="1:9" x14ac:dyDescent="0.3">
      <c r="A2165">
        <v>45</v>
      </c>
      <c r="B2165">
        <v>3</v>
      </c>
      <c r="C2165">
        <v>1</v>
      </c>
      <c r="D2165">
        <v>2</v>
      </c>
      <c r="E2165" t="s">
        <v>19</v>
      </c>
      <c r="F2165" t="s">
        <v>3712</v>
      </c>
      <c r="I2165" t="s">
        <v>21</v>
      </c>
    </row>
    <row r="2166" spans="1:9" x14ac:dyDescent="0.3">
      <c r="A2166">
        <v>45</v>
      </c>
      <c r="B2166">
        <v>3</v>
      </c>
      <c r="C2166">
        <v>2</v>
      </c>
      <c r="D2166">
        <v>1</v>
      </c>
      <c r="E2166" t="s">
        <v>9</v>
      </c>
      <c r="F2166" t="s">
        <v>3713</v>
      </c>
      <c r="G2166" t="s">
        <v>3714</v>
      </c>
      <c r="H2166">
        <v>3.952</v>
      </c>
      <c r="I2166" t="s">
        <v>12</v>
      </c>
    </row>
    <row r="2167" spans="1:9" x14ac:dyDescent="0.3">
      <c r="A2167">
        <v>45</v>
      </c>
      <c r="B2167">
        <v>3</v>
      </c>
      <c r="C2167">
        <v>2</v>
      </c>
      <c r="D2167">
        <v>1</v>
      </c>
      <c r="E2167" t="s">
        <v>22</v>
      </c>
      <c r="F2167" t="s">
        <v>3715</v>
      </c>
      <c r="G2167" t="s">
        <v>3716</v>
      </c>
      <c r="H2167">
        <v>2.5009999999999999</v>
      </c>
      <c r="I2167" t="s">
        <v>21</v>
      </c>
    </row>
    <row r="2168" spans="1:9" x14ac:dyDescent="0.3">
      <c r="A2168">
        <v>45</v>
      </c>
      <c r="B2168">
        <v>3</v>
      </c>
      <c r="C2168">
        <v>2</v>
      </c>
      <c r="D2168">
        <v>1</v>
      </c>
      <c r="E2168" t="s">
        <v>9</v>
      </c>
      <c r="F2168" t="s">
        <v>3717</v>
      </c>
      <c r="G2168" t="s">
        <v>3718</v>
      </c>
      <c r="H2168">
        <v>4.133</v>
      </c>
      <c r="I2168" t="s">
        <v>12</v>
      </c>
    </row>
    <row r="2169" spans="1:9" x14ac:dyDescent="0.3">
      <c r="A2169">
        <v>45</v>
      </c>
      <c r="B2169">
        <v>3</v>
      </c>
      <c r="C2169">
        <v>2</v>
      </c>
      <c r="D2169">
        <v>1</v>
      </c>
      <c r="E2169" t="s">
        <v>9</v>
      </c>
      <c r="F2169" t="s">
        <v>3719</v>
      </c>
      <c r="G2169" t="s">
        <v>3720</v>
      </c>
      <c r="H2169">
        <v>3.6349999999999998</v>
      </c>
      <c r="I2169" t="s">
        <v>12</v>
      </c>
    </row>
    <row r="2170" spans="1:9" x14ac:dyDescent="0.3">
      <c r="A2170">
        <v>45</v>
      </c>
      <c r="B2170">
        <v>3</v>
      </c>
      <c r="C2170">
        <v>2</v>
      </c>
      <c r="D2170">
        <v>1</v>
      </c>
      <c r="E2170" t="s">
        <v>9</v>
      </c>
      <c r="F2170" t="s">
        <v>3721</v>
      </c>
      <c r="H2170" t="s">
        <v>81</v>
      </c>
      <c r="I2170" t="s">
        <v>34</v>
      </c>
    </row>
    <row r="2171" spans="1:9" x14ac:dyDescent="0.3">
      <c r="A2171">
        <v>45</v>
      </c>
      <c r="B2171">
        <v>3</v>
      </c>
      <c r="C2171">
        <v>2</v>
      </c>
      <c r="D2171">
        <v>1</v>
      </c>
      <c r="E2171" t="s">
        <v>22</v>
      </c>
      <c r="F2171" t="s">
        <v>3722</v>
      </c>
      <c r="G2171" t="s">
        <v>3723</v>
      </c>
      <c r="H2171">
        <v>4.2670000000000003</v>
      </c>
      <c r="I2171" t="s">
        <v>21</v>
      </c>
    </row>
    <row r="2172" spans="1:9" x14ac:dyDescent="0.3">
      <c r="A2172">
        <v>45</v>
      </c>
      <c r="B2172">
        <v>3</v>
      </c>
      <c r="C2172">
        <v>2</v>
      </c>
      <c r="D2172">
        <v>1</v>
      </c>
      <c r="E2172" t="s">
        <v>19</v>
      </c>
      <c r="F2172" t="s">
        <v>3724</v>
      </c>
      <c r="I2172" t="s">
        <v>21</v>
      </c>
    </row>
    <row r="2173" spans="1:9" x14ac:dyDescent="0.3">
      <c r="A2173">
        <v>45</v>
      </c>
      <c r="B2173">
        <v>3</v>
      </c>
      <c r="C2173">
        <v>2</v>
      </c>
      <c r="D2173">
        <v>2</v>
      </c>
      <c r="E2173" t="s">
        <v>9</v>
      </c>
      <c r="F2173" t="s">
        <v>3725</v>
      </c>
      <c r="H2173" t="s">
        <v>81</v>
      </c>
      <c r="I2173" t="s">
        <v>34</v>
      </c>
    </row>
    <row r="2174" spans="1:9" x14ac:dyDescent="0.3">
      <c r="A2174">
        <v>45</v>
      </c>
      <c r="B2174">
        <v>3</v>
      </c>
      <c r="C2174">
        <v>2</v>
      </c>
      <c r="D2174">
        <v>2</v>
      </c>
      <c r="E2174" t="s">
        <v>9</v>
      </c>
      <c r="F2174" t="s">
        <v>3726</v>
      </c>
      <c r="G2174" t="s">
        <v>3727</v>
      </c>
      <c r="H2174">
        <v>2.5179999999999998</v>
      </c>
      <c r="I2174" t="s">
        <v>12</v>
      </c>
    </row>
    <row r="2175" spans="1:9" x14ac:dyDescent="0.3">
      <c r="A2175">
        <v>45</v>
      </c>
      <c r="B2175">
        <v>3</v>
      </c>
      <c r="C2175">
        <v>2</v>
      </c>
      <c r="D2175">
        <v>2</v>
      </c>
      <c r="E2175" t="s">
        <v>9</v>
      </c>
      <c r="F2175" t="s">
        <v>3728</v>
      </c>
      <c r="G2175" t="s">
        <v>3729</v>
      </c>
      <c r="H2175">
        <v>2.4340000000000002</v>
      </c>
      <c r="I2175" t="s">
        <v>12</v>
      </c>
    </row>
    <row r="2176" spans="1:9" x14ac:dyDescent="0.3">
      <c r="A2176">
        <v>45</v>
      </c>
      <c r="B2176">
        <v>3</v>
      </c>
      <c r="C2176">
        <v>2</v>
      </c>
      <c r="D2176">
        <v>2</v>
      </c>
      <c r="E2176" t="s">
        <v>22</v>
      </c>
      <c r="F2176" t="s">
        <v>3730</v>
      </c>
      <c r="H2176" t="s">
        <v>81</v>
      </c>
      <c r="I2176" t="s">
        <v>34</v>
      </c>
    </row>
    <row r="2177" spans="1:9" x14ac:dyDescent="0.3">
      <c r="A2177">
        <v>45</v>
      </c>
      <c r="B2177">
        <v>3</v>
      </c>
      <c r="C2177">
        <v>2</v>
      </c>
      <c r="D2177">
        <v>2</v>
      </c>
      <c r="E2177" t="s">
        <v>9</v>
      </c>
      <c r="F2177" t="s">
        <v>3731</v>
      </c>
      <c r="H2177" t="s">
        <v>81</v>
      </c>
      <c r="I2177" t="s">
        <v>34</v>
      </c>
    </row>
    <row r="2178" spans="1:9" x14ac:dyDescent="0.3">
      <c r="A2178">
        <v>45</v>
      </c>
      <c r="B2178">
        <v>3</v>
      </c>
      <c r="C2178">
        <v>2</v>
      </c>
      <c r="D2178">
        <v>2</v>
      </c>
      <c r="E2178" t="s">
        <v>22</v>
      </c>
      <c r="F2178" t="s">
        <v>3732</v>
      </c>
      <c r="G2178" t="s">
        <v>3733</v>
      </c>
      <c r="H2178">
        <v>2.3010000000000002</v>
      </c>
      <c r="I2178" t="s">
        <v>21</v>
      </c>
    </row>
    <row r="2179" spans="1:9" x14ac:dyDescent="0.3">
      <c r="A2179">
        <v>45</v>
      </c>
      <c r="B2179">
        <v>3</v>
      </c>
      <c r="C2179">
        <v>2</v>
      </c>
      <c r="D2179">
        <v>2</v>
      </c>
      <c r="E2179" t="s">
        <v>19</v>
      </c>
      <c r="F2179" t="s">
        <v>3734</v>
      </c>
      <c r="I2179" t="s">
        <v>21</v>
      </c>
    </row>
    <row r="2180" spans="1:9" x14ac:dyDescent="0.3">
      <c r="A2180">
        <v>45</v>
      </c>
      <c r="B2180">
        <v>3</v>
      </c>
      <c r="C2180">
        <v>2</v>
      </c>
      <c r="D2180">
        <v>2</v>
      </c>
      <c r="E2180" t="s">
        <v>19</v>
      </c>
      <c r="F2180" t="s">
        <v>3735</v>
      </c>
      <c r="I2180" t="s">
        <v>21</v>
      </c>
    </row>
    <row r="2181" spans="1:9" x14ac:dyDescent="0.3">
      <c r="A2181">
        <v>45</v>
      </c>
      <c r="B2181">
        <v>3</v>
      </c>
      <c r="C2181">
        <v>2</v>
      </c>
      <c r="D2181">
        <v>3</v>
      </c>
      <c r="E2181" t="s">
        <v>9</v>
      </c>
      <c r="F2181" t="s">
        <v>3736</v>
      </c>
      <c r="H2181" t="s">
        <v>81</v>
      </c>
      <c r="I2181" t="s">
        <v>34</v>
      </c>
    </row>
    <row r="2182" spans="1:9" x14ac:dyDescent="0.3">
      <c r="A2182">
        <v>45</v>
      </c>
      <c r="B2182">
        <v>3</v>
      </c>
      <c r="C2182">
        <v>2</v>
      </c>
      <c r="D2182">
        <v>3</v>
      </c>
      <c r="E2182" t="s">
        <v>22</v>
      </c>
      <c r="F2182" t="s">
        <v>3737</v>
      </c>
      <c r="G2182" t="s">
        <v>3738</v>
      </c>
      <c r="H2182">
        <v>2.0179999999999998</v>
      </c>
      <c r="I2182" t="s">
        <v>21</v>
      </c>
    </row>
    <row r="2183" spans="1:9" x14ac:dyDescent="0.3">
      <c r="A2183">
        <v>45</v>
      </c>
      <c r="B2183">
        <v>3</v>
      </c>
      <c r="C2183">
        <v>2</v>
      </c>
      <c r="D2183">
        <v>3</v>
      </c>
      <c r="E2183" t="s">
        <v>9</v>
      </c>
      <c r="F2183" t="s">
        <v>3739</v>
      </c>
      <c r="G2183" t="s">
        <v>3740</v>
      </c>
      <c r="H2183">
        <v>4.4009999999999998</v>
      </c>
      <c r="I2183" t="s">
        <v>12</v>
      </c>
    </row>
    <row r="2184" spans="1:9" x14ac:dyDescent="0.3">
      <c r="A2184">
        <v>45</v>
      </c>
      <c r="B2184">
        <v>3</v>
      </c>
      <c r="C2184">
        <v>2</v>
      </c>
      <c r="D2184">
        <v>3</v>
      </c>
      <c r="E2184" t="s">
        <v>22</v>
      </c>
      <c r="F2184" t="s">
        <v>3741</v>
      </c>
      <c r="G2184" t="s">
        <v>3742</v>
      </c>
      <c r="H2184">
        <v>2.7669999999999999</v>
      </c>
      <c r="I2184" t="s">
        <v>21</v>
      </c>
    </row>
    <row r="2185" spans="1:9" x14ac:dyDescent="0.3">
      <c r="A2185">
        <v>45</v>
      </c>
      <c r="B2185">
        <v>3</v>
      </c>
      <c r="C2185">
        <v>2</v>
      </c>
      <c r="D2185">
        <v>3</v>
      </c>
      <c r="E2185" t="s">
        <v>19</v>
      </c>
      <c r="F2185" t="s">
        <v>3743</v>
      </c>
      <c r="I2185" t="s">
        <v>21</v>
      </c>
    </row>
    <row r="2186" spans="1:9" x14ac:dyDescent="0.3">
      <c r="A2186">
        <v>45</v>
      </c>
      <c r="B2186">
        <v>3</v>
      </c>
      <c r="C2186">
        <v>2</v>
      </c>
      <c r="D2186">
        <v>3</v>
      </c>
      <c r="E2186" t="s">
        <v>9</v>
      </c>
      <c r="F2186" t="s">
        <v>3744</v>
      </c>
      <c r="G2186" t="s">
        <v>3745</v>
      </c>
      <c r="H2186">
        <v>3.9340000000000002</v>
      </c>
      <c r="I2186" t="s">
        <v>12</v>
      </c>
    </row>
    <row r="2187" spans="1:9" x14ac:dyDescent="0.3">
      <c r="A2187">
        <v>45</v>
      </c>
      <c r="B2187">
        <v>3</v>
      </c>
      <c r="C2187">
        <v>2</v>
      </c>
      <c r="D2187">
        <v>3</v>
      </c>
      <c r="E2187" t="s">
        <v>9</v>
      </c>
      <c r="F2187" t="s">
        <v>3746</v>
      </c>
      <c r="H2187" t="s">
        <v>81</v>
      </c>
      <c r="I2187" t="s">
        <v>34</v>
      </c>
    </row>
    <row r="2188" spans="1:9" x14ac:dyDescent="0.3">
      <c r="A2188">
        <v>45</v>
      </c>
      <c r="B2188">
        <v>3</v>
      </c>
      <c r="C2188">
        <v>2</v>
      </c>
      <c r="D2188">
        <v>4</v>
      </c>
      <c r="E2188" t="s">
        <v>22</v>
      </c>
      <c r="F2188" t="s">
        <v>3747</v>
      </c>
      <c r="G2188" t="s">
        <v>3748</v>
      </c>
      <c r="H2188">
        <v>3.7170000000000001</v>
      </c>
      <c r="I2188" t="s">
        <v>21</v>
      </c>
    </row>
    <row r="2189" spans="1:9" x14ac:dyDescent="0.3">
      <c r="A2189">
        <v>45</v>
      </c>
      <c r="B2189">
        <v>3</v>
      </c>
      <c r="C2189">
        <v>2</v>
      </c>
      <c r="D2189">
        <v>4</v>
      </c>
      <c r="E2189" t="s">
        <v>22</v>
      </c>
      <c r="F2189" t="s">
        <v>3749</v>
      </c>
      <c r="G2189" t="s">
        <v>3750</v>
      </c>
      <c r="H2189">
        <v>3.0350000000000001</v>
      </c>
      <c r="I2189" t="s">
        <v>21</v>
      </c>
    </row>
    <row r="2190" spans="1:9" x14ac:dyDescent="0.3">
      <c r="A2190">
        <v>45</v>
      </c>
      <c r="B2190">
        <v>3</v>
      </c>
      <c r="C2190">
        <v>2</v>
      </c>
      <c r="D2190">
        <v>4</v>
      </c>
      <c r="E2190" t="s">
        <v>9</v>
      </c>
      <c r="F2190" t="s">
        <v>3751</v>
      </c>
      <c r="G2190" t="s">
        <v>3752</v>
      </c>
      <c r="H2190">
        <v>4.1680000000000001</v>
      </c>
      <c r="I2190" t="s">
        <v>12</v>
      </c>
    </row>
    <row r="2191" spans="1:9" x14ac:dyDescent="0.3">
      <c r="A2191">
        <v>45</v>
      </c>
      <c r="B2191">
        <v>3</v>
      </c>
      <c r="C2191">
        <v>2</v>
      </c>
      <c r="D2191">
        <v>4</v>
      </c>
      <c r="E2191" t="s">
        <v>19</v>
      </c>
      <c r="F2191" t="s">
        <v>3753</v>
      </c>
      <c r="I2191" t="s">
        <v>21</v>
      </c>
    </row>
    <row r="2192" spans="1:9" x14ac:dyDescent="0.3">
      <c r="A2192">
        <v>45</v>
      </c>
      <c r="B2192">
        <v>3</v>
      </c>
      <c r="C2192">
        <v>2</v>
      </c>
      <c r="D2192">
        <v>4</v>
      </c>
      <c r="E2192" t="s">
        <v>9</v>
      </c>
      <c r="F2192" t="s">
        <v>3754</v>
      </c>
      <c r="G2192" t="s">
        <v>3755</v>
      </c>
      <c r="H2192">
        <v>2.8679999999999999</v>
      </c>
      <c r="I2192" t="s">
        <v>12</v>
      </c>
    </row>
    <row r="2193" spans="1:9" x14ac:dyDescent="0.3">
      <c r="A2193">
        <v>45</v>
      </c>
      <c r="B2193">
        <v>3</v>
      </c>
      <c r="C2193">
        <v>2</v>
      </c>
      <c r="D2193">
        <v>4</v>
      </c>
      <c r="E2193" t="s">
        <v>9</v>
      </c>
      <c r="F2193" t="s">
        <v>3756</v>
      </c>
      <c r="G2193" t="s">
        <v>3757</v>
      </c>
      <c r="H2193">
        <v>2.601</v>
      </c>
      <c r="I2193" t="s">
        <v>12</v>
      </c>
    </row>
    <row r="2194" spans="1:9" x14ac:dyDescent="0.3">
      <c r="A2194">
        <v>45</v>
      </c>
      <c r="B2194">
        <v>3</v>
      </c>
      <c r="C2194">
        <v>2</v>
      </c>
      <c r="D2194">
        <v>4</v>
      </c>
      <c r="E2194" t="s">
        <v>19</v>
      </c>
      <c r="F2194" t="s">
        <v>3758</v>
      </c>
      <c r="I2194" t="s">
        <v>21</v>
      </c>
    </row>
    <row r="2195" spans="1:9" x14ac:dyDescent="0.3">
      <c r="A2195">
        <v>45</v>
      </c>
      <c r="B2195">
        <v>3</v>
      </c>
      <c r="C2195">
        <v>2</v>
      </c>
      <c r="D2195">
        <v>4</v>
      </c>
      <c r="E2195" t="s">
        <v>9</v>
      </c>
      <c r="F2195" t="s">
        <v>3759</v>
      </c>
      <c r="G2195" t="s">
        <v>3760</v>
      </c>
      <c r="H2195">
        <v>3.5339999999999998</v>
      </c>
      <c r="I2195" t="s">
        <v>12</v>
      </c>
    </row>
    <row r="2196" spans="1:9" x14ac:dyDescent="0.3">
      <c r="A2196">
        <v>45</v>
      </c>
      <c r="B2196">
        <v>3</v>
      </c>
      <c r="C2196">
        <v>2</v>
      </c>
      <c r="D2196">
        <v>4</v>
      </c>
      <c r="E2196" t="s">
        <v>19</v>
      </c>
      <c r="F2196" t="s">
        <v>3761</v>
      </c>
      <c r="I2196" t="s">
        <v>21</v>
      </c>
    </row>
    <row r="2197" spans="1:9" x14ac:dyDescent="0.3">
      <c r="A2197">
        <v>45</v>
      </c>
      <c r="B2197">
        <v>3</v>
      </c>
      <c r="C2197">
        <v>3</v>
      </c>
      <c r="D2197">
        <v>1</v>
      </c>
      <c r="E2197" t="s">
        <v>9</v>
      </c>
      <c r="F2197" t="s">
        <v>3762</v>
      </c>
      <c r="G2197" t="s">
        <v>3763</v>
      </c>
      <c r="H2197">
        <v>2.7850000000000001</v>
      </c>
      <c r="I2197" t="s">
        <v>12</v>
      </c>
    </row>
    <row r="2198" spans="1:9" x14ac:dyDescent="0.3">
      <c r="A2198">
        <v>45</v>
      </c>
      <c r="B2198">
        <v>3</v>
      </c>
      <c r="C2198">
        <v>3</v>
      </c>
      <c r="D2198">
        <v>1</v>
      </c>
      <c r="E2198" t="s">
        <v>9</v>
      </c>
      <c r="F2198" t="s">
        <v>3764</v>
      </c>
      <c r="G2198" t="s">
        <v>3765</v>
      </c>
      <c r="H2198">
        <v>3.1669999999999998</v>
      </c>
      <c r="I2198" t="s">
        <v>12</v>
      </c>
    </row>
    <row r="2199" spans="1:9" x14ac:dyDescent="0.3">
      <c r="A2199">
        <v>45</v>
      </c>
      <c r="B2199">
        <v>3</v>
      </c>
      <c r="C2199">
        <v>3</v>
      </c>
      <c r="D2199">
        <v>1</v>
      </c>
      <c r="E2199" t="s">
        <v>22</v>
      </c>
      <c r="F2199" t="s">
        <v>3766</v>
      </c>
      <c r="G2199" t="s">
        <v>3767</v>
      </c>
      <c r="H2199">
        <v>1.9670000000000001</v>
      </c>
      <c r="I2199" t="s">
        <v>21</v>
      </c>
    </row>
    <row r="2200" spans="1:9" x14ac:dyDescent="0.3">
      <c r="A2200">
        <v>45</v>
      </c>
      <c r="B2200">
        <v>3</v>
      </c>
      <c r="C2200">
        <v>3</v>
      </c>
      <c r="D2200">
        <v>1</v>
      </c>
      <c r="E2200" t="s">
        <v>9</v>
      </c>
      <c r="F2200" t="s">
        <v>3768</v>
      </c>
      <c r="G2200" t="s">
        <v>3769</v>
      </c>
      <c r="H2200">
        <v>2.069</v>
      </c>
      <c r="I2200" t="s">
        <v>12</v>
      </c>
    </row>
    <row r="2201" spans="1:9" x14ac:dyDescent="0.3">
      <c r="A2201">
        <v>45</v>
      </c>
      <c r="B2201">
        <v>3</v>
      </c>
      <c r="C2201">
        <v>3</v>
      </c>
      <c r="D2201">
        <v>1</v>
      </c>
      <c r="E2201" t="s">
        <v>9</v>
      </c>
      <c r="F2201" t="s">
        <v>3770</v>
      </c>
      <c r="G2201" t="s">
        <v>3771</v>
      </c>
      <c r="H2201">
        <v>1.8680000000000001</v>
      </c>
      <c r="I2201" t="s">
        <v>12</v>
      </c>
    </row>
    <row r="2202" spans="1:9" x14ac:dyDescent="0.3">
      <c r="A2202">
        <v>45</v>
      </c>
      <c r="B2202">
        <v>3</v>
      </c>
      <c r="C2202">
        <v>3</v>
      </c>
      <c r="D2202">
        <v>1</v>
      </c>
      <c r="E2202" t="s">
        <v>19</v>
      </c>
      <c r="F2202" t="s">
        <v>3772</v>
      </c>
      <c r="I2202" t="s">
        <v>34</v>
      </c>
    </row>
    <row r="2203" spans="1:9" x14ac:dyDescent="0.3">
      <c r="A2203">
        <v>45</v>
      </c>
      <c r="B2203">
        <v>3</v>
      </c>
      <c r="C2203">
        <v>3</v>
      </c>
      <c r="D2203">
        <v>1</v>
      </c>
      <c r="E2203" t="s">
        <v>22</v>
      </c>
      <c r="F2203" t="s">
        <v>3773</v>
      </c>
      <c r="G2203" t="s">
        <v>3774</v>
      </c>
      <c r="H2203">
        <v>2.8679999999999999</v>
      </c>
      <c r="I2203" t="s">
        <v>21</v>
      </c>
    </row>
    <row r="2204" spans="1:9" x14ac:dyDescent="0.3">
      <c r="A2204">
        <v>45</v>
      </c>
      <c r="B2204">
        <v>3</v>
      </c>
      <c r="C2204">
        <v>3</v>
      </c>
      <c r="D2204">
        <v>1</v>
      </c>
      <c r="E2204" t="s">
        <v>19</v>
      </c>
      <c r="F2204" t="s">
        <v>3775</v>
      </c>
      <c r="I2204" t="s">
        <v>21</v>
      </c>
    </row>
    <row r="2205" spans="1:9" x14ac:dyDescent="0.3">
      <c r="A2205">
        <v>45</v>
      </c>
      <c r="B2205">
        <v>3</v>
      </c>
      <c r="C2205">
        <v>3</v>
      </c>
      <c r="D2205">
        <v>2</v>
      </c>
      <c r="E2205" t="s">
        <v>9</v>
      </c>
      <c r="F2205" t="s">
        <v>3776</v>
      </c>
      <c r="G2205" t="s">
        <v>3777</v>
      </c>
      <c r="H2205">
        <v>3.9180000000000001</v>
      </c>
      <c r="I2205" t="s">
        <v>12</v>
      </c>
    </row>
    <row r="2206" spans="1:9" x14ac:dyDescent="0.3">
      <c r="A2206">
        <v>45</v>
      </c>
      <c r="B2206">
        <v>3</v>
      </c>
      <c r="C2206">
        <v>3</v>
      </c>
      <c r="D2206">
        <v>2</v>
      </c>
      <c r="E2206" t="s">
        <v>9</v>
      </c>
      <c r="F2206" t="s">
        <v>3778</v>
      </c>
      <c r="G2206" t="s">
        <v>3779</v>
      </c>
      <c r="H2206">
        <v>2.0009999999999999</v>
      </c>
      <c r="I2206" t="s">
        <v>12</v>
      </c>
    </row>
    <row r="2207" spans="1:9" x14ac:dyDescent="0.3">
      <c r="A2207">
        <v>45</v>
      </c>
      <c r="B2207">
        <v>3</v>
      </c>
      <c r="C2207">
        <v>3</v>
      </c>
      <c r="D2207">
        <v>2</v>
      </c>
      <c r="E2207" t="s">
        <v>22</v>
      </c>
      <c r="F2207" t="s">
        <v>3780</v>
      </c>
      <c r="G2207" t="s">
        <v>3781</v>
      </c>
      <c r="H2207">
        <v>2.9340000000000002</v>
      </c>
      <c r="I2207" t="s">
        <v>21</v>
      </c>
    </row>
    <row r="2208" spans="1:9" x14ac:dyDescent="0.3">
      <c r="A2208">
        <v>45</v>
      </c>
      <c r="B2208">
        <v>3</v>
      </c>
      <c r="C2208">
        <v>3</v>
      </c>
      <c r="D2208">
        <v>2</v>
      </c>
      <c r="E2208" t="s">
        <v>9</v>
      </c>
      <c r="F2208" t="s">
        <v>3782</v>
      </c>
      <c r="G2208" t="s">
        <v>3783</v>
      </c>
      <c r="H2208">
        <v>2.3340000000000001</v>
      </c>
      <c r="I2208" t="s">
        <v>12</v>
      </c>
    </row>
    <row r="2209" spans="1:9" x14ac:dyDescent="0.3">
      <c r="A2209">
        <v>45</v>
      </c>
      <c r="B2209">
        <v>3</v>
      </c>
      <c r="C2209">
        <v>3</v>
      </c>
      <c r="D2209">
        <v>2</v>
      </c>
      <c r="E2209" t="s">
        <v>9</v>
      </c>
      <c r="F2209" t="s">
        <v>3784</v>
      </c>
      <c r="G2209" t="s">
        <v>3785</v>
      </c>
      <c r="H2209">
        <v>4.9020000000000001</v>
      </c>
      <c r="I2209" t="s">
        <v>12</v>
      </c>
    </row>
    <row r="2210" spans="1:9" x14ac:dyDescent="0.3">
      <c r="A2210">
        <v>45</v>
      </c>
      <c r="B2210">
        <v>3</v>
      </c>
      <c r="C2210">
        <v>3</v>
      </c>
      <c r="D2210">
        <v>2</v>
      </c>
      <c r="E2210" t="s">
        <v>19</v>
      </c>
      <c r="F2210" t="s">
        <v>3786</v>
      </c>
      <c r="I2210" t="s">
        <v>21</v>
      </c>
    </row>
    <row r="2211" spans="1:9" x14ac:dyDescent="0.3">
      <c r="A2211">
        <v>45</v>
      </c>
      <c r="B2211">
        <v>3</v>
      </c>
      <c r="C2211">
        <v>3</v>
      </c>
      <c r="D2211">
        <v>2</v>
      </c>
      <c r="E2211" t="s">
        <v>22</v>
      </c>
      <c r="F2211" t="s">
        <v>3787</v>
      </c>
      <c r="G2211" t="s">
        <v>3788</v>
      </c>
      <c r="H2211">
        <v>2.133</v>
      </c>
      <c r="I2211" t="s">
        <v>21</v>
      </c>
    </row>
    <row r="2212" spans="1:9" x14ac:dyDescent="0.3">
      <c r="A2212">
        <v>45</v>
      </c>
      <c r="B2212">
        <v>3</v>
      </c>
      <c r="C2212">
        <v>3</v>
      </c>
      <c r="D2212">
        <v>2</v>
      </c>
      <c r="E2212" t="s">
        <v>19</v>
      </c>
      <c r="F2212" t="s">
        <v>3789</v>
      </c>
      <c r="I2212" t="s">
        <v>21</v>
      </c>
    </row>
    <row r="2213" spans="1:9" x14ac:dyDescent="0.3">
      <c r="A2213">
        <v>46</v>
      </c>
      <c r="B2213">
        <v>1</v>
      </c>
      <c r="C2213">
        <v>1</v>
      </c>
      <c r="D2213">
        <v>1</v>
      </c>
      <c r="E2213" t="s">
        <v>9</v>
      </c>
      <c r="F2213" t="s">
        <v>3790</v>
      </c>
      <c r="G2213" t="s">
        <v>3791</v>
      </c>
      <c r="H2213">
        <v>1.754</v>
      </c>
      <c r="I2213" t="s">
        <v>12</v>
      </c>
    </row>
    <row r="2214" spans="1:9" x14ac:dyDescent="0.3">
      <c r="A2214">
        <v>46</v>
      </c>
      <c r="B2214">
        <v>1</v>
      </c>
      <c r="C2214">
        <v>1</v>
      </c>
      <c r="D2214">
        <v>2</v>
      </c>
      <c r="E2214" t="s">
        <v>9</v>
      </c>
      <c r="F2214" t="s">
        <v>3792</v>
      </c>
      <c r="G2214" t="s">
        <v>3793</v>
      </c>
      <c r="H2214">
        <v>2.7530000000000001</v>
      </c>
      <c r="I2214" t="s">
        <v>12</v>
      </c>
    </row>
    <row r="2215" spans="1:9" x14ac:dyDescent="0.3">
      <c r="A2215">
        <v>46</v>
      </c>
      <c r="B2215">
        <v>1</v>
      </c>
      <c r="C2215">
        <v>1</v>
      </c>
      <c r="D2215">
        <v>3</v>
      </c>
      <c r="E2215" t="s">
        <v>9</v>
      </c>
      <c r="F2215" t="s">
        <v>3794</v>
      </c>
      <c r="G2215" t="s">
        <v>3795</v>
      </c>
      <c r="H2215">
        <v>1.387</v>
      </c>
      <c r="I2215" t="s">
        <v>12</v>
      </c>
    </row>
    <row r="2216" spans="1:9" x14ac:dyDescent="0.3">
      <c r="A2216">
        <v>46</v>
      </c>
      <c r="B2216">
        <v>1</v>
      </c>
      <c r="C2216">
        <v>1</v>
      </c>
      <c r="D2216">
        <v>1</v>
      </c>
      <c r="E2216" t="s">
        <v>9</v>
      </c>
      <c r="F2216" t="s">
        <v>3796</v>
      </c>
      <c r="G2216" t="s">
        <v>3797</v>
      </c>
      <c r="H2216">
        <v>3.8849999999999998</v>
      </c>
      <c r="I2216" t="s">
        <v>12</v>
      </c>
    </row>
    <row r="2217" spans="1:9" x14ac:dyDescent="0.3">
      <c r="A2217">
        <v>46</v>
      </c>
      <c r="B2217">
        <v>1</v>
      </c>
      <c r="C2217">
        <v>1</v>
      </c>
      <c r="D2217">
        <v>1</v>
      </c>
      <c r="E2217" t="s">
        <v>9</v>
      </c>
      <c r="F2217" t="s">
        <v>3798</v>
      </c>
      <c r="H2217" t="s">
        <v>81</v>
      </c>
      <c r="I2217" t="s">
        <v>34</v>
      </c>
    </row>
    <row r="2218" spans="1:9" x14ac:dyDescent="0.3">
      <c r="A2218">
        <v>46</v>
      </c>
      <c r="B2218">
        <v>1</v>
      </c>
      <c r="C2218">
        <v>1</v>
      </c>
      <c r="D2218">
        <v>1</v>
      </c>
      <c r="E2218" t="s">
        <v>22</v>
      </c>
      <c r="F2218" t="s">
        <v>3799</v>
      </c>
      <c r="G2218" t="s">
        <v>3800</v>
      </c>
      <c r="H2218">
        <v>3.2010000000000001</v>
      </c>
      <c r="I2218" t="s">
        <v>21</v>
      </c>
    </row>
    <row r="2219" spans="1:9" x14ac:dyDescent="0.3">
      <c r="A2219">
        <v>46</v>
      </c>
      <c r="B2219">
        <v>1</v>
      </c>
      <c r="C2219">
        <v>1</v>
      </c>
      <c r="D2219">
        <v>1</v>
      </c>
      <c r="E2219" t="s">
        <v>9</v>
      </c>
      <c r="F2219" t="s">
        <v>3801</v>
      </c>
      <c r="G2219" t="s">
        <v>3802</v>
      </c>
      <c r="H2219">
        <v>6.0670000000000002</v>
      </c>
      <c r="I2219" t="s">
        <v>12</v>
      </c>
    </row>
    <row r="2220" spans="1:9" x14ac:dyDescent="0.3">
      <c r="A2220">
        <v>46</v>
      </c>
      <c r="B2220">
        <v>1</v>
      </c>
      <c r="C2220">
        <v>1</v>
      </c>
      <c r="D2220">
        <v>1</v>
      </c>
      <c r="E2220" t="s">
        <v>9</v>
      </c>
      <c r="F2220" t="s">
        <v>3803</v>
      </c>
      <c r="H2220" t="s">
        <v>81</v>
      </c>
      <c r="I2220" t="s">
        <v>34</v>
      </c>
    </row>
    <row r="2221" spans="1:9" x14ac:dyDescent="0.3">
      <c r="A2221">
        <v>46</v>
      </c>
      <c r="B2221">
        <v>1</v>
      </c>
      <c r="C2221">
        <v>1</v>
      </c>
      <c r="D2221">
        <v>1</v>
      </c>
      <c r="E2221" t="s">
        <v>19</v>
      </c>
      <c r="F2221" t="s">
        <v>3804</v>
      </c>
      <c r="I2221" t="s">
        <v>34</v>
      </c>
    </row>
    <row r="2222" spans="1:9" x14ac:dyDescent="0.3">
      <c r="A2222">
        <v>46</v>
      </c>
      <c r="B2222">
        <v>1</v>
      </c>
      <c r="C2222">
        <v>1</v>
      </c>
      <c r="D2222">
        <v>1</v>
      </c>
      <c r="E2222" t="s">
        <v>22</v>
      </c>
      <c r="F2222" t="s">
        <v>3805</v>
      </c>
      <c r="G2222" t="s">
        <v>3806</v>
      </c>
      <c r="H2222">
        <v>3.0009999999999999</v>
      </c>
      <c r="I2222" t="s">
        <v>21</v>
      </c>
    </row>
    <row r="2223" spans="1:9" x14ac:dyDescent="0.3">
      <c r="A2223">
        <v>46</v>
      </c>
      <c r="B2223">
        <v>1</v>
      </c>
      <c r="C2223">
        <v>1</v>
      </c>
      <c r="D2223">
        <v>1</v>
      </c>
      <c r="E2223" t="s">
        <v>19</v>
      </c>
      <c r="F2223" t="s">
        <v>3807</v>
      </c>
      <c r="I2223" t="s">
        <v>21</v>
      </c>
    </row>
    <row r="2224" spans="1:9" x14ac:dyDescent="0.3">
      <c r="A2224">
        <v>47</v>
      </c>
      <c r="B2224">
        <v>1</v>
      </c>
      <c r="C2224">
        <v>1</v>
      </c>
      <c r="D2224">
        <v>1</v>
      </c>
      <c r="E2224" t="s">
        <v>9</v>
      </c>
      <c r="F2224" t="s">
        <v>3808</v>
      </c>
      <c r="G2224" t="s">
        <v>3809</v>
      </c>
      <c r="H2224">
        <v>8.6470000000000002</v>
      </c>
      <c r="I2224" t="s">
        <v>12</v>
      </c>
    </row>
    <row r="2225" spans="1:9" x14ac:dyDescent="0.3">
      <c r="A2225">
        <v>47</v>
      </c>
      <c r="B2225">
        <v>1</v>
      </c>
      <c r="C2225">
        <v>1</v>
      </c>
      <c r="D2225">
        <v>2</v>
      </c>
      <c r="E2225" t="s">
        <v>9</v>
      </c>
      <c r="F2225" t="s">
        <v>3810</v>
      </c>
      <c r="G2225" t="s">
        <v>3811</v>
      </c>
      <c r="H2225">
        <v>2.3860000000000001</v>
      </c>
      <c r="I2225" t="s">
        <v>12</v>
      </c>
    </row>
    <row r="2226" spans="1:9" x14ac:dyDescent="0.3">
      <c r="A2226">
        <v>47</v>
      </c>
      <c r="B2226">
        <v>1</v>
      </c>
      <c r="C2226">
        <v>1</v>
      </c>
      <c r="D2226">
        <v>3</v>
      </c>
      <c r="E2226" t="s">
        <v>22</v>
      </c>
      <c r="F2226" t="s">
        <v>3812</v>
      </c>
      <c r="G2226" t="s">
        <v>3813</v>
      </c>
      <c r="H2226">
        <v>5.92</v>
      </c>
      <c r="I2226" t="s">
        <v>21</v>
      </c>
    </row>
    <row r="2227" spans="1:9" x14ac:dyDescent="0.3">
      <c r="A2227">
        <v>47</v>
      </c>
      <c r="B2227">
        <v>3</v>
      </c>
      <c r="C2227">
        <v>1</v>
      </c>
      <c r="D2227">
        <v>1</v>
      </c>
      <c r="E2227" t="s">
        <v>22</v>
      </c>
      <c r="F2227" t="s">
        <v>3814</v>
      </c>
      <c r="G2227" t="s">
        <v>3815</v>
      </c>
      <c r="H2227">
        <v>3.6859999999999999</v>
      </c>
      <c r="I2227" t="s">
        <v>34</v>
      </c>
    </row>
    <row r="2228" spans="1:9" x14ac:dyDescent="0.3">
      <c r="A2228">
        <v>47</v>
      </c>
      <c r="B2228">
        <v>3</v>
      </c>
      <c r="C2228">
        <v>1</v>
      </c>
      <c r="D2228">
        <v>1</v>
      </c>
      <c r="E2228" t="s">
        <v>9</v>
      </c>
      <c r="F2228" t="s">
        <v>3816</v>
      </c>
      <c r="G2228" t="s">
        <v>3817</v>
      </c>
      <c r="H2228">
        <v>5.5519999999999996</v>
      </c>
      <c r="I2228" t="s">
        <v>12</v>
      </c>
    </row>
    <row r="2229" spans="1:9" x14ac:dyDescent="0.3">
      <c r="A2229">
        <v>47</v>
      </c>
      <c r="B2229">
        <v>3</v>
      </c>
      <c r="C2229">
        <v>1</v>
      </c>
      <c r="D2229">
        <v>1</v>
      </c>
      <c r="E2229" t="s">
        <v>22</v>
      </c>
      <c r="F2229" t="s">
        <v>3818</v>
      </c>
      <c r="G2229" t="s">
        <v>3819</v>
      </c>
      <c r="H2229">
        <v>2.0009999999999999</v>
      </c>
      <c r="I2229" t="s">
        <v>34</v>
      </c>
    </row>
    <row r="2230" spans="1:9" x14ac:dyDescent="0.3">
      <c r="A2230">
        <v>47</v>
      </c>
      <c r="B2230">
        <v>3</v>
      </c>
      <c r="C2230">
        <v>1</v>
      </c>
      <c r="D2230">
        <v>1</v>
      </c>
      <c r="E2230" t="s">
        <v>9</v>
      </c>
      <c r="F2230" t="s">
        <v>3820</v>
      </c>
      <c r="G2230" t="s">
        <v>3821</v>
      </c>
      <c r="H2230">
        <v>0.76800000000000002</v>
      </c>
      <c r="I2230" t="s">
        <v>12</v>
      </c>
    </row>
    <row r="2231" spans="1:9" x14ac:dyDescent="0.3">
      <c r="A2231">
        <v>47</v>
      </c>
      <c r="B2231">
        <v>3</v>
      </c>
      <c r="C2231">
        <v>1</v>
      </c>
      <c r="D2231">
        <v>1</v>
      </c>
      <c r="E2231" t="s">
        <v>22</v>
      </c>
      <c r="F2231" t="s">
        <v>3822</v>
      </c>
      <c r="G2231" t="s">
        <v>3823</v>
      </c>
      <c r="H2231">
        <v>1.268</v>
      </c>
      <c r="I2231" t="s">
        <v>34</v>
      </c>
    </row>
    <row r="2232" spans="1:9" x14ac:dyDescent="0.3">
      <c r="A2232">
        <v>47</v>
      </c>
      <c r="B2232">
        <v>3</v>
      </c>
      <c r="C2232">
        <v>1</v>
      </c>
      <c r="D2232">
        <v>1</v>
      </c>
      <c r="E2232" t="s">
        <v>22</v>
      </c>
      <c r="F2232" t="s">
        <v>3824</v>
      </c>
      <c r="G2232" t="s">
        <v>3825</v>
      </c>
      <c r="H2232">
        <v>1.401</v>
      </c>
      <c r="I2232" t="s">
        <v>21</v>
      </c>
    </row>
    <row r="2233" spans="1:9" x14ac:dyDescent="0.3">
      <c r="A2233">
        <v>47</v>
      </c>
      <c r="B2233">
        <v>3</v>
      </c>
      <c r="C2233">
        <v>1</v>
      </c>
      <c r="D2233">
        <v>1</v>
      </c>
      <c r="E2233" t="s">
        <v>22</v>
      </c>
      <c r="F2233" t="s">
        <v>3826</v>
      </c>
      <c r="G2233" t="s">
        <v>3827</v>
      </c>
      <c r="H2233">
        <v>1.9339999999999999</v>
      </c>
      <c r="I2233" t="s">
        <v>34</v>
      </c>
    </row>
    <row r="2234" spans="1:9" x14ac:dyDescent="0.3">
      <c r="A2234">
        <v>47</v>
      </c>
      <c r="B2234">
        <v>3</v>
      </c>
      <c r="C2234">
        <v>1</v>
      </c>
      <c r="D2234">
        <v>1</v>
      </c>
      <c r="E2234" t="s">
        <v>22</v>
      </c>
      <c r="F2234" t="s">
        <v>3828</v>
      </c>
      <c r="G2234" t="s">
        <v>3829</v>
      </c>
      <c r="H2234">
        <v>1.135</v>
      </c>
      <c r="I2234" t="s">
        <v>21</v>
      </c>
    </row>
    <row r="2235" spans="1:9" x14ac:dyDescent="0.3">
      <c r="A2235">
        <v>47</v>
      </c>
      <c r="B2235">
        <v>3</v>
      </c>
      <c r="C2235">
        <v>1</v>
      </c>
      <c r="D2235">
        <v>1</v>
      </c>
      <c r="E2235" t="s">
        <v>19</v>
      </c>
      <c r="F2235" t="s">
        <v>3830</v>
      </c>
      <c r="I2235" t="s">
        <v>34</v>
      </c>
    </row>
    <row r="2236" spans="1:9" x14ac:dyDescent="0.3">
      <c r="A2236">
        <v>47</v>
      </c>
      <c r="B2236">
        <v>3</v>
      </c>
      <c r="C2236">
        <v>1</v>
      </c>
      <c r="D2236">
        <v>1</v>
      </c>
      <c r="E2236" t="s">
        <v>22</v>
      </c>
      <c r="F2236" t="s">
        <v>3831</v>
      </c>
      <c r="G2236" t="s">
        <v>3832</v>
      </c>
      <c r="H2236">
        <v>1.835</v>
      </c>
      <c r="I2236" t="s">
        <v>34</v>
      </c>
    </row>
    <row r="2237" spans="1:9" x14ac:dyDescent="0.3">
      <c r="A2237">
        <v>47</v>
      </c>
      <c r="B2237">
        <v>3</v>
      </c>
      <c r="C2237">
        <v>1</v>
      </c>
      <c r="D2237">
        <v>1</v>
      </c>
      <c r="E2237" t="s">
        <v>22</v>
      </c>
      <c r="F2237" t="s">
        <v>3833</v>
      </c>
      <c r="G2237" t="s">
        <v>3834</v>
      </c>
      <c r="H2237">
        <v>0.80100000000000005</v>
      </c>
      <c r="I2237" t="s">
        <v>21</v>
      </c>
    </row>
    <row r="2238" spans="1:9" x14ac:dyDescent="0.3">
      <c r="A2238">
        <v>47</v>
      </c>
      <c r="B2238">
        <v>3</v>
      </c>
      <c r="C2238">
        <v>1</v>
      </c>
      <c r="D2238">
        <v>2</v>
      </c>
      <c r="E2238" t="s">
        <v>22</v>
      </c>
      <c r="F2238" t="s">
        <v>3835</v>
      </c>
      <c r="G2238" t="s">
        <v>3836</v>
      </c>
      <c r="H2238">
        <v>3.387</v>
      </c>
      <c r="I2238" t="s">
        <v>34</v>
      </c>
    </row>
    <row r="2239" spans="1:9" x14ac:dyDescent="0.3">
      <c r="A2239">
        <v>47</v>
      </c>
      <c r="B2239">
        <v>3</v>
      </c>
      <c r="C2239">
        <v>1</v>
      </c>
      <c r="D2239">
        <v>2</v>
      </c>
      <c r="E2239" t="s">
        <v>9</v>
      </c>
      <c r="F2239" t="s">
        <v>3837</v>
      </c>
      <c r="G2239" t="s">
        <v>3838</v>
      </c>
      <c r="H2239">
        <v>2.5009999999999999</v>
      </c>
      <c r="I2239" t="s">
        <v>12</v>
      </c>
    </row>
    <row r="2240" spans="1:9" x14ac:dyDescent="0.3">
      <c r="A2240">
        <v>47</v>
      </c>
      <c r="B2240">
        <v>3</v>
      </c>
      <c r="C2240">
        <v>1</v>
      </c>
      <c r="D2240">
        <v>2</v>
      </c>
      <c r="E2240" t="s">
        <v>9</v>
      </c>
      <c r="F2240" t="s">
        <v>3839</v>
      </c>
      <c r="G2240" t="s">
        <v>3840</v>
      </c>
      <c r="H2240">
        <v>2.351</v>
      </c>
      <c r="I2240" t="s">
        <v>12</v>
      </c>
    </row>
    <row r="2241" spans="1:9" x14ac:dyDescent="0.3">
      <c r="A2241">
        <v>47</v>
      </c>
      <c r="B2241">
        <v>3</v>
      </c>
      <c r="C2241">
        <v>1</v>
      </c>
      <c r="D2241">
        <v>2</v>
      </c>
      <c r="E2241" t="s">
        <v>9</v>
      </c>
      <c r="F2241" t="s">
        <v>3841</v>
      </c>
      <c r="G2241" t="s">
        <v>3842</v>
      </c>
      <c r="H2241">
        <v>1.901</v>
      </c>
      <c r="I2241" t="s">
        <v>12</v>
      </c>
    </row>
    <row r="2242" spans="1:9" x14ac:dyDescent="0.3">
      <c r="A2242">
        <v>47</v>
      </c>
      <c r="B2242">
        <v>3</v>
      </c>
      <c r="C2242">
        <v>1</v>
      </c>
      <c r="D2242">
        <v>2</v>
      </c>
      <c r="E2242" t="s">
        <v>19</v>
      </c>
      <c r="F2242" t="s">
        <v>3843</v>
      </c>
      <c r="I2242" t="s">
        <v>34</v>
      </c>
    </row>
    <row r="2243" spans="1:9" x14ac:dyDescent="0.3">
      <c r="A2243">
        <v>47</v>
      </c>
      <c r="B2243">
        <v>3</v>
      </c>
      <c r="C2243">
        <v>1</v>
      </c>
      <c r="D2243">
        <v>2</v>
      </c>
      <c r="E2243" t="s">
        <v>9</v>
      </c>
      <c r="F2243" t="s">
        <v>3843</v>
      </c>
      <c r="G2243" t="s">
        <v>3844</v>
      </c>
      <c r="H2243">
        <v>3.4020000000000001</v>
      </c>
      <c r="I2243" t="s">
        <v>12</v>
      </c>
    </row>
    <row r="2244" spans="1:9" x14ac:dyDescent="0.3">
      <c r="A2244">
        <v>47</v>
      </c>
      <c r="B2244">
        <v>3</v>
      </c>
      <c r="C2244">
        <v>1</v>
      </c>
      <c r="D2244">
        <v>3</v>
      </c>
      <c r="E2244" t="s">
        <v>9</v>
      </c>
      <c r="F2244" t="s">
        <v>3845</v>
      </c>
      <c r="G2244" t="s">
        <v>3846</v>
      </c>
      <c r="H2244">
        <v>2.552</v>
      </c>
      <c r="I2244" t="s">
        <v>12</v>
      </c>
    </row>
    <row r="2245" spans="1:9" x14ac:dyDescent="0.3">
      <c r="A2245">
        <v>47</v>
      </c>
      <c r="B2245">
        <v>3</v>
      </c>
      <c r="C2245">
        <v>1</v>
      </c>
      <c r="D2245">
        <v>3</v>
      </c>
      <c r="E2245" t="s">
        <v>9</v>
      </c>
      <c r="F2245" t="s">
        <v>3847</v>
      </c>
      <c r="G2245" t="s">
        <v>3848</v>
      </c>
      <c r="H2245">
        <v>2.4849999999999999</v>
      </c>
      <c r="I2245" t="s">
        <v>12</v>
      </c>
    </row>
    <row r="2246" spans="1:9" x14ac:dyDescent="0.3">
      <c r="A2246">
        <v>47</v>
      </c>
      <c r="B2246">
        <v>3</v>
      </c>
      <c r="C2246">
        <v>1</v>
      </c>
      <c r="D2246">
        <v>3</v>
      </c>
      <c r="E2246" t="s">
        <v>19</v>
      </c>
      <c r="F2246" t="s">
        <v>3849</v>
      </c>
      <c r="I2246" t="s">
        <v>21</v>
      </c>
    </row>
    <row r="2247" spans="1:9" x14ac:dyDescent="0.3">
      <c r="A2247">
        <v>47</v>
      </c>
      <c r="B2247">
        <v>3</v>
      </c>
      <c r="C2247">
        <v>1</v>
      </c>
      <c r="D2247">
        <v>3</v>
      </c>
      <c r="E2247" t="s">
        <v>22</v>
      </c>
      <c r="F2247" t="s">
        <v>3850</v>
      </c>
      <c r="G2247" t="s">
        <v>3851</v>
      </c>
      <c r="H2247">
        <v>3.1349999999999998</v>
      </c>
      <c r="I2247" t="s">
        <v>21</v>
      </c>
    </row>
    <row r="2248" spans="1:9" x14ac:dyDescent="0.3">
      <c r="A2248">
        <v>47</v>
      </c>
      <c r="B2248">
        <v>3</v>
      </c>
      <c r="C2248">
        <v>1</v>
      </c>
      <c r="D2248">
        <v>5</v>
      </c>
      <c r="E2248" t="s">
        <v>22</v>
      </c>
      <c r="F2248" t="s">
        <v>3852</v>
      </c>
      <c r="G2248" t="s">
        <v>3853</v>
      </c>
      <c r="H2248">
        <v>2.7829999999999999</v>
      </c>
      <c r="I2248" t="s">
        <v>34</v>
      </c>
    </row>
    <row r="2249" spans="1:9" x14ac:dyDescent="0.3">
      <c r="A2249">
        <v>47</v>
      </c>
      <c r="B2249">
        <v>3</v>
      </c>
      <c r="C2249">
        <v>2</v>
      </c>
      <c r="D2249">
        <v>1</v>
      </c>
      <c r="E2249" t="s">
        <v>9</v>
      </c>
      <c r="F2249" t="s">
        <v>3854</v>
      </c>
      <c r="G2249" t="s">
        <v>3855</v>
      </c>
      <c r="H2249">
        <v>3.8860000000000001</v>
      </c>
      <c r="I2249" t="s">
        <v>12</v>
      </c>
    </row>
    <row r="2250" spans="1:9" x14ac:dyDescent="0.3">
      <c r="A2250">
        <v>47</v>
      </c>
      <c r="B2250">
        <v>3</v>
      </c>
      <c r="C2250">
        <v>2</v>
      </c>
      <c r="D2250">
        <v>1</v>
      </c>
      <c r="E2250" t="s">
        <v>19</v>
      </c>
      <c r="F2250" t="s">
        <v>3856</v>
      </c>
      <c r="I2250" t="s">
        <v>21</v>
      </c>
    </row>
    <row r="2251" spans="1:9" x14ac:dyDescent="0.3">
      <c r="A2251">
        <v>47</v>
      </c>
      <c r="B2251">
        <v>3</v>
      </c>
      <c r="C2251">
        <v>2</v>
      </c>
      <c r="D2251">
        <v>1</v>
      </c>
      <c r="E2251" t="s">
        <v>9</v>
      </c>
      <c r="F2251" t="s">
        <v>3857</v>
      </c>
      <c r="G2251" t="s">
        <v>3858</v>
      </c>
      <c r="H2251">
        <v>4.1849999999999996</v>
      </c>
      <c r="I2251" t="s">
        <v>12</v>
      </c>
    </row>
    <row r="2252" spans="1:9" x14ac:dyDescent="0.3">
      <c r="A2252">
        <v>47</v>
      </c>
      <c r="B2252">
        <v>3</v>
      </c>
      <c r="C2252">
        <v>2</v>
      </c>
      <c r="D2252">
        <v>1</v>
      </c>
      <c r="E2252" t="s">
        <v>22</v>
      </c>
      <c r="F2252" t="s">
        <v>3859</v>
      </c>
      <c r="G2252" t="s">
        <v>3860</v>
      </c>
      <c r="H2252">
        <v>2.3340000000000001</v>
      </c>
      <c r="I2252" t="s">
        <v>21</v>
      </c>
    </row>
    <row r="2253" spans="1:9" x14ac:dyDescent="0.3">
      <c r="A2253">
        <v>47</v>
      </c>
      <c r="B2253">
        <v>3</v>
      </c>
      <c r="C2253">
        <v>2</v>
      </c>
      <c r="D2253">
        <v>1</v>
      </c>
      <c r="E2253" t="s">
        <v>9</v>
      </c>
      <c r="F2253" t="s">
        <v>3861</v>
      </c>
      <c r="G2253" t="s">
        <v>3862</v>
      </c>
      <c r="H2253">
        <v>4.3330000000000002</v>
      </c>
      <c r="I2253" t="s">
        <v>12</v>
      </c>
    </row>
    <row r="2254" spans="1:9" x14ac:dyDescent="0.3">
      <c r="A2254">
        <v>47</v>
      </c>
      <c r="B2254">
        <v>3</v>
      </c>
      <c r="C2254">
        <v>2</v>
      </c>
      <c r="D2254">
        <v>1</v>
      </c>
      <c r="E2254" t="s">
        <v>9</v>
      </c>
      <c r="F2254" t="s">
        <v>3863</v>
      </c>
      <c r="H2254" t="s">
        <v>81</v>
      </c>
      <c r="I2254" t="s">
        <v>34</v>
      </c>
    </row>
    <row r="2255" spans="1:9" x14ac:dyDescent="0.3">
      <c r="A2255">
        <v>47</v>
      </c>
      <c r="B2255">
        <v>3</v>
      </c>
      <c r="C2255">
        <v>2</v>
      </c>
      <c r="D2255">
        <v>2</v>
      </c>
      <c r="E2255" t="s">
        <v>9</v>
      </c>
      <c r="F2255" t="s">
        <v>3864</v>
      </c>
      <c r="G2255" t="s">
        <v>3865</v>
      </c>
      <c r="H2255">
        <v>2.585</v>
      </c>
      <c r="I2255" t="s">
        <v>12</v>
      </c>
    </row>
    <row r="2256" spans="1:9" x14ac:dyDescent="0.3">
      <c r="A2256">
        <v>47</v>
      </c>
      <c r="B2256">
        <v>3</v>
      </c>
      <c r="C2256">
        <v>2</v>
      </c>
      <c r="D2256">
        <v>2</v>
      </c>
      <c r="E2256" t="s">
        <v>9</v>
      </c>
      <c r="F2256" t="s">
        <v>3866</v>
      </c>
      <c r="H2256" t="s">
        <v>81</v>
      </c>
      <c r="I2256" t="s">
        <v>34</v>
      </c>
    </row>
    <row r="2257" spans="1:9" x14ac:dyDescent="0.3">
      <c r="A2257">
        <v>47</v>
      </c>
      <c r="B2257">
        <v>3</v>
      </c>
      <c r="C2257">
        <v>2</v>
      </c>
      <c r="D2257">
        <v>4</v>
      </c>
      <c r="E2257" t="s">
        <v>9</v>
      </c>
      <c r="F2257" t="s">
        <v>3867</v>
      </c>
      <c r="G2257" t="s">
        <v>3868</v>
      </c>
      <c r="H2257">
        <v>2.5190000000000001</v>
      </c>
      <c r="I2257" t="s">
        <v>12</v>
      </c>
    </row>
    <row r="2258" spans="1:9" x14ac:dyDescent="0.3">
      <c r="A2258">
        <v>47</v>
      </c>
      <c r="B2258">
        <v>3</v>
      </c>
      <c r="C2258">
        <v>2</v>
      </c>
      <c r="D2258">
        <v>4</v>
      </c>
      <c r="E2258" t="s">
        <v>9</v>
      </c>
      <c r="F2258" t="s">
        <v>3869</v>
      </c>
      <c r="G2258" t="s">
        <v>3870</v>
      </c>
      <c r="H2258">
        <v>0.78500000000000003</v>
      </c>
      <c r="I2258" t="s">
        <v>12</v>
      </c>
    </row>
    <row r="2259" spans="1:9" x14ac:dyDescent="0.3">
      <c r="A2259">
        <v>47</v>
      </c>
      <c r="B2259">
        <v>3</v>
      </c>
      <c r="C2259">
        <v>2</v>
      </c>
      <c r="D2259">
        <v>4</v>
      </c>
      <c r="E2259" t="s">
        <v>9</v>
      </c>
      <c r="F2259" t="s">
        <v>3871</v>
      </c>
      <c r="G2259" t="s">
        <v>3872</v>
      </c>
      <c r="H2259">
        <v>0.90100000000000002</v>
      </c>
      <c r="I2259" t="s">
        <v>12</v>
      </c>
    </row>
    <row r="2260" spans="1:9" x14ac:dyDescent="0.3">
      <c r="A2260">
        <v>47</v>
      </c>
      <c r="B2260">
        <v>3</v>
      </c>
      <c r="C2260">
        <v>2</v>
      </c>
      <c r="D2260">
        <v>4</v>
      </c>
      <c r="E2260" t="s">
        <v>9</v>
      </c>
      <c r="F2260" t="s">
        <v>3873</v>
      </c>
      <c r="G2260" t="s">
        <v>3874</v>
      </c>
      <c r="H2260">
        <v>1.8680000000000001</v>
      </c>
      <c r="I2260" t="s">
        <v>12</v>
      </c>
    </row>
    <row r="2261" spans="1:9" x14ac:dyDescent="0.3">
      <c r="A2261">
        <v>47</v>
      </c>
      <c r="B2261">
        <v>3</v>
      </c>
      <c r="C2261">
        <v>2</v>
      </c>
      <c r="D2261">
        <v>4</v>
      </c>
      <c r="E2261" t="s">
        <v>19</v>
      </c>
      <c r="F2261" t="s">
        <v>3875</v>
      </c>
      <c r="I2261" t="s">
        <v>21</v>
      </c>
    </row>
    <row r="2262" spans="1:9" x14ac:dyDescent="0.3">
      <c r="A2262">
        <v>47</v>
      </c>
      <c r="B2262">
        <v>3</v>
      </c>
      <c r="C2262">
        <v>2</v>
      </c>
      <c r="D2262">
        <v>4</v>
      </c>
      <c r="E2262" t="s">
        <v>22</v>
      </c>
      <c r="F2262" t="s">
        <v>3876</v>
      </c>
      <c r="H2262" t="s">
        <v>81</v>
      </c>
      <c r="I2262" t="s">
        <v>34</v>
      </c>
    </row>
    <row r="2263" spans="1:9" x14ac:dyDescent="0.3">
      <c r="A2263">
        <v>47</v>
      </c>
      <c r="B2263">
        <v>3</v>
      </c>
      <c r="C2263">
        <v>2</v>
      </c>
      <c r="D2263">
        <v>4</v>
      </c>
      <c r="E2263" t="s">
        <v>22</v>
      </c>
      <c r="F2263" t="s">
        <v>3877</v>
      </c>
      <c r="G2263" t="s">
        <v>3878</v>
      </c>
      <c r="H2263">
        <v>2.8690000000000002</v>
      </c>
      <c r="I2263" t="s">
        <v>21</v>
      </c>
    </row>
    <row r="2264" spans="1:9" x14ac:dyDescent="0.3">
      <c r="A2264">
        <v>47</v>
      </c>
      <c r="B2264">
        <v>3</v>
      </c>
      <c r="C2264">
        <v>2</v>
      </c>
      <c r="D2264">
        <v>5</v>
      </c>
      <c r="E2264" t="s">
        <v>9</v>
      </c>
      <c r="F2264" t="s">
        <v>5346</v>
      </c>
      <c r="G2264" t="s">
        <v>3879</v>
      </c>
      <c r="H2264">
        <v>7.2190000000000003</v>
      </c>
      <c r="I2264" t="s">
        <v>12</v>
      </c>
    </row>
    <row r="2265" spans="1:9" x14ac:dyDescent="0.3">
      <c r="A2265">
        <v>47</v>
      </c>
      <c r="B2265">
        <v>3</v>
      </c>
      <c r="C2265">
        <v>2</v>
      </c>
      <c r="D2265">
        <v>5</v>
      </c>
      <c r="E2265" t="s">
        <v>9</v>
      </c>
      <c r="F2265" t="s">
        <v>3880</v>
      </c>
      <c r="G2265" t="s">
        <v>3881</v>
      </c>
      <c r="H2265">
        <v>3.9329999999999998</v>
      </c>
      <c r="I2265" t="s">
        <v>12</v>
      </c>
    </row>
    <row r="2266" spans="1:9" x14ac:dyDescent="0.3">
      <c r="A2266">
        <v>47</v>
      </c>
      <c r="B2266">
        <v>3</v>
      </c>
      <c r="C2266">
        <v>2</v>
      </c>
      <c r="D2266">
        <v>6</v>
      </c>
      <c r="E2266" t="s">
        <v>9</v>
      </c>
      <c r="F2266" t="s">
        <v>3882</v>
      </c>
      <c r="G2266" t="s">
        <v>3883</v>
      </c>
      <c r="H2266">
        <v>2.452</v>
      </c>
      <c r="I2266" t="s">
        <v>12</v>
      </c>
    </row>
    <row r="2267" spans="1:9" x14ac:dyDescent="0.3">
      <c r="A2267">
        <v>47</v>
      </c>
      <c r="B2267">
        <v>3</v>
      </c>
      <c r="C2267">
        <v>2</v>
      </c>
      <c r="D2267">
        <v>6</v>
      </c>
      <c r="E2267" t="s">
        <v>9</v>
      </c>
      <c r="F2267" t="s">
        <v>3884</v>
      </c>
      <c r="G2267" t="s">
        <v>3885</v>
      </c>
      <c r="H2267">
        <v>4.984</v>
      </c>
      <c r="I2267" t="s">
        <v>12</v>
      </c>
    </row>
    <row r="2268" spans="1:9" x14ac:dyDescent="0.3">
      <c r="A2268">
        <v>47</v>
      </c>
      <c r="B2268">
        <v>3</v>
      </c>
      <c r="C2268">
        <v>2</v>
      </c>
      <c r="D2268">
        <v>7</v>
      </c>
      <c r="E2268" t="s">
        <v>9</v>
      </c>
      <c r="F2268" t="s">
        <v>3886</v>
      </c>
      <c r="H2268" t="s">
        <v>81</v>
      </c>
      <c r="I2268" t="s">
        <v>34</v>
      </c>
    </row>
    <row r="2269" spans="1:9" x14ac:dyDescent="0.3">
      <c r="A2269">
        <v>47</v>
      </c>
      <c r="B2269">
        <v>3</v>
      </c>
      <c r="C2269">
        <v>2</v>
      </c>
      <c r="D2269">
        <v>7</v>
      </c>
      <c r="E2269" t="s">
        <v>9</v>
      </c>
      <c r="F2269" t="s">
        <v>3887</v>
      </c>
      <c r="G2269" t="s">
        <v>3888</v>
      </c>
      <c r="H2269">
        <v>4.4530000000000003</v>
      </c>
      <c r="I2269" t="s">
        <v>12</v>
      </c>
    </row>
    <row r="2270" spans="1:9" x14ac:dyDescent="0.3">
      <c r="A2270">
        <v>47</v>
      </c>
      <c r="B2270">
        <v>3</v>
      </c>
      <c r="C2270">
        <v>2</v>
      </c>
      <c r="D2270">
        <v>8</v>
      </c>
      <c r="E2270" t="s">
        <v>9</v>
      </c>
      <c r="F2270" t="s">
        <v>3889</v>
      </c>
      <c r="G2270" t="s">
        <v>3890</v>
      </c>
      <c r="H2270">
        <v>1.7529999999999999</v>
      </c>
      <c r="I2270" t="s">
        <v>12</v>
      </c>
    </row>
    <row r="2271" spans="1:9" x14ac:dyDescent="0.3">
      <c r="A2271">
        <v>47</v>
      </c>
      <c r="B2271">
        <v>3</v>
      </c>
      <c r="C2271">
        <v>2</v>
      </c>
      <c r="D2271">
        <v>8</v>
      </c>
      <c r="E2271" t="s">
        <v>9</v>
      </c>
      <c r="F2271" t="s">
        <v>3891</v>
      </c>
      <c r="G2271" t="s">
        <v>3892</v>
      </c>
      <c r="H2271">
        <v>2.3010000000000002</v>
      </c>
      <c r="I2271" t="s">
        <v>12</v>
      </c>
    </row>
    <row r="2272" spans="1:9" x14ac:dyDescent="0.3">
      <c r="A2272">
        <v>47</v>
      </c>
      <c r="B2272">
        <v>3</v>
      </c>
      <c r="C2272">
        <v>2</v>
      </c>
      <c r="D2272">
        <v>8</v>
      </c>
      <c r="E2272" t="s">
        <v>19</v>
      </c>
      <c r="F2272" t="s">
        <v>3893</v>
      </c>
      <c r="I2272" t="s">
        <v>34</v>
      </c>
    </row>
    <row r="2273" spans="1:9" x14ac:dyDescent="0.3">
      <c r="A2273">
        <v>47</v>
      </c>
      <c r="B2273">
        <v>3</v>
      </c>
      <c r="C2273">
        <v>2</v>
      </c>
      <c r="D2273">
        <v>8</v>
      </c>
      <c r="E2273" t="s">
        <v>22</v>
      </c>
      <c r="F2273" t="s">
        <v>3894</v>
      </c>
      <c r="H2273" t="s">
        <v>81</v>
      </c>
      <c r="I2273" t="s">
        <v>34</v>
      </c>
    </row>
    <row r="2274" spans="1:9" x14ac:dyDescent="0.3">
      <c r="A2274">
        <v>47</v>
      </c>
      <c r="B2274">
        <v>3</v>
      </c>
      <c r="C2274">
        <v>2</v>
      </c>
      <c r="D2274">
        <v>9</v>
      </c>
      <c r="E2274" t="s">
        <v>9</v>
      </c>
      <c r="F2274" t="s">
        <v>3895</v>
      </c>
      <c r="G2274" t="s">
        <v>3896</v>
      </c>
      <c r="H2274">
        <v>2.0499999999999998</v>
      </c>
      <c r="I2274" t="s">
        <v>12</v>
      </c>
    </row>
    <row r="2275" spans="1:9" x14ac:dyDescent="0.3">
      <c r="A2275">
        <v>47</v>
      </c>
      <c r="B2275">
        <v>3</v>
      </c>
      <c r="C2275">
        <v>2</v>
      </c>
      <c r="D2275">
        <v>9</v>
      </c>
      <c r="E2275" t="s">
        <v>9</v>
      </c>
      <c r="F2275" t="s">
        <v>3897</v>
      </c>
      <c r="G2275" t="s">
        <v>3898</v>
      </c>
      <c r="H2275">
        <v>4.9859999999999998</v>
      </c>
      <c r="I2275" t="s">
        <v>12</v>
      </c>
    </row>
    <row r="2276" spans="1:9" x14ac:dyDescent="0.3">
      <c r="A2276">
        <v>47</v>
      </c>
      <c r="B2276">
        <v>3</v>
      </c>
      <c r="C2276">
        <v>2</v>
      </c>
      <c r="D2276">
        <v>9</v>
      </c>
      <c r="E2276" t="s">
        <v>19</v>
      </c>
      <c r="F2276" t="s">
        <v>3899</v>
      </c>
      <c r="I2276" t="s">
        <v>34</v>
      </c>
    </row>
    <row r="2277" spans="1:9" x14ac:dyDescent="0.3">
      <c r="A2277">
        <v>47</v>
      </c>
      <c r="B2277">
        <v>3</v>
      </c>
      <c r="C2277">
        <v>2</v>
      </c>
      <c r="D2277">
        <v>9</v>
      </c>
      <c r="E2277" t="s">
        <v>22</v>
      </c>
      <c r="F2277" t="s">
        <v>3900</v>
      </c>
      <c r="G2277" t="s">
        <v>3901</v>
      </c>
      <c r="H2277">
        <v>1.4339999999999999</v>
      </c>
      <c r="I2277" t="s">
        <v>21</v>
      </c>
    </row>
    <row r="2278" spans="1:9" x14ac:dyDescent="0.3">
      <c r="A2278">
        <v>47</v>
      </c>
      <c r="B2278">
        <v>3</v>
      </c>
      <c r="C2278">
        <v>2</v>
      </c>
      <c r="D2278">
        <v>10</v>
      </c>
      <c r="E2278" t="s">
        <v>9</v>
      </c>
      <c r="F2278" t="s">
        <v>3902</v>
      </c>
      <c r="G2278" t="s">
        <v>3903</v>
      </c>
      <c r="H2278">
        <v>1.72</v>
      </c>
      <c r="I2278" t="s">
        <v>12</v>
      </c>
    </row>
    <row r="2279" spans="1:9" x14ac:dyDescent="0.3">
      <c r="A2279">
        <v>47</v>
      </c>
      <c r="B2279">
        <v>3</v>
      </c>
      <c r="C2279">
        <v>2</v>
      </c>
      <c r="D2279">
        <v>10</v>
      </c>
      <c r="E2279" t="s">
        <v>22</v>
      </c>
      <c r="F2279" t="s">
        <v>3904</v>
      </c>
      <c r="G2279" t="s">
        <v>3905</v>
      </c>
      <c r="H2279">
        <v>2.1349999999999998</v>
      </c>
      <c r="I2279" t="s">
        <v>21</v>
      </c>
    </row>
    <row r="2280" spans="1:9" x14ac:dyDescent="0.3">
      <c r="A2280">
        <v>47</v>
      </c>
      <c r="B2280">
        <v>3</v>
      </c>
      <c r="C2280">
        <v>2</v>
      </c>
      <c r="D2280">
        <v>10</v>
      </c>
      <c r="E2280" t="s">
        <v>9</v>
      </c>
      <c r="F2280" t="s">
        <v>3906</v>
      </c>
      <c r="G2280" t="s">
        <v>3907</v>
      </c>
      <c r="H2280">
        <v>2.2519999999999998</v>
      </c>
      <c r="I2280" t="s">
        <v>12</v>
      </c>
    </row>
    <row r="2281" spans="1:9" x14ac:dyDescent="0.3">
      <c r="A2281">
        <v>47</v>
      </c>
      <c r="B2281">
        <v>3</v>
      </c>
      <c r="C2281">
        <v>2</v>
      </c>
      <c r="D2281">
        <v>10</v>
      </c>
      <c r="E2281" t="s">
        <v>9</v>
      </c>
      <c r="F2281" t="s">
        <v>3908</v>
      </c>
      <c r="G2281" t="s">
        <v>3909</v>
      </c>
      <c r="H2281">
        <v>1.401</v>
      </c>
      <c r="I2281" t="s">
        <v>12</v>
      </c>
    </row>
    <row r="2282" spans="1:9" x14ac:dyDescent="0.3">
      <c r="A2282">
        <v>47</v>
      </c>
      <c r="B2282">
        <v>3</v>
      </c>
      <c r="C2282">
        <v>2</v>
      </c>
      <c r="D2282">
        <v>10</v>
      </c>
      <c r="E2282" t="s">
        <v>19</v>
      </c>
      <c r="F2282" t="s">
        <v>3910</v>
      </c>
      <c r="I2282" t="s">
        <v>21</v>
      </c>
    </row>
    <row r="2283" spans="1:9" x14ac:dyDescent="0.3">
      <c r="A2283">
        <v>47</v>
      </c>
      <c r="B2283">
        <v>3</v>
      </c>
      <c r="C2283">
        <v>2</v>
      </c>
      <c r="D2283">
        <v>10</v>
      </c>
      <c r="E2283" t="s">
        <v>9</v>
      </c>
      <c r="F2283" t="s">
        <v>3911</v>
      </c>
      <c r="G2283" t="s">
        <v>3912</v>
      </c>
      <c r="H2283">
        <v>1.5680000000000001</v>
      </c>
      <c r="I2283" t="s">
        <v>12</v>
      </c>
    </row>
    <row r="2284" spans="1:9" x14ac:dyDescent="0.3">
      <c r="A2284">
        <v>47</v>
      </c>
      <c r="B2284">
        <v>3</v>
      </c>
      <c r="C2284">
        <v>2</v>
      </c>
      <c r="D2284">
        <v>10</v>
      </c>
      <c r="E2284" t="s">
        <v>19</v>
      </c>
      <c r="F2284" t="s">
        <v>3913</v>
      </c>
      <c r="I2284" t="s">
        <v>21</v>
      </c>
    </row>
    <row r="2285" spans="1:9" x14ac:dyDescent="0.3">
      <c r="A2285">
        <v>47</v>
      </c>
      <c r="B2285">
        <v>3</v>
      </c>
      <c r="C2285">
        <v>2</v>
      </c>
      <c r="D2285">
        <v>10</v>
      </c>
      <c r="E2285" t="s">
        <v>19</v>
      </c>
      <c r="F2285" t="s">
        <v>3914</v>
      </c>
      <c r="I2285" t="s">
        <v>21</v>
      </c>
    </row>
    <row r="2286" spans="1:9" x14ac:dyDescent="0.3">
      <c r="A2286">
        <v>47</v>
      </c>
      <c r="B2286">
        <v>3</v>
      </c>
      <c r="C2286">
        <v>2</v>
      </c>
      <c r="D2286">
        <v>11</v>
      </c>
      <c r="E2286" t="s">
        <v>9</v>
      </c>
      <c r="F2286" t="s">
        <v>3915</v>
      </c>
      <c r="H2286" t="s">
        <v>81</v>
      </c>
      <c r="I2286" t="s">
        <v>34</v>
      </c>
    </row>
    <row r="2287" spans="1:9" x14ac:dyDescent="0.3">
      <c r="A2287">
        <v>47</v>
      </c>
      <c r="B2287">
        <v>3</v>
      </c>
      <c r="C2287">
        <v>2</v>
      </c>
      <c r="D2287">
        <v>11</v>
      </c>
      <c r="E2287" t="s">
        <v>9</v>
      </c>
      <c r="F2287" t="s">
        <v>3916</v>
      </c>
      <c r="G2287" t="s">
        <v>3917</v>
      </c>
      <c r="H2287">
        <v>2.0019999999999998</v>
      </c>
      <c r="I2287" t="s">
        <v>12</v>
      </c>
    </row>
    <row r="2288" spans="1:9" x14ac:dyDescent="0.3">
      <c r="A2288">
        <v>47</v>
      </c>
      <c r="B2288">
        <v>3</v>
      </c>
      <c r="C2288">
        <v>2</v>
      </c>
      <c r="D2288">
        <v>11</v>
      </c>
      <c r="E2288" t="s">
        <v>9</v>
      </c>
      <c r="F2288" t="s">
        <v>3918</v>
      </c>
      <c r="G2288" t="s">
        <v>3919</v>
      </c>
      <c r="H2288">
        <v>3.1179999999999999</v>
      </c>
      <c r="I2288" t="s">
        <v>12</v>
      </c>
    </row>
    <row r="2289" spans="1:9" x14ac:dyDescent="0.3">
      <c r="A2289">
        <v>47</v>
      </c>
      <c r="B2289">
        <v>3</v>
      </c>
      <c r="C2289">
        <v>2</v>
      </c>
      <c r="D2289">
        <v>11</v>
      </c>
      <c r="E2289" t="s">
        <v>9</v>
      </c>
      <c r="F2289" t="s">
        <v>3920</v>
      </c>
      <c r="G2289" t="s">
        <v>3921</v>
      </c>
      <c r="H2289">
        <v>0.93400000000000005</v>
      </c>
      <c r="I2289" t="s">
        <v>12</v>
      </c>
    </row>
    <row r="2290" spans="1:9" x14ac:dyDescent="0.3">
      <c r="A2290">
        <v>47</v>
      </c>
      <c r="B2290">
        <v>3</v>
      </c>
      <c r="C2290">
        <v>2</v>
      </c>
      <c r="D2290">
        <v>11</v>
      </c>
      <c r="E2290" t="s">
        <v>22</v>
      </c>
      <c r="F2290" t="s">
        <v>3922</v>
      </c>
      <c r="G2290" t="s">
        <v>3923</v>
      </c>
      <c r="H2290">
        <v>1.101</v>
      </c>
      <c r="I2290" t="s">
        <v>21</v>
      </c>
    </row>
    <row r="2291" spans="1:9" x14ac:dyDescent="0.3">
      <c r="A2291">
        <v>47</v>
      </c>
      <c r="B2291">
        <v>3</v>
      </c>
      <c r="C2291">
        <v>2</v>
      </c>
      <c r="D2291">
        <v>11</v>
      </c>
      <c r="E2291" t="s">
        <v>19</v>
      </c>
      <c r="F2291" t="s">
        <v>3924</v>
      </c>
      <c r="I2291" t="s">
        <v>34</v>
      </c>
    </row>
    <row r="2292" spans="1:9" x14ac:dyDescent="0.3">
      <c r="A2292">
        <v>47</v>
      </c>
      <c r="B2292">
        <v>3</v>
      </c>
      <c r="C2292">
        <v>2</v>
      </c>
      <c r="D2292">
        <v>11</v>
      </c>
      <c r="E2292" t="s">
        <v>22</v>
      </c>
      <c r="F2292" t="s">
        <v>3925</v>
      </c>
      <c r="H2292" t="s">
        <v>81</v>
      </c>
      <c r="I2292" t="s">
        <v>34</v>
      </c>
    </row>
    <row r="2293" spans="1:9" x14ac:dyDescent="0.3">
      <c r="A2293">
        <v>47</v>
      </c>
      <c r="B2293">
        <v>3</v>
      </c>
      <c r="C2293">
        <v>2</v>
      </c>
      <c r="D2293">
        <v>11</v>
      </c>
      <c r="E2293" t="s">
        <v>22</v>
      </c>
      <c r="F2293" t="s">
        <v>2263</v>
      </c>
      <c r="G2293" t="s">
        <v>3926</v>
      </c>
      <c r="H2293">
        <v>2.7669999999999999</v>
      </c>
      <c r="I2293" t="s">
        <v>21</v>
      </c>
    </row>
    <row r="2294" spans="1:9" x14ac:dyDescent="0.3">
      <c r="A2294">
        <v>47</v>
      </c>
      <c r="B2294">
        <v>3</v>
      </c>
      <c r="C2294">
        <v>2</v>
      </c>
      <c r="D2294">
        <v>12</v>
      </c>
      <c r="E2294" t="s">
        <v>9</v>
      </c>
      <c r="F2294" t="s">
        <v>3927</v>
      </c>
      <c r="G2294" t="s">
        <v>3928</v>
      </c>
      <c r="H2294">
        <v>1.1859999999999999</v>
      </c>
      <c r="I2294" t="s">
        <v>12</v>
      </c>
    </row>
    <row r="2295" spans="1:9" x14ac:dyDescent="0.3">
      <c r="A2295">
        <v>47</v>
      </c>
      <c r="B2295">
        <v>3</v>
      </c>
      <c r="C2295">
        <v>2</v>
      </c>
      <c r="D2295">
        <v>12</v>
      </c>
      <c r="E2295" t="s">
        <v>9</v>
      </c>
      <c r="F2295" t="s">
        <v>3929</v>
      </c>
      <c r="G2295" t="s">
        <v>3930</v>
      </c>
      <c r="H2295">
        <v>1.3340000000000001</v>
      </c>
      <c r="I2295" t="s">
        <v>12</v>
      </c>
    </row>
    <row r="2296" spans="1:9" x14ac:dyDescent="0.3">
      <c r="A2296">
        <v>47</v>
      </c>
      <c r="B2296">
        <v>3</v>
      </c>
      <c r="C2296">
        <v>2</v>
      </c>
      <c r="D2296">
        <v>12</v>
      </c>
      <c r="E2296" t="s">
        <v>9</v>
      </c>
      <c r="F2296" t="s">
        <v>3931</v>
      </c>
      <c r="G2296" t="s">
        <v>3932</v>
      </c>
      <c r="H2296">
        <v>1.5189999999999999</v>
      </c>
      <c r="I2296" t="s">
        <v>12</v>
      </c>
    </row>
    <row r="2297" spans="1:9" x14ac:dyDescent="0.3">
      <c r="A2297">
        <v>47</v>
      </c>
      <c r="B2297">
        <v>3</v>
      </c>
      <c r="C2297">
        <v>2</v>
      </c>
      <c r="D2297">
        <v>13</v>
      </c>
      <c r="E2297" t="s">
        <v>9</v>
      </c>
      <c r="F2297" t="s">
        <v>3933</v>
      </c>
      <c r="G2297" t="s">
        <v>3934</v>
      </c>
      <c r="H2297">
        <v>1.2849999999999999</v>
      </c>
      <c r="I2297" t="s">
        <v>12</v>
      </c>
    </row>
    <row r="2298" spans="1:9" x14ac:dyDescent="0.3">
      <c r="A2298">
        <v>47</v>
      </c>
      <c r="B2298">
        <v>3</v>
      </c>
      <c r="C2298">
        <v>2</v>
      </c>
      <c r="D2298">
        <v>13</v>
      </c>
      <c r="E2298" t="s">
        <v>9</v>
      </c>
      <c r="F2298" t="s">
        <v>3935</v>
      </c>
      <c r="G2298" t="s">
        <v>3936</v>
      </c>
      <c r="H2298">
        <v>0.90100000000000002</v>
      </c>
      <c r="I2298" t="s">
        <v>12</v>
      </c>
    </row>
    <row r="2299" spans="1:9" x14ac:dyDescent="0.3">
      <c r="A2299">
        <v>47</v>
      </c>
      <c r="B2299">
        <v>3</v>
      </c>
      <c r="C2299">
        <v>2</v>
      </c>
      <c r="D2299">
        <v>13</v>
      </c>
      <c r="E2299" t="s">
        <v>9</v>
      </c>
      <c r="F2299" t="s">
        <v>3937</v>
      </c>
      <c r="G2299" t="s">
        <v>3938</v>
      </c>
      <c r="H2299">
        <v>3.8690000000000002</v>
      </c>
      <c r="I2299" t="s">
        <v>12</v>
      </c>
    </row>
    <row r="2300" spans="1:9" x14ac:dyDescent="0.3">
      <c r="A2300">
        <v>47</v>
      </c>
      <c r="B2300">
        <v>3</v>
      </c>
      <c r="C2300">
        <v>2</v>
      </c>
      <c r="D2300">
        <v>13</v>
      </c>
      <c r="E2300" t="s">
        <v>9</v>
      </c>
      <c r="F2300" t="s">
        <v>3939</v>
      </c>
      <c r="G2300" t="s">
        <v>3940</v>
      </c>
      <c r="H2300">
        <v>1.268</v>
      </c>
      <c r="I2300" t="s">
        <v>12</v>
      </c>
    </row>
    <row r="2301" spans="1:9" x14ac:dyDescent="0.3">
      <c r="A2301">
        <v>47</v>
      </c>
      <c r="B2301">
        <v>3</v>
      </c>
      <c r="C2301">
        <v>2</v>
      </c>
      <c r="D2301">
        <v>14</v>
      </c>
      <c r="E2301" t="s">
        <v>9</v>
      </c>
      <c r="F2301" t="s">
        <v>3941</v>
      </c>
      <c r="G2301" t="s">
        <v>3942</v>
      </c>
      <c r="H2301">
        <v>1.5820000000000001</v>
      </c>
      <c r="I2301" t="s">
        <v>12</v>
      </c>
    </row>
    <row r="2302" spans="1:9" x14ac:dyDescent="0.3">
      <c r="A2302">
        <v>47</v>
      </c>
      <c r="B2302">
        <v>3</v>
      </c>
      <c r="C2302">
        <v>2</v>
      </c>
      <c r="D2302">
        <v>14</v>
      </c>
      <c r="E2302" t="s">
        <v>9</v>
      </c>
      <c r="F2302" t="s">
        <v>3943</v>
      </c>
      <c r="G2302" t="s">
        <v>3944</v>
      </c>
      <c r="H2302">
        <v>1.268</v>
      </c>
      <c r="I2302" t="s">
        <v>12</v>
      </c>
    </row>
    <row r="2303" spans="1:9" x14ac:dyDescent="0.3">
      <c r="A2303">
        <v>47</v>
      </c>
      <c r="B2303">
        <v>3</v>
      </c>
      <c r="C2303">
        <v>3</v>
      </c>
      <c r="D2303">
        <v>4</v>
      </c>
      <c r="E2303" t="s">
        <v>9</v>
      </c>
      <c r="F2303" t="s">
        <v>3945</v>
      </c>
      <c r="G2303" t="s">
        <v>3946</v>
      </c>
      <c r="H2303">
        <v>2.085</v>
      </c>
      <c r="I2303" t="s">
        <v>12</v>
      </c>
    </row>
    <row r="2304" spans="1:9" x14ac:dyDescent="0.3">
      <c r="A2304">
        <v>48</v>
      </c>
      <c r="B2304">
        <v>1</v>
      </c>
      <c r="C2304">
        <v>1</v>
      </c>
      <c r="D2304">
        <v>1</v>
      </c>
      <c r="E2304" t="s">
        <v>9</v>
      </c>
      <c r="F2304" t="s">
        <v>3947</v>
      </c>
      <c r="G2304" t="s">
        <v>3948</v>
      </c>
      <c r="H2304">
        <v>4.0060000000000002</v>
      </c>
      <c r="I2304" t="s">
        <v>12</v>
      </c>
    </row>
    <row r="2305" spans="1:9" x14ac:dyDescent="0.3">
      <c r="A2305">
        <v>48</v>
      </c>
      <c r="B2305">
        <v>1</v>
      </c>
      <c r="C2305">
        <v>1</v>
      </c>
      <c r="D2305">
        <v>3</v>
      </c>
      <c r="E2305" t="s">
        <v>9</v>
      </c>
      <c r="F2305" t="s">
        <v>3949</v>
      </c>
      <c r="G2305" t="s">
        <v>3950</v>
      </c>
      <c r="H2305">
        <v>2.7530000000000001</v>
      </c>
      <c r="I2305" t="s">
        <v>12</v>
      </c>
    </row>
    <row r="2306" spans="1:9" x14ac:dyDescent="0.3">
      <c r="A2306">
        <v>48</v>
      </c>
      <c r="B2306">
        <v>1</v>
      </c>
      <c r="C2306">
        <v>1</v>
      </c>
      <c r="D2306">
        <v>3</v>
      </c>
      <c r="E2306" t="s">
        <v>19</v>
      </c>
      <c r="F2306" t="s">
        <v>3951</v>
      </c>
      <c r="I2306" t="s">
        <v>21</v>
      </c>
    </row>
    <row r="2307" spans="1:9" x14ac:dyDescent="0.3">
      <c r="A2307">
        <v>48</v>
      </c>
      <c r="B2307">
        <v>1</v>
      </c>
      <c r="C2307">
        <v>2</v>
      </c>
      <c r="D2307">
        <v>1</v>
      </c>
      <c r="E2307" t="s">
        <v>9</v>
      </c>
      <c r="F2307" t="s">
        <v>3952</v>
      </c>
      <c r="H2307" t="s">
        <v>81</v>
      </c>
      <c r="I2307" t="s">
        <v>34</v>
      </c>
    </row>
    <row r="2308" spans="1:9" x14ac:dyDescent="0.3">
      <c r="A2308">
        <v>48</v>
      </c>
      <c r="B2308">
        <v>1</v>
      </c>
      <c r="C2308">
        <v>2</v>
      </c>
      <c r="D2308">
        <v>1</v>
      </c>
      <c r="E2308" t="s">
        <v>9</v>
      </c>
      <c r="F2308" t="s">
        <v>3953</v>
      </c>
      <c r="G2308" t="s">
        <v>3954</v>
      </c>
      <c r="H2308">
        <v>2.5870000000000002</v>
      </c>
      <c r="I2308" t="s">
        <v>12</v>
      </c>
    </row>
    <row r="2309" spans="1:9" x14ac:dyDescent="0.3">
      <c r="A2309">
        <v>48</v>
      </c>
      <c r="B2309">
        <v>1</v>
      </c>
      <c r="C2309">
        <v>2</v>
      </c>
      <c r="D2309">
        <v>1</v>
      </c>
      <c r="E2309" t="s">
        <v>9</v>
      </c>
      <c r="F2309" t="s">
        <v>3955</v>
      </c>
      <c r="G2309" t="s">
        <v>3956</v>
      </c>
      <c r="H2309">
        <v>4.1289999999999996</v>
      </c>
      <c r="I2309" t="s">
        <v>12</v>
      </c>
    </row>
    <row r="2310" spans="1:9" x14ac:dyDescent="0.3">
      <c r="A2310">
        <v>48</v>
      </c>
      <c r="B2310">
        <v>1</v>
      </c>
      <c r="C2310">
        <v>2</v>
      </c>
      <c r="D2310">
        <v>1</v>
      </c>
      <c r="E2310" t="s">
        <v>9</v>
      </c>
      <c r="F2310" t="s">
        <v>3957</v>
      </c>
      <c r="G2310" t="s">
        <v>3958</v>
      </c>
      <c r="H2310">
        <v>4.5999999999999996</v>
      </c>
      <c r="I2310" t="s">
        <v>12</v>
      </c>
    </row>
    <row r="2311" spans="1:9" x14ac:dyDescent="0.3">
      <c r="A2311">
        <v>48</v>
      </c>
      <c r="B2311">
        <v>1</v>
      </c>
      <c r="C2311">
        <v>3</v>
      </c>
      <c r="D2311">
        <v>1</v>
      </c>
      <c r="E2311" t="s">
        <v>9</v>
      </c>
      <c r="F2311" t="s">
        <v>3959</v>
      </c>
      <c r="G2311" t="s">
        <v>3960</v>
      </c>
      <c r="H2311">
        <v>3.2189999999999999</v>
      </c>
      <c r="I2311" t="s">
        <v>12</v>
      </c>
    </row>
    <row r="2312" spans="1:9" x14ac:dyDescent="0.3">
      <c r="A2312">
        <v>48</v>
      </c>
      <c r="B2312">
        <v>1</v>
      </c>
      <c r="C2312">
        <v>3</v>
      </c>
      <c r="D2312">
        <v>2</v>
      </c>
      <c r="E2312" t="s">
        <v>9</v>
      </c>
      <c r="F2312" t="s">
        <v>3961</v>
      </c>
      <c r="G2312" t="s">
        <v>3962</v>
      </c>
      <c r="H2312">
        <v>3.5859999999999999</v>
      </c>
      <c r="I2312" t="s">
        <v>12</v>
      </c>
    </row>
    <row r="2313" spans="1:9" x14ac:dyDescent="0.3">
      <c r="A2313">
        <v>48</v>
      </c>
      <c r="B2313">
        <v>1</v>
      </c>
      <c r="C2313">
        <v>1</v>
      </c>
      <c r="D2313">
        <v>1</v>
      </c>
      <c r="E2313" t="s">
        <v>9</v>
      </c>
      <c r="F2313" t="s">
        <v>3963</v>
      </c>
      <c r="G2313" t="s">
        <v>3964</v>
      </c>
      <c r="H2313">
        <v>3.6859999999999999</v>
      </c>
      <c r="I2313" t="s">
        <v>12</v>
      </c>
    </row>
    <row r="2314" spans="1:9" x14ac:dyDescent="0.3">
      <c r="A2314">
        <v>48</v>
      </c>
      <c r="B2314">
        <v>1</v>
      </c>
      <c r="C2314">
        <v>1</v>
      </c>
      <c r="D2314">
        <v>1</v>
      </c>
      <c r="E2314" t="s">
        <v>9</v>
      </c>
      <c r="F2314" t="s">
        <v>3965</v>
      </c>
      <c r="G2314" t="s">
        <v>3966</v>
      </c>
      <c r="H2314">
        <v>2.6</v>
      </c>
      <c r="I2314" t="s">
        <v>12</v>
      </c>
    </row>
    <row r="2315" spans="1:9" x14ac:dyDescent="0.3">
      <c r="A2315">
        <v>48</v>
      </c>
      <c r="B2315">
        <v>1</v>
      </c>
      <c r="C2315">
        <v>1</v>
      </c>
      <c r="D2315">
        <v>1</v>
      </c>
      <c r="E2315" t="s">
        <v>22</v>
      </c>
      <c r="F2315" t="s">
        <v>3967</v>
      </c>
      <c r="G2315" t="s">
        <v>3968</v>
      </c>
      <c r="H2315">
        <v>1.7010000000000001</v>
      </c>
      <c r="I2315" t="s">
        <v>21</v>
      </c>
    </row>
    <row r="2316" spans="1:9" x14ac:dyDescent="0.3">
      <c r="A2316">
        <v>48</v>
      </c>
      <c r="B2316">
        <v>1</v>
      </c>
      <c r="C2316">
        <v>1</v>
      </c>
      <c r="D2316">
        <v>1</v>
      </c>
      <c r="E2316" t="s">
        <v>9</v>
      </c>
      <c r="F2316" t="s">
        <v>3969</v>
      </c>
      <c r="G2316" t="s">
        <v>3970</v>
      </c>
      <c r="H2316">
        <v>3.6659999999999999</v>
      </c>
      <c r="I2316" t="s">
        <v>12</v>
      </c>
    </row>
    <row r="2317" spans="1:9" x14ac:dyDescent="0.3">
      <c r="A2317">
        <v>48</v>
      </c>
      <c r="B2317">
        <v>1</v>
      </c>
      <c r="C2317">
        <v>1</v>
      </c>
      <c r="D2317">
        <v>1</v>
      </c>
      <c r="E2317" t="s">
        <v>9</v>
      </c>
      <c r="F2317" t="s">
        <v>3971</v>
      </c>
      <c r="G2317" t="s">
        <v>3972</v>
      </c>
      <c r="H2317">
        <v>2.1339999999999999</v>
      </c>
      <c r="I2317" t="s">
        <v>12</v>
      </c>
    </row>
    <row r="2318" spans="1:9" x14ac:dyDescent="0.3">
      <c r="A2318">
        <v>48</v>
      </c>
      <c r="B2318">
        <v>1</v>
      </c>
      <c r="C2318">
        <v>1</v>
      </c>
      <c r="D2318">
        <v>1</v>
      </c>
      <c r="E2318" t="s">
        <v>19</v>
      </c>
      <c r="F2318" t="s">
        <v>3973</v>
      </c>
      <c r="I2318" t="s">
        <v>21</v>
      </c>
    </row>
    <row r="2319" spans="1:9" x14ac:dyDescent="0.3">
      <c r="A2319">
        <v>48</v>
      </c>
      <c r="B2319">
        <v>1</v>
      </c>
      <c r="C2319">
        <v>1</v>
      </c>
      <c r="D2319">
        <v>1</v>
      </c>
      <c r="E2319" t="s">
        <v>22</v>
      </c>
      <c r="F2319" t="s">
        <v>3974</v>
      </c>
      <c r="G2319" t="s">
        <v>3975</v>
      </c>
      <c r="H2319">
        <v>3.7010000000000001</v>
      </c>
      <c r="I2319" t="s">
        <v>21</v>
      </c>
    </row>
    <row r="2320" spans="1:9" x14ac:dyDescent="0.3">
      <c r="A2320">
        <v>48</v>
      </c>
      <c r="B2320">
        <v>1</v>
      </c>
      <c r="C2320">
        <v>1</v>
      </c>
      <c r="D2320">
        <v>1</v>
      </c>
      <c r="E2320" t="s">
        <v>19</v>
      </c>
      <c r="F2320" t="s">
        <v>3976</v>
      </c>
      <c r="I2320" t="s">
        <v>21</v>
      </c>
    </row>
    <row r="2321" spans="1:9" x14ac:dyDescent="0.3">
      <c r="A2321">
        <v>48</v>
      </c>
      <c r="B2321">
        <v>1</v>
      </c>
      <c r="C2321">
        <v>2</v>
      </c>
      <c r="D2321">
        <v>1</v>
      </c>
      <c r="E2321" t="s">
        <v>9</v>
      </c>
      <c r="F2321" t="s">
        <v>3977</v>
      </c>
      <c r="G2321" t="s">
        <v>3978</v>
      </c>
      <c r="H2321">
        <v>4.12</v>
      </c>
      <c r="I2321" t="s">
        <v>12</v>
      </c>
    </row>
    <row r="2322" spans="1:9" x14ac:dyDescent="0.3">
      <c r="A2322">
        <v>48</v>
      </c>
      <c r="B2322">
        <v>1</v>
      </c>
      <c r="C2322">
        <v>2</v>
      </c>
      <c r="D2322">
        <v>1</v>
      </c>
      <c r="E2322" t="s">
        <v>22</v>
      </c>
      <c r="F2322" t="s">
        <v>3979</v>
      </c>
      <c r="G2322" t="s">
        <v>3980</v>
      </c>
      <c r="H2322">
        <v>2.9670000000000001</v>
      </c>
      <c r="I2322" t="s">
        <v>21</v>
      </c>
    </row>
    <row r="2323" spans="1:9" x14ac:dyDescent="0.3">
      <c r="A2323">
        <v>48</v>
      </c>
      <c r="B2323">
        <v>1</v>
      </c>
      <c r="C2323">
        <v>2</v>
      </c>
      <c r="D2323">
        <v>1</v>
      </c>
      <c r="E2323" t="s">
        <v>9</v>
      </c>
      <c r="F2323" t="s">
        <v>3981</v>
      </c>
      <c r="G2323" t="s">
        <v>3982</v>
      </c>
      <c r="H2323">
        <v>2.6659999999999999</v>
      </c>
      <c r="I2323" t="s">
        <v>12</v>
      </c>
    </row>
    <row r="2324" spans="1:9" x14ac:dyDescent="0.3">
      <c r="A2324">
        <v>48</v>
      </c>
      <c r="B2324">
        <v>1</v>
      </c>
      <c r="C2324">
        <v>2</v>
      </c>
      <c r="D2324">
        <v>1</v>
      </c>
      <c r="E2324" t="s">
        <v>22</v>
      </c>
      <c r="F2324" t="s">
        <v>3983</v>
      </c>
      <c r="G2324" t="s">
        <v>3984</v>
      </c>
      <c r="H2324">
        <v>1.2350000000000001</v>
      </c>
      <c r="I2324" t="s">
        <v>21</v>
      </c>
    </row>
    <row r="2325" spans="1:9" x14ac:dyDescent="0.3">
      <c r="A2325">
        <v>48</v>
      </c>
      <c r="B2325">
        <v>1</v>
      </c>
      <c r="C2325">
        <v>2</v>
      </c>
      <c r="D2325">
        <v>1</v>
      </c>
      <c r="E2325" t="s">
        <v>19</v>
      </c>
      <c r="F2325" t="s">
        <v>3985</v>
      </c>
      <c r="I2325" t="s">
        <v>21</v>
      </c>
    </row>
    <row r="2326" spans="1:9" x14ac:dyDescent="0.3">
      <c r="A2326">
        <v>48</v>
      </c>
      <c r="B2326">
        <v>1</v>
      </c>
      <c r="C2326">
        <v>2</v>
      </c>
      <c r="D2326">
        <v>1</v>
      </c>
      <c r="E2326" t="s">
        <v>9</v>
      </c>
      <c r="F2326" t="s">
        <v>3986</v>
      </c>
      <c r="G2326" t="s">
        <v>3987</v>
      </c>
      <c r="H2326">
        <v>2.7349999999999999</v>
      </c>
      <c r="I2326" t="s">
        <v>12</v>
      </c>
    </row>
    <row r="2327" spans="1:9" x14ac:dyDescent="0.3">
      <c r="A2327">
        <v>48</v>
      </c>
      <c r="B2327">
        <v>1</v>
      </c>
      <c r="C2327">
        <v>2</v>
      </c>
      <c r="D2327">
        <v>1</v>
      </c>
      <c r="E2327" t="s">
        <v>9</v>
      </c>
      <c r="F2327" t="s">
        <v>3988</v>
      </c>
      <c r="G2327" t="s">
        <v>3989</v>
      </c>
      <c r="H2327">
        <v>4.4340000000000002</v>
      </c>
      <c r="I2327" t="s">
        <v>12</v>
      </c>
    </row>
    <row r="2328" spans="1:9" x14ac:dyDescent="0.3">
      <c r="A2328">
        <v>48</v>
      </c>
      <c r="B2328">
        <v>1</v>
      </c>
      <c r="C2328">
        <v>2</v>
      </c>
      <c r="D2328">
        <v>2</v>
      </c>
      <c r="E2328" t="s">
        <v>9</v>
      </c>
      <c r="F2328" t="s">
        <v>3990</v>
      </c>
      <c r="G2328" t="s">
        <v>3991</v>
      </c>
      <c r="H2328">
        <v>4.0529999999999999</v>
      </c>
      <c r="I2328" t="s">
        <v>12</v>
      </c>
    </row>
    <row r="2329" spans="1:9" x14ac:dyDescent="0.3">
      <c r="A2329">
        <v>48</v>
      </c>
      <c r="B2329">
        <v>1</v>
      </c>
      <c r="C2329">
        <v>2</v>
      </c>
      <c r="D2329">
        <v>2</v>
      </c>
      <c r="E2329" t="s">
        <v>19</v>
      </c>
      <c r="F2329" t="s">
        <v>3992</v>
      </c>
      <c r="I2329" t="s">
        <v>21</v>
      </c>
    </row>
    <row r="2330" spans="1:9" x14ac:dyDescent="0.3">
      <c r="A2330">
        <v>48</v>
      </c>
      <c r="B2330">
        <v>1</v>
      </c>
      <c r="C2330">
        <v>2</v>
      </c>
      <c r="D2330">
        <v>2</v>
      </c>
      <c r="E2330" t="s">
        <v>22</v>
      </c>
      <c r="F2330" t="s">
        <v>3993</v>
      </c>
      <c r="G2330" t="s">
        <v>3994</v>
      </c>
      <c r="H2330">
        <v>1.2010000000000001</v>
      </c>
      <c r="I2330" t="s">
        <v>21</v>
      </c>
    </row>
    <row r="2331" spans="1:9" x14ac:dyDescent="0.3">
      <c r="A2331">
        <v>48</v>
      </c>
      <c r="B2331">
        <v>1</v>
      </c>
      <c r="C2331">
        <v>2</v>
      </c>
      <c r="D2331">
        <v>2</v>
      </c>
      <c r="E2331" t="s">
        <v>22</v>
      </c>
      <c r="F2331" t="s">
        <v>3995</v>
      </c>
      <c r="G2331" t="s">
        <v>3996</v>
      </c>
      <c r="H2331">
        <v>2.5009999999999999</v>
      </c>
      <c r="I2331" t="s">
        <v>21</v>
      </c>
    </row>
    <row r="2332" spans="1:9" x14ac:dyDescent="0.3">
      <c r="A2332">
        <v>48</v>
      </c>
      <c r="B2332">
        <v>1</v>
      </c>
      <c r="C2332">
        <v>2</v>
      </c>
      <c r="D2332">
        <v>2</v>
      </c>
      <c r="E2332" t="s">
        <v>9</v>
      </c>
      <c r="F2332" t="s">
        <v>3997</v>
      </c>
      <c r="G2332" t="s">
        <v>3998</v>
      </c>
      <c r="H2332">
        <v>3.0350000000000001</v>
      </c>
      <c r="I2332" t="s">
        <v>12</v>
      </c>
    </row>
    <row r="2333" spans="1:9" x14ac:dyDescent="0.3">
      <c r="A2333">
        <v>48</v>
      </c>
      <c r="B2333">
        <v>1</v>
      </c>
      <c r="C2333">
        <v>2</v>
      </c>
      <c r="D2333">
        <v>2</v>
      </c>
      <c r="E2333" t="s">
        <v>19</v>
      </c>
      <c r="F2333" t="s">
        <v>3999</v>
      </c>
      <c r="I2333" t="s">
        <v>21</v>
      </c>
    </row>
    <row r="2334" spans="1:9" x14ac:dyDescent="0.3">
      <c r="A2334">
        <v>48</v>
      </c>
      <c r="B2334">
        <v>1</v>
      </c>
      <c r="C2334">
        <v>2</v>
      </c>
      <c r="D2334">
        <v>2</v>
      </c>
      <c r="E2334" t="s">
        <v>9</v>
      </c>
      <c r="F2334" t="s">
        <v>4000</v>
      </c>
      <c r="H2334" t="s">
        <v>81</v>
      </c>
      <c r="I2334" t="s">
        <v>34</v>
      </c>
    </row>
    <row r="2335" spans="1:9" x14ac:dyDescent="0.3">
      <c r="A2335">
        <v>48</v>
      </c>
      <c r="B2335">
        <v>1</v>
      </c>
      <c r="C2335">
        <v>2</v>
      </c>
      <c r="D2335">
        <v>2</v>
      </c>
      <c r="E2335" t="s">
        <v>9</v>
      </c>
      <c r="F2335" t="s">
        <v>4001</v>
      </c>
      <c r="G2335" t="s">
        <v>4002</v>
      </c>
      <c r="H2335">
        <v>3.0339999999999998</v>
      </c>
      <c r="I2335" t="s">
        <v>12</v>
      </c>
    </row>
    <row r="2336" spans="1:9" x14ac:dyDescent="0.3">
      <c r="A2336">
        <v>48</v>
      </c>
      <c r="B2336">
        <v>1</v>
      </c>
      <c r="C2336">
        <v>2</v>
      </c>
      <c r="D2336">
        <v>2</v>
      </c>
      <c r="E2336" t="s">
        <v>19</v>
      </c>
      <c r="F2336" t="s">
        <v>4003</v>
      </c>
      <c r="I2336" t="s">
        <v>21</v>
      </c>
    </row>
    <row r="2337" spans="1:9" x14ac:dyDescent="0.3">
      <c r="A2337">
        <v>48</v>
      </c>
      <c r="B2337">
        <v>1</v>
      </c>
      <c r="C2337">
        <v>3</v>
      </c>
      <c r="D2337">
        <v>1</v>
      </c>
      <c r="E2337" t="s">
        <v>22</v>
      </c>
      <c r="F2337" t="s">
        <v>4004</v>
      </c>
      <c r="G2337" t="s">
        <v>4005</v>
      </c>
      <c r="H2337">
        <v>2.6859999999999999</v>
      </c>
      <c r="I2337" t="s">
        <v>21</v>
      </c>
    </row>
    <row r="2338" spans="1:9" x14ac:dyDescent="0.3">
      <c r="A2338">
        <v>48</v>
      </c>
      <c r="B2338">
        <v>1</v>
      </c>
      <c r="C2338">
        <v>3</v>
      </c>
      <c r="D2338">
        <v>1</v>
      </c>
      <c r="E2338" t="s">
        <v>9</v>
      </c>
      <c r="F2338" t="s">
        <v>4006</v>
      </c>
      <c r="G2338" t="s">
        <v>4007</v>
      </c>
      <c r="H2338">
        <v>5.3339999999999996</v>
      </c>
      <c r="I2338" t="s">
        <v>12</v>
      </c>
    </row>
    <row r="2339" spans="1:9" x14ac:dyDescent="0.3">
      <c r="A2339">
        <v>48</v>
      </c>
      <c r="B2339">
        <v>1</v>
      </c>
      <c r="C2339">
        <v>3</v>
      </c>
      <c r="D2339">
        <v>1</v>
      </c>
      <c r="E2339" t="s">
        <v>9</v>
      </c>
      <c r="F2339" t="s">
        <v>4008</v>
      </c>
      <c r="G2339" t="s">
        <v>4009</v>
      </c>
      <c r="H2339">
        <v>2.2679999999999998</v>
      </c>
      <c r="I2339" t="s">
        <v>12</v>
      </c>
    </row>
    <row r="2340" spans="1:9" x14ac:dyDescent="0.3">
      <c r="A2340">
        <v>48</v>
      </c>
      <c r="B2340">
        <v>1</v>
      </c>
      <c r="C2340">
        <v>3</v>
      </c>
      <c r="D2340">
        <v>1</v>
      </c>
      <c r="E2340" t="s">
        <v>22</v>
      </c>
      <c r="F2340" t="s">
        <v>4010</v>
      </c>
      <c r="G2340" t="s">
        <v>4011</v>
      </c>
      <c r="H2340">
        <v>5.4669999999999996</v>
      </c>
      <c r="I2340" t="s">
        <v>21</v>
      </c>
    </row>
    <row r="2341" spans="1:9" x14ac:dyDescent="0.3">
      <c r="A2341">
        <v>48</v>
      </c>
      <c r="B2341">
        <v>1</v>
      </c>
      <c r="C2341">
        <v>3</v>
      </c>
      <c r="D2341">
        <v>1</v>
      </c>
      <c r="E2341" t="s">
        <v>19</v>
      </c>
      <c r="F2341" t="s">
        <v>4012</v>
      </c>
      <c r="I2341" t="s">
        <v>34</v>
      </c>
    </row>
    <row r="2342" spans="1:9" x14ac:dyDescent="0.3">
      <c r="A2342">
        <v>48</v>
      </c>
      <c r="B2342">
        <v>1</v>
      </c>
      <c r="C2342">
        <v>3</v>
      </c>
      <c r="D2342">
        <v>1</v>
      </c>
      <c r="E2342" t="s">
        <v>9</v>
      </c>
      <c r="F2342" t="s">
        <v>4013</v>
      </c>
      <c r="G2342" t="s">
        <v>4014</v>
      </c>
      <c r="H2342">
        <v>5.7670000000000003</v>
      </c>
      <c r="I2342" t="s">
        <v>12</v>
      </c>
    </row>
    <row r="2343" spans="1:9" x14ac:dyDescent="0.3">
      <c r="A2343">
        <v>48</v>
      </c>
      <c r="B2343">
        <v>1</v>
      </c>
      <c r="C2343">
        <v>3</v>
      </c>
      <c r="D2343">
        <v>1</v>
      </c>
      <c r="E2343" t="s">
        <v>9</v>
      </c>
      <c r="F2343" t="s">
        <v>4015</v>
      </c>
      <c r="G2343" t="s">
        <v>4016</v>
      </c>
      <c r="H2343">
        <v>5.468</v>
      </c>
      <c r="I2343" t="s">
        <v>12</v>
      </c>
    </row>
    <row r="2344" spans="1:9" x14ac:dyDescent="0.3">
      <c r="A2344">
        <v>48</v>
      </c>
      <c r="B2344">
        <v>1</v>
      </c>
      <c r="C2344">
        <v>3</v>
      </c>
      <c r="D2344">
        <v>1</v>
      </c>
      <c r="E2344" t="s">
        <v>19</v>
      </c>
      <c r="F2344" t="s">
        <v>4017</v>
      </c>
      <c r="I2344" t="s">
        <v>21</v>
      </c>
    </row>
    <row r="2345" spans="1:9" x14ac:dyDescent="0.3">
      <c r="A2345">
        <v>4</v>
      </c>
      <c r="B2345">
        <v>3</v>
      </c>
      <c r="C2345">
        <v>1</v>
      </c>
      <c r="D2345">
        <v>1</v>
      </c>
      <c r="E2345" t="s">
        <v>9</v>
      </c>
      <c r="F2345" t="s">
        <v>4018</v>
      </c>
      <c r="G2345" t="s">
        <v>4019</v>
      </c>
      <c r="H2345">
        <v>5.5519999999999996</v>
      </c>
      <c r="I2345" t="s">
        <v>12</v>
      </c>
    </row>
    <row r="2346" spans="1:9" x14ac:dyDescent="0.3">
      <c r="A2346">
        <v>4</v>
      </c>
      <c r="B2346">
        <v>3</v>
      </c>
      <c r="C2346">
        <v>1</v>
      </c>
      <c r="D2346">
        <v>1</v>
      </c>
      <c r="E2346" t="s">
        <v>9</v>
      </c>
      <c r="F2346" t="s">
        <v>4020</v>
      </c>
      <c r="G2346" t="s">
        <v>4021</v>
      </c>
      <c r="H2346">
        <v>3.9609999999999999</v>
      </c>
      <c r="I2346" t="s">
        <v>12</v>
      </c>
    </row>
    <row r="2347" spans="1:9" x14ac:dyDescent="0.3">
      <c r="A2347">
        <v>4</v>
      </c>
      <c r="B2347">
        <v>3</v>
      </c>
      <c r="C2347">
        <v>1</v>
      </c>
      <c r="D2347">
        <v>1</v>
      </c>
      <c r="E2347" t="s">
        <v>19</v>
      </c>
      <c r="F2347" t="s">
        <v>4022</v>
      </c>
      <c r="I2347" t="s">
        <v>21</v>
      </c>
    </row>
    <row r="2348" spans="1:9" x14ac:dyDescent="0.3">
      <c r="A2348">
        <v>4</v>
      </c>
      <c r="B2348">
        <v>3</v>
      </c>
      <c r="C2348">
        <v>1</v>
      </c>
      <c r="D2348">
        <v>2</v>
      </c>
      <c r="E2348" t="s">
        <v>22</v>
      </c>
      <c r="F2348" t="s">
        <v>4023</v>
      </c>
      <c r="G2348" t="s">
        <v>4024</v>
      </c>
      <c r="H2348">
        <v>5.8869999999999996</v>
      </c>
      <c r="I2348" t="s">
        <v>34</v>
      </c>
    </row>
    <row r="2349" spans="1:9" x14ac:dyDescent="0.3">
      <c r="A2349">
        <v>4</v>
      </c>
      <c r="B2349">
        <v>3</v>
      </c>
      <c r="C2349">
        <v>1</v>
      </c>
      <c r="D2349">
        <v>2</v>
      </c>
      <c r="E2349" t="s">
        <v>9</v>
      </c>
      <c r="F2349" t="s">
        <v>4025</v>
      </c>
      <c r="G2349" t="s">
        <v>4026</v>
      </c>
      <c r="H2349">
        <v>3.5670000000000002</v>
      </c>
      <c r="I2349" t="s">
        <v>12</v>
      </c>
    </row>
    <row r="2350" spans="1:9" x14ac:dyDescent="0.3">
      <c r="A2350">
        <v>4</v>
      </c>
      <c r="B2350">
        <v>3</v>
      </c>
      <c r="C2350">
        <v>1</v>
      </c>
      <c r="D2350">
        <v>2</v>
      </c>
      <c r="E2350" t="s">
        <v>9</v>
      </c>
      <c r="F2350" t="s">
        <v>4027</v>
      </c>
      <c r="G2350" t="s">
        <v>4028</v>
      </c>
      <c r="H2350">
        <v>2.887</v>
      </c>
      <c r="I2350" t="s">
        <v>12</v>
      </c>
    </row>
    <row r="2351" spans="1:9" x14ac:dyDescent="0.3">
      <c r="A2351">
        <v>4</v>
      </c>
      <c r="B2351">
        <v>3</v>
      </c>
      <c r="C2351">
        <v>1</v>
      </c>
      <c r="D2351">
        <v>2</v>
      </c>
      <c r="E2351" t="s">
        <v>19</v>
      </c>
      <c r="F2351" t="s">
        <v>4029</v>
      </c>
      <c r="I2351" t="s">
        <v>34</v>
      </c>
    </row>
    <row r="2352" spans="1:9" x14ac:dyDescent="0.3">
      <c r="A2352">
        <v>4</v>
      </c>
      <c r="B2352">
        <v>3</v>
      </c>
      <c r="C2352">
        <v>1</v>
      </c>
      <c r="D2352">
        <v>3</v>
      </c>
      <c r="E2352" t="s">
        <v>22</v>
      </c>
      <c r="F2352" t="s">
        <v>4030</v>
      </c>
      <c r="G2352" t="s">
        <v>4031</v>
      </c>
      <c r="H2352">
        <v>2.3519999999999999</v>
      </c>
      <c r="I2352" t="s">
        <v>21</v>
      </c>
    </row>
    <row r="2353" spans="1:9" x14ac:dyDescent="0.3">
      <c r="A2353">
        <v>4</v>
      </c>
      <c r="B2353">
        <v>3</v>
      </c>
      <c r="C2353">
        <v>1</v>
      </c>
      <c r="D2353">
        <v>3</v>
      </c>
      <c r="E2353" t="s">
        <v>9</v>
      </c>
      <c r="F2353" t="s">
        <v>4032</v>
      </c>
      <c r="G2353" t="s">
        <v>4033</v>
      </c>
      <c r="H2353">
        <v>3.7</v>
      </c>
      <c r="I2353" t="s">
        <v>12</v>
      </c>
    </row>
    <row r="2354" spans="1:9" x14ac:dyDescent="0.3">
      <c r="A2354">
        <v>4</v>
      </c>
      <c r="B2354">
        <v>3</v>
      </c>
      <c r="C2354">
        <v>1</v>
      </c>
      <c r="D2354">
        <v>3</v>
      </c>
      <c r="E2354" t="s">
        <v>9</v>
      </c>
      <c r="F2354" t="s">
        <v>4034</v>
      </c>
      <c r="G2354" t="s">
        <v>4035</v>
      </c>
      <c r="H2354">
        <v>1.5840000000000001</v>
      </c>
      <c r="I2354" t="s">
        <v>12</v>
      </c>
    </row>
    <row r="2355" spans="1:9" x14ac:dyDescent="0.3">
      <c r="A2355">
        <v>4</v>
      </c>
      <c r="B2355">
        <v>3</v>
      </c>
      <c r="C2355">
        <v>1</v>
      </c>
      <c r="D2355">
        <v>3</v>
      </c>
      <c r="E2355" t="s">
        <v>19</v>
      </c>
      <c r="F2355" t="s">
        <v>4036</v>
      </c>
      <c r="I2355" t="s">
        <v>34</v>
      </c>
    </row>
    <row r="2356" spans="1:9" x14ac:dyDescent="0.3">
      <c r="A2356">
        <v>4</v>
      </c>
      <c r="B2356">
        <v>3</v>
      </c>
      <c r="C2356">
        <v>1</v>
      </c>
      <c r="D2356">
        <v>4</v>
      </c>
      <c r="E2356" t="s">
        <v>9</v>
      </c>
      <c r="F2356" t="s">
        <v>4037</v>
      </c>
      <c r="G2356" t="s">
        <v>4038</v>
      </c>
      <c r="H2356">
        <v>6.7859999999999996</v>
      </c>
      <c r="I2356" t="s">
        <v>12</v>
      </c>
    </row>
    <row r="2357" spans="1:9" x14ac:dyDescent="0.3">
      <c r="A2357">
        <v>4</v>
      </c>
      <c r="B2357">
        <v>3</v>
      </c>
      <c r="C2357">
        <v>1</v>
      </c>
      <c r="D2357">
        <v>4</v>
      </c>
      <c r="E2357" t="s">
        <v>9</v>
      </c>
      <c r="F2357" t="s">
        <v>4039</v>
      </c>
      <c r="G2357" t="s">
        <v>4040</v>
      </c>
      <c r="H2357">
        <v>4.1189999999999998</v>
      </c>
      <c r="I2357" t="s">
        <v>12</v>
      </c>
    </row>
    <row r="2358" spans="1:9" x14ac:dyDescent="0.3">
      <c r="A2358">
        <v>4</v>
      </c>
      <c r="B2358">
        <v>3</v>
      </c>
      <c r="C2358">
        <v>1</v>
      </c>
      <c r="D2358">
        <v>4</v>
      </c>
      <c r="E2358" t="s">
        <v>9</v>
      </c>
      <c r="F2358" t="s">
        <v>4041</v>
      </c>
      <c r="G2358" t="s">
        <v>4042</v>
      </c>
      <c r="H2358">
        <v>6.335</v>
      </c>
      <c r="I2358" t="s">
        <v>12</v>
      </c>
    </row>
    <row r="2359" spans="1:9" x14ac:dyDescent="0.3">
      <c r="A2359">
        <v>4</v>
      </c>
      <c r="B2359">
        <v>3</v>
      </c>
      <c r="C2359">
        <v>1</v>
      </c>
      <c r="D2359">
        <v>4</v>
      </c>
      <c r="E2359" t="s">
        <v>19</v>
      </c>
      <c r="F2359" t="s">
        <v>4043</v>
      </c>
      <c r="I2359" t="s">
        <v>21</v>
      </c>
    </row>
    <row r="2360" spans="1:9" x14ac:dyDescent="0.3">
      <c r="A2360">
        <v>4</v>
      </c>
      <c r="B2360">
        <v>3</v>
      </c>
      <c r="C2360">
        <v>1</v>
      </c>
      <c r="D2360">
        <v>5</v>
      </c>
      <c r="E2360" t="s">
        <v>22</v>
      </c>
      <c r="F2360" t="s">
        <v>4044</v>
      </c>
      <c r="G2360" t="s">
        <v>4045</v>
      </c>
      <c r="H2360">
        <v>2.3519999999999999</v>
      </c>
      <c r="I2360" t="s">
        <v>21</v>
      </c>
    </row>
    <row r="2361" spans="1:9" x14ac:dyDescent="0.3">
      <c r="A2361">
        <v>4</v>
      </c>
      <c r="B2361">
        <v>3</v>
      </c>
      <c r="C2361">
        <v>1</v>
      </c>
      <c r="D2361">
        <v>5</v>
      </c>
      <c r="E2361" t="s">
        <v>9</v>
      </c>
      <c r="F2361" t="s">
        <v>4046</v>
      </c>
      <c r="G2361" t="s">
        <v>4047</v>
      </c>
      <c r="H2361">
        <v>2.101</v>
      </c>
      <c r="I2361" t="s">
        <v>12</v>
      </c>
    </row>
    <row r="2362" spans="1:9" x14ac:dyDescent="0.3">
      <c r="A2362">
        <v>4</v>
      </c>
      <c r="B2362">
        <v>3</v>
      </c>
      <c r="C2362">
        <v>1</v>
      </c>
      <c r="D2362">
        <v>5</v>
      </c>
      <c r="E2362" t="s">
        <v>9</v>
      </c>
      <c r="F2362" t="s">
        <v>4048</v>
      </c>
      <c r="G2362" t="s">
        <v>4049</v>
      </c>
      <c r="H2362">
        <v>6.2679999999999998</v>
      </c>
      <c r="I2362" t="s">
        <v>12</v>
      </c>
    </row>
    <row r="2363" spans="1:9" x14ac:dyDescent="0.3">
      <c r="A2363">
        <v>4</v>
      </c>
      <c r="B2363">
        <v>3</v>
      </c>
      <c r="C2363">
        <v>1</v>
      </c>
      <c r="D2363">
        <v>5</v>
      </c>
      <c r="E2363" t="s">
        <v>19</v>
      </c>
      <c r="F2363" t="s">
        <v>4050</v>
      </c>
      <c r="I2363" t="s">
        <v>21</v>
      </c>
    </row>
    <row r="2364" spans="1:9" x14ac:dyDescent="0.3">
      <c r="A2364">
        <v>4</v>
      </c>
      <c r="B2364">
        <v>3</v>
      </c>
      <c r="C2364">
        <v>1</v>
      </c>
      <c r="D2364">
        <v>6</v>
      </c>
      <c r="E2364" t="s">
        <v>9</v>
      </c>
      <c r="F2364" t="s">
        <v>4051</v>
      </c>
      <c r="G2364" t="s">
        <v>4052</v>
      </c>
      <c r="H2364">
        <v>3.72</v>
      </c>
      <c r="I2364" t="s">
        <v>12</v>
      </c>
    </row>
    <row r="2365" spans="1:9" x14ac:dyDescent="0.3">
      <c r="A2365">
        <v>4</v>
      </c>
      <c r="B2365">
        <v>3</v>
      </c>
      <c r="C2365">
        <v>1</v>
      </c>
      <c r="D2365">
        <v>6</v>
      </c>
      <c r="E2365" t="s">
        <v>9</v>
      </c>
      <c r="F2365" t="s">
        <v>4053</v>
      </c>
      <c r="G2365" t="s">
        <v>4054</v>
      </c>
      <c r="H2365">
        <v>4.2009999999999996</v>
      </c>
      <c r="I2365" t="s">
        <v>12</v>
      </c>
    </row>
    <row r="2366" spans="1:9" x14ac:dyDescent="0.3">
      <c r="A2366">
        <v>4</v>
      </c>
      <c r="B2366">
        <v>3</v>
      </c>
      <c r="C2366">
        <v>1</v>
      </c>
      <c r="D2366">
        <v>6</v>
      </c>
      <c r="E2366" t="s">
        <v>22</v>
      </c>
      <c r="F2366" t="s">
        <v>4055</v>
      </c>
      <c r="G2366" t="s">
        <v>4056</v>
      </c>
      <c r="H2366">
        <v>4.468</v>
      </c>
      <c r="I2366" t="s">
        <v>21</v>
      </c>
    </row>
    <row r="2367" spans="1:9" x14ac:dyDescent="0.3">
      <c r="A2367">
        <v>4</v>
      </c>
      <c r="B2367">
        <v>3</v>
      </c>
      <c r="C2367">
        <v>1</v>
      </c>
      <c r="D2367">
        <v>6</v>
      </c>
      <c r="E2367" t="s">
        <v>9</v>
      </c>
      <c r="F2367" t="s">
        <v>4057</v>
      </c>
      <c r="G2367" t="s">
        <v>4058</v>
      </c>
      <c r="H2367">
        <v>4.8680000000000003</v>
      </c>
      <c r="I2367" t="s">
        <v>12</v>
      </c>
    </row>
    <row r="2368" spans="1:9" x14ac:dyDescent="0.3">
      <c r="A2368">
        <v>4</v>
      </c>
      <c r="B2368">
        <v>3</v>
      </c>
      <c r="C2368">
        <v>1</v>
      </c>
      <c r="D2368">
        <v>6</v>
      </c>
      <c r="E2368" t="s">
        <v>9</v>
      </c>
      <c r="F2368" t="s">
        <v>4059</v>
      </c>
      <c r="G2368" t="s">
        <v>4060</v>
      </c>
      <c r="H2368">
        <v>4.1020000000000003</v>
      </c>
      <c r="I2368" t="s">
        <v>12</v>
      </c>
    </row>
    <row r="2369" spans="1:9" x14ac:dyDescent="0.3">
      <c r="A2369">
        <v>4</v>
      </c>
      <c r="B2369">
        <v>3</v>
      </c>
      <c r="C2369">
        <v>1</v>
      </c>
      <c r="D2369">
        <v>6</v>
      </c>
      <c r="E2369" t="s">
        <v>19</v>
      </c>
      <c r="F2369" t="s">
        <v>4061</v>
      </c>
      <c r="I2369" t="s">
        <v>34</v>
      </c>
    </row>
    <row r="2370" spans="1:9" x14ac:dyDescent="0.3">
      <c r="A2370">
        <v>4</v>
      </c>
      <c r="B2370">
        <v>3</v>
      </c>
      <c r="C2370">
        <v>1</v>
      </c>
      <c r="D2370">
        <v>6</v>
      </c>
      <c r="E2370" t="s">
        <v>22</v>
      </c>
      <c r="F2370" t="s">
        <v>4062</v>
      </c>
      <c r="G2370" t="s">
        <v>4063</v>
      </c>
      <c r="H2370">
        <v>4.867</v>
      </c>
      <c r="I2370" t="s">
        <v>21</v>
      </c>
    </row>
    <row r="2371" spans="1:9" x14ac:dyDescent="0.3">
      <c r="A2371">
        <v>4</v>
      </c>
      <c r="B2371">
        <v>3</v>
      </c>
      <c r="C2371">
        <v>1</v>
      </c>
      <c r="D2371">
        <v>6</v>
      </c>
      <c r="E2371" t="s">
        <v>19</v>
      </c>
      <c r="F2371" t="s">
        <v>4064</v>
      </c>
      <c r="I2371" t="s">
        <v>21</v>
      </c>
    </row>
    <row r="2372" spans="1:9" x14ac:dyDescent="0.3">
      <c r="A2372">
        <v>4</v>
      </c>
      <c r="B2372">
        <v>3</v>
      </c>
      <c r="C2372">
        <v>1</v>
      </c>
      <c r="D2372">
        <v>7</v>
      </c>
      <c r="E2372" t="s">
        <v>22</v>
      </c>
      <c r="F2372" t="s">
        <v>4065</v>
      </c>
      <c r="G2372" t="s">
        <v>4066</v>
      </c>
      <c r="H2372">
        <v>3.8180000000000001</v>
      </c>
      <c r="I2372" t="s">
        <v>21</v>
      </c>
    </row>
    <row r="2373" spans="1:9" x14ac:dyDescent="0.3">
      <c r="A2373">
        <v>4</v>
      </c>
      <c r="B2373">
        <v>3</v>
      </c>
      <c r="C2373">
        <v>1</v>
      </c>
      <c r="D2373">
        <v>7</v>
      </c>
      <c r="E2373" t="s">
        <v>22</v>
      </c>
      <c r="F2373" t="s">
        <v>4067</v>
      </c>
      <c r="G2373" t="s">
        <v>4068</v>
      </c>
      <c r="H2373">
        <v>2.468</v>
      </c>
      <c r="I2373" t="s">
        <v>21</v>
      </c>
    </row>
    <row r="2374" spans="1:9" x14ac:dyDescent="0.3">
      <c r="A2374">
        <v>4</v>
      </c>
      <c r="B2374">
        <v>3</v>
      </c>
      <c r="C2374">
        <v>1</v>
      </c>
      <c r="D2374">
        <v>7</v>
      </c>
      <c r="E2374" t="s">
        <v>9</v>
      </c>
      <c r="F2374" t="s">
        <v>4069</v>
      </c>
      <c r="G2374" t="s">
        <v>4070</v>
      </c>
      <c r="H2374">
        <v>7.6520000000000001</v>
      </c>
      <c r="I2374" t="s">
        <v>12</v>
      </c>
    </row>
    <row r="2375" spans="1:9" x14ac:dyDescent="0.3">
      <c r="A2375">
        <v>4</v>
      </c>
      <c r="B2375">
        <v>3</v>
      </c>
      <c r="C2375">
        <v>1</v>
      </c>
      <c r="D2375">
        <v>7</v>
      </c>
      <c r="E2375" t="s">
        <v>19</v>
      </c>
      <c r="F2375" t="s">
        <v>4071</v>
      </c>
      <c r="I2375" t="s">
        <v>34</v>
      </c>
    </row>
    <row r="2376" spans="1:9" x14ac:dyDescent="0.3">
      <c r="A2376">
        <v>4</v>
      </c>
      <c r="B2376">
        <v>3</v>
      </c>
      <c r="C2376">
        <v>1</v>
      </c>
      <c r="D2376">
        <v>7</v>
      </c>
      <c r="E2376" t="s">
        <v>9</v>
      </c>
      <c r="F2376" t="s">
        <v>4072</v>
      </c>
      <c r="G2376" t="s">
        <v>4073</v>
      </c>
      <c r="H2376">
        <v>5.601</v>
      </c>
      <c r="I2376" t="s">
        <v>12</v>
      </c>
    </row>
    <row r="2377" spans="1:9" x14ac:dyDescent="0.3">
      <c r="A2377">
        <v>4</v>
      </c>
      <c r="B2377">
        <v>3</v>
      </c>
      <c r="C2377">
        <v>1</v>
      </c>
      <c r="D2377">
        <v>7</v>
      </c>
      <c r="E2377" t="s">
        <v>9</v>
      </c>
      <c r="F2377" t="s">
        <v>4074</v>
      </c>
      <c r="G2377" t="s">
        <v>4075</v>
      </c>
      <c r="H2377">
        <v>6.6340000000000003</v>
      </c>
      <c r="I2377" t="s">
        <v>12</v>
      </c>
    </row>
    <row r="2378" spans="1:9" x14ac:dyDescent="0.3">
      <c r="A2378">
        <v>4</v>
      </c>
      <c r="B2378">
        <v>3</v>
      </c>
      <c r="C2378">
        <v>1</v>
      </c>
      <c r="D2378">
        <v>7</v>
      </c>
      <c r="E2378" t="s">
        <v>19</v>
      </c>
      <c r="F2378" t="s">
        <v>4075</v>
      </c>
      <c r="I2378" t="s">
        <v>34</v>
      </c>
    </row>
    <row r="2379" spans="1:9" x14ac:dyDescent="0.3">
      <c r="A2379">
        <v>4</v>
      </c>
      <c r="B2379">
        <v>3</v>
      </c>
      <c r="C2379">
        <v>1</v>
      </c>
      <c r="D2379">
        <v>7</v>
      </c>
      <c r="E2379" t="s">
        <v>9</v>
      </c>
      <c r="F2379" t="s">
        <v>4076</v>
      </c>
      <c r="G2379" t="s">
        <v>4077</v>
      </c>
      <c r="H2379">
        <v>3.5680000000000001</v>
      </c>
      <c r="I2379" t="s">
        <v>12</v>
      </c>
    </row>
    <row r="2380" spans="1:9" x14ac:dyDescent="0.3">
      <c r="A2380">
        <v>4</v>
      </c>
      <c r="B2380">
        <v>3</v>
      </c>
      <c r="C2380">
        <v>1</v>
      </c>
      <c r="D2380">
        <v>7</v>
      </c>
      <c r="E2380" t="s">
        <v>19</v>
      </c>
      <c r="F2380" t="s">
        <v>4078</v>
      </c>
      <c r="I2380" t="s">
        <v>34</v>
      </c>
    </row>
    <row r="2381" spans="1:9" x14ac:dyDescent="0.3">
      <c r="A2381">
        <v>4</v>
      </c>
      <c r="B2381">
        <v>3</v>
      </c>
      <c r="C2381">
        <v>1</v>
      </c>
      <c r="D2381">
        <v>7</v>
      </c>
      <c r="E2381" t="s">
        <v>19</v>
      </c>
      <c r="F2381" t="s">
        <v>4079</v>
      </c>
      <c r="I2381" t="s">
        <v>21</v>
      </c>
    </row>
    <row r="2382" spans="1:9" x14ac:dyDescent="0.3">
      <c r="A2382">
        <v>4</v>
      </c>
      <c r="B2382">
        <v>3</v>
      </c>
      <c r="C2382">
        <v>1</v>
      </c>
      <c r="D2382">
        <v>7</v>
      </c>
      <c r="E2382" t="s">
        <v>19</v>
      </c>
      <c r="F2382" t="s">
        <v>4080</v>
      </c>
      <c r="I2382" t="s">
        <v>21</v>
      </c>
    </row>
    <row r="2383" spans="1:9" x14ac:dyDescent="0.3">
      <c r="A2383">
        <v>4</v>
      </c>
      <c r="B2383">
        <v>3</v>
      </c>
      <c r="C2383">
        <v>1</v>
      </c>
      <c r="D2383">
        <v>8</v>
      </c>
      <c r="E2383" t="s">
        <v>22</v>
      </c>
      <c r="F2383" t="s">
        <v>4081</v>
      </c>
      <c r="G2383" t="s">
        <v>4082</v>
      </c>
      <c r="H2383">
        <v>3.452</v>
      </c>
      <c r="I2383" t="s">
        <v>21</v>
      </c>
    </row>
    <row r="2384" spans="1:9" x14ac:dyDescent="0.3">
      <c r="A2384">
        <v>4</v>
      </c>
      <c r="B2384">
        <v>3</v>
      </c>
      <c r="C2384">
        <v>1</v>
      </c>
      <c r="D2384">
        <v>8</v>
      </c>
      <c r="E2384" t="s">
        <v>22</v>
      </c>
      <c r="F2384" t="s">
        <v>4083</v>
      </c>
      <c r="G2384" t="s">
        <v>4084</v>
      </c>
      <c r="H2384">
        <v>4.1349999999999998</v>
      </c>
      <c r="I2384" t="s">
        <v>21</v>
      </c>
    </row>
    <row r="2385" spans="1:9" x14ac:dyDescent="0.3">
      <c r="A2385">
        <v>4</v>
      </c>
      <c r="B2385">
        <v>3</v>
      </c>
      <c r="C2385">
        <v>1</v>
      </c>
      <c r="D2385">
        <v>8</v>
      </c>
      <c r="E2385" t="s">
        <v>22</v>
      </c>
      <c r="F2385" t="s">
        <v>4085</v>
      </c>
      <c r="G2385" t="s">
        <v>4086</v>
      </c>
      <c r="H2385">
        <v>5.4</v>
      </c>
      <c r="I2385" t="s">
        <v>21</v>
      </c>
    </row>
    <row r="2386" spans="1:9" x14ac:dyDescent="0.3">
      <c r="A2386">
        <v>4</v>
      </c>
      <c r="B2386">
        <v>3</v>
      </c>
      <c r="C2386">
        <v>1</v>
      </c>
      <c r="D2386">
        <v>8</v>
      </c>
      <c r="E2386" t="s">
        <v>9</v>
      </c>
      <c r="F2386" t="s">
        <v>4087</v>
      </c>
      <c r="G2386" t="s">
        <v>4088</v>
      </c>
      <c r="H2386">
        <v>7.9009999999999998</v>
      </c>
      <c r="I2386" t="s">
        <v>12</v>
      </c>
    </row>
    <row r="2387" spans="1:9" x14ac:dyDescent="0.3">
      <c r="A2387">
        <v>4</v>
      </c>
      <c r="B2387">
        <v>3</v>
      </c>
      <c r="C2387">
        <v>1</v>
      </c>
      <c r="D2387">
        <v>8</v>
      </c>
      <c r="E2387" t="s">
        <v>9</v>
      </c>
      <c r="F2387" t="s">
        <v>4089</v>
      </c>
      <c r="G2387" t="s">
        <v>4090</v>
      </c>
      <c r="H2387">
        <v>4.468</v>
      </c>
      <c r="I2387" t="s">
        <v>12</v>
      </c>
    </row>
    <row r="2388" spans="1:9" x14ac:dyDescent="0.3">
      <c r="A2388">
        <v>4</v>
      </c>
      <c r="B2388">
        <v>3</v>
      </c>
      <c r="C2388">
        <v>1</v>
      </c>
      <c r="D2388">
        <v>8</v>
      </c>
      <c r="E2388" t="s">
        <v>9</v>
      </c>
      <c r="F2388" t="s">
        <v>4091</v>
      </c>
      <c r="G2388" t="s">
        <v>4092</v>
      </c>
      <c r="H2388">
        <v>7.101</v>
      </c>
      <c r="I2388" t="s">
        <v>12</v>
      </c>
    </row>
    <row r="2389" spans="1:9" x14ac:dyDescent="0.3">
      <c r="A2389">
        <v>4</v>
      </c>
      <c r="B2389">
        <v>3</v>
      </c>
      <c r="C2389">
        <v>1</v>
      </c>
      <c r="D2389">
        <v>8</v>
      </c>
      <c r="E2389" t="s">
        <v>9</v>
      </c>
      <c r="F2389" t="s">
        <v>4093</v>
      </c>
      <c r="G2389" t="s">
        <v>4094</v>
      </c>
      <c r="H2389">
        <v>8.1329999999999991</v>
      </c>
      <c r="I2389" t="s">
        <v>12</v>
      </c>
    </row>
    <row r="2390" spans="1:9" x14ac:dyDescent="0.3">
      <c r="A2390">
        <v>4</v>
      </c>
      <c r="B2390">
        <v>3</v>
      </c>
      <c r="C2390">
        <v>1</v>
      </c>
      <c r="D2390">
        <v>8</v>
      </c>
      <c r="E2390" t="s">
        <v>19</v>
      </c>
      <c r="F2390" t="s">
        <v>4095</v>
      </c>
      <c r="I2390" t="s">
        <v>21</v>
      </c>
    </row>
    <row r="2391" spans="1:9" x14ac:dyDescent="0.3">
      <c r="A2391">
        <v>4</v>
      </c>
      <c r="B2391">
        <v>3</v>
      </c>
      <c r="C2391">
        <v>2</v>
      </c>
      <c r="D2391">
        <v>1</v>
      </c>
      <c r="E2391" t="s">
        <v>9</v>
      </c>
      <c r="F2391" t="s">
        <v>4096</v>
      </c>
      <c r="G2391" t="s">
        <v>4097</v>
      </c>
      <c r="H2391">
        <v>3.7509999999999999</v>
      </c>
      <c r="I2391" t="s">
        <v>12</v>
      </c>
    </row>
    <row r="2392" spans="1:9" x14ac:dyDescent="0.3">
      <c r="A2392">
        <v>4</v>
      </c>
      <c r="B2392">
        <v>3</v>
      </c>
      <c r="C2392">
        <v>2</v>
      </c>
      <c r="D2392">
        <v>1</v>
      </c>
      <c r="E2392" t="s">
        <v>9</v>
      </c>
      <c r="F2392" t="s">
        <v>4098</v>
      </c>
      <c r="G2392" t="s">
        <v>4099</v>
      </c>
      <c r="H2392">
        <v>3.32</v>
      </c>
      <c r="I2392" t="s">
        <v>12</v>
      </c>
    </row>
    <row r="2393" spans="1:9" x14ac:dyDescent="0.3">
      <c r="A2393">
        <v>4</v>
      </c>
      <c r="B2393">
        <v>3</v>
      </c>
      <c r="C2393">
        <v>2</v>
      </c>
      <c r="D2393">
        <v>1</v>
      </c>
      <c r="E2393" t="s">
        <v>9</v>
      </c>
      <c r="F2393" t="s">
        <v>4100</v>
      </c>
      <c r="G2393" t="s">
        <v>4101</v>
      </c>
      <c r="H2393">
        <v>2.2999999999999998</v>
      </c>
      <c r="I2393" t="s">
        <v>12</v>
      </c>
    </row>
    <row r="2394" spans="1:9" x14ac:dyDescent="0.3">
      <c r="A2394">
        <v>4</v>
      </c>
      <c r="B2394">
        <v>3</v>
      </c>
      <c r="C2394">
        <v>2</v>
      </c>
      <c r="D2394">
        <v>1</v>
      </c>
      <c r="E2394" t="s">
        <v>9</v>
      </c>
      <c r="F2394" t="s">
        <v>4102</v>
      </c>
      <c r="G2394" t="s">
        <v>4103</v>
      </c>
      <c r="H2394">
        <v>3.9340000000000002</v>
      </c>
      <c r="I2394" t="s">
        <v>12</v>
      </c>
    </row>
    <row r="2395" spans="1:9" x14ac:dyDescent="0.3">
      <c r="A2395">
        <v>4</v>
      </c>
      <c r="B2395">
        <v>3</v>
      </c>
      <c r="C2395">
        <v>2</v>
      </c>
      <c r="D2395">
        <v>1</v>
      </c>
      <c r="E2395" t="s">
        <v>22</v>
      </c>
      <c r="F2395" t="s">
        <v>4104</v>
      </c>
      <c r="G2395" t="s">
        <v>4105</v>
      </c>
      <c r="H2395">
        <v>2.2010000000000001</v>
      </c>
      <c r="I2395" t="s">
        <v>21</v>
      </c>
    </row>
    <row r="2396" spans="1:9" x14ac:dyDescent="0.3">
      <c r="A2396">
        <v>4</v>
      </c>
      <c r="B2396">
        <v>3</v>
      </c>
      <c r="C2396">
        <v>2</v>
      </c>
      <c r="D2396">
        <v>1</v>
      </c>
      <c r="E2396" t="s">
        <v>22</v>
      </c>
      <c r="F2396" t="s">
        <v>4106</v>
      </c>
      <c r="G2396" t="s">
        <v>4107</v>
      </c>
      <c r="H2396">
        <v>2.2679999999999998</v>
      </c>
      <c r="I2396" t="s">
        <v>21</v>
      </c>
    </row>
    <row r="2397" spans="1:9" x14ac:dyDescent="0.3">
      <c r="A2397">
        <v>4</v>
      </c>
      <c r="B2397">
        <v>3</v>
      </c>
      <c r="C2397">
        <v>2</v>
      </c>
      <c r="D2397">
        <v>1</v>
      </c>
      <c r="E2397" t="s">
        <v>22</v>
      </c>
      <c r="F2397" t="s">
        <v>4108</v>
      </c>
      <c r="G2397" t="s">
        <v>4109</v>
      </c>
      <c r="H2397">
        <v>3.2349999999999999</v>
      </c>
      <c r="I2397" t="s">
        <v>21</v>
      </c>
    </row>
    <row r="2398" spans="1:9" x14ac:dyDescent="0.3">
      <c r="A2398">
        <v>4</v>
      </c>
      <c r="B2398">
        <v>3</v>
      </c>
      <c r="C2398">
        <v>2</v>
      </c>
      <c r="D2398">
        <v>1</v>
      </c>
      <c r="E2398" t="s">
        <v>22</v>
      </c>
      <c r="F2398" t="s">
        <v>4110</v>
      </c>
      <c r="G2398" t="s">
        <v>4111</v>
      </c>
      <c r="H2398">
        <v>2.5030000000000001</v>
      </c>
      <c r="I2398" t="s">
        <v>21</v>
      </c>
    </row>
    <row r="2399" spans="1:9" x14ac:dyDescent="0.3">
      <c r="A2399">
        <v>4</v>
      </c>
      <c r="B2399">
        <v>3</v>
      </c>
      <c r="C2399">
        <v>2</v>
      </c>
      <c r="D2399">
        <v>1</v>
      </c>
      <c r="E2399" t="s">
        <v>22</v>
      </c>
      <c r="F2399" t="s">
        <v>4112</v>
      </c>
      <c r="G2399" t="s">
        <v>4113</v>
      </c>
      <c r="H2399">
        <v>1.869</v>
      </c>
      <c r="I2399" t="s">
        <v>21</v>
      </c>
    </row>
    <row r="2400" spans="1:9" x14ac:dyDescent="0.3">
      <c r="A2400">
        <v>4</v>
      </c>
      <c r="B2400">
        <v>3</v>
      </c>
      <c r="C2400">
        <v>2</v>
      </c>
      <c r="D2400">
        <v>1</v>
      </c>
      <c r="E2400" t="s">
        <v>19</v>
      </c>
      <c r="F2400" t="s">
        <v>4114</v>
      </c>
      <c r="I2400" t="s">
        <v>34</v>
      </c>
    </row>
    <row r="2401" spans="1:9" x14ac:dyDescent="0.3">
      <c r="A2401">
        <v>4</v>
      </c>
      <c r="B2401">
        <v>3</v>
      </c>
      <c r="C2401">
        <v>2</v>
      </c>
      <c r="D2401">
        <v>1</v>
      </c>
      <c r="E2401" t="s">
        <v>22</v>
      </c>
      <c r="F2401" t="s">
        <v>4115</v>
      </c>
      <c r="G2401" t="s">
        <v>4116</v>
      </c>
      <c r="H2401">
        <v>2.2349999999999999</v>
      </c>
      <c r="I2401" t="s">
        <v>21</v>
      </c>
    </row>
    <row r="2402" spans="1:9" x14ac:dyDescent="0.3">
      <c r="A2402">
        <v>4</v>
      </c>
      <c r="B2402">
        <v>3</v>
      </c>
      <c r="C2402">
        <v>3</v>
      </c>
      <c r="D2402">
        <v>1</v>
      </c>
      <c r="E2402" t="s">
        <v>22</v>
      </c>
      <c r="F2402" t="s">
        <v>4117</v>
      </c>
      <c r="G2402" t="s">
        <v>4118</v>
      </c>
      <c r="H2402">
        <v>4.6189999999999998</v>
      </c>
      <c r="I2402" t="s">
        <v>21</v>
      </c>
    </row>
    <row r="2403" spans="1:9" x14ac:dyDescent="0.3">
      <c r="A2403">
        <v>4</v>
      </c>
      <c r="B2403">
        <v>3</v>
      </c>
      <c r="C2403">
        <v>3</v>
      </c>
      <c r="D2403">
        <v>1</v>
      </c>
      <c r="E2403" t="s">
        <v>9</v>
      </c>
      <c r="F2403" t="s">
        <v>4119</v>
      </c>
      <c r="G2403" t="s">
        <v>4120</v>
      </c>
      <c r="H2403">
        <v>3.5009999999999999</v>
      </c>
      <c r="I2403" t="s">
        <v>12</v>
      </c>
    </row>
    <row r="2404" spans="1:9" x14ac:dyDescent="0.3">
      <c r="A2404">
        <v>4</v>
      </c>
      <c r="B2404">
        <v>3</v>
      </c>
      <c r="C2404">
        <v>3</v>
      </c>
      <c r="D2404">
        <v>1</v>
      </c>
      <c r="E2404" t="s">
        <v>9</v>
      </c>
      <c r="F2404" t="s">
        <v>4121</v>
      </c>
      <c r="G2404" t="s">
        <v>4122</v>
      </c>
      <c r="H2404">
        <v>2.5339999999999998</v>
      </c>
      <c r="I2404" t="s">
        <v>12</v>
      </c>
    </row>
    <row r="2405" spans="1:9" x14ac:dyDescent="0.3">
      <c r="A2405">
        <v>4</v>
      </c>
      <c r="B2405">
        <v>3</v>
      </c>
      <c r="C2405">
        <v>3</v>
      </c>
      <c r="D2405">
        <v>1</v>
      </c>
      <c r="E2405" t="s">
        <v>19</v>
      </c>
      <c r="F2405" t="s">
        <v>4123</v>
      </c>
      <c r="I2405" t="s">
        <v>21</v>
      </c>
    </row>
    <row r="2406" spans="1:9" x14ac:dyDescent="0.3">
      <c r="A2406">
        <v>4</v>
      </c>
      <c r="B2406">
        <v>3</v>
      </c>
      <c r="C2406">
        <v>3</v>
      </c>
      <c r="D2406">
        <v>1</v>
      </c>
      <c r="E2406" t="s">
        <v>9</v>
      </c>
      <c r="F2406" t="s">
        <v>4124</v>
      </c>
      <c r="G2406" t="s">
        <v>4125</v>
      </c>
      <c r="H2406">
        <v>4.1680000000000001</v>
      </c>
      <c r="I2406" t="s">
        <v>12</v>
      </c>
    </row>
    <row r="2407" spans="1:9" x14ac:dyDescent="0.3">
      <c r="A2407">
        <v>4</v>
      </c>
      <c r="B2407">
        <v>3</v>
      </c>
      <c r="C2407">
        <v>3</v>
      </c>
      <c r="D2407">
        <v>1</v>
      </c>
      <c r="E2407" t="s">
        <v>19</v>
      </c>
      <c r="F2407" t="s">
        <v>4126</v>
      </c>
      <c r="I2407" t="s">
        <v>21</v>
      </c>
    </row>
    <row r="2408" spans="1:9" x14ac:dyDescent="0.3">
      <c r="A2408">
        <v>4</v>
      </c>
      <c r="B2408">
        <v>3</v>
      </c>
      <c r="C2408">
        <v>3</v>
      </c>
      <c r="D2408">
        <v>1</v>
      </c>
      <c r="E2408" t="s">
        <v>19</v>
      </c>
      <c r="F2408" t="s">
        <v>4127</v>
      </c>
      <c r="I2408" t="s">
        <v>21</v>
      </c>
    </row>
    <row r="2409" spans="1:9" x14ac:dyDescent="0.3">
      <c r="A2409">
        <v>4</v>
      </c>
      <c r="B2409">
        <v>3</v>
      </c>
      <c r="C2409">
        <v>3</v>
      </c>
      <c r="D2409">
        <v>2</v>
      </c>
      <c r="E2409" t="s">
        <v>22</v>
      </c>
      <c r="F2409" t="s">
        <v>4128</v>
      </c>
      <c r="G2409" t="s">
        <v>4129</v>
      </c>
      <c r="H2409">
        <v>3.052</v>
      </c>
      <c r="I2409" t="s">
        <v>21</v>
      </c>
    </row>
    <row r="2410" spans="1:9" x14ac:dyDescent="0.3">
      <c r="A2410">
        <v>4</v>
      </c>
      <c r="B2410">
        <v>3</v>
      </c>
      <c r="C2410">
        <v>3</v>
      </c>
      <c r="D2410">
        <v>2</v>
      </c>
      <c r="E2410" t="s">
        <v>9</v>
      </c>
      <c r="F2410" t="s">
        <v>4130</v>
      </c>
      <c r="G2410" t="s">
        <v>4131</v>
      </c>
      <c r="H2410">
        <v>2.4</v>
      </c>
      <c r="I2410" t="s">
        <v>12</v>
      </c>
    </row>
    <row r="2411" spans="1:9" x14ac:dyDescent="0.3">
      <c r="A2411">
        <v>4</v>
      </c>
      <c r="B2411">
        <v>3</v>
      </c>
      <c r="C2411">
        <v>3</v>
      </c>
      <c r="D2411">
        <v>2</v>
      </c>
      <c r="E2411" t="s">
        <v>19</v>
      </c>
      <c r="F2411" t="s">
        <v>4132</v>
      </c>
      <c r="I2411" t="s">
        <v>21</v>
      </c>
    </row>
    <row r="2412" spans="1:9" x14ac:dyDescent="0.3">
      <c r="A2412">
        <v>4</v>
      </c>
      <c r="B2412">
        <v>3</v>
      </c>
      <c r="C2412">
        <v>3</v>
      </c>
      <c r="D2412">
        <v>2</v>
      </c>
      <c r="E2412" t="s">
        <v>9</v>
      </c>
      <c r="F2412" t="s">
        <v>4133</v>
      </c>
      <c r="G2412" t="s">
        <v>4134</v>
      </c>
      <c r="H2412">
        <v>1.8680000000000001</v>
      </c>
      <c r="I2412" t="s">
        <v>12</v>
      </c>
    </row>
    <row r="2413" spans="1:9" x14ac:dyDescent="0.3">
      <c r="A2413">
        <v>4</v>
      </c>
      <c r="B2413">
        <v>3</v>
      </c>
      <c r="C2413">
        <v>3</v>
      </c>
      <c r="D2413">
        <v>2</v>
      </c>
      <c r="E2413" t="s">
        <v>19</v>
      </c>
      <c r="F2413" t="s">
        <v>4135</v>
      </c>
      <c r="I2413" t="s">
        <v>21</v>
      </c>
    </row>
    <row r="2414" spans="1:9" x14ac:dyDescent="0.3">
      <c r="A2414">
        <v>4</v>
      </c>
      <c r="B2414">
        <v>3</v>
      </c>
      <c r="C2414">
        <v>3</v>
      </c>
      <c r="D2414">
        <v>2</v>
      </c>
      <c r="E2414" t="s">
        <v>19</v>
      </c>
      <c r="F2414" t="s">
        <v>4136</v>
      </c>
      <c r="I2414" t="s">
        <v>21</v>
      </c>
    </row>
    <row r="2415" spans="1:9" x14ac:dyDescent="0.3">
      <c r="A2415">
        <v>4</v>
      </c>
      <c r="B2415">
        <v>3</v>
      </c>
      <c r="C2415">
        <v>3</v>
      </c>
      <c r="D2415">
        <v>2</v>
      </c>
      <c r="E2415" t="s">
        <v>9</v>
      </c>
      <c r="F2415" t="s">
        <v>4137</v>
      </c>
      <c r="G2415" t="s">
        <v>4138</v>
      </c>
      <c r="H2415">
        <v>2.4350000000000001</v>
      </c>
      <c r="I2415" t="s">
        <v>12</v>
      </c>
    </row>
    <row r="2416" spans="1:9" x14ac:dyDescent="0.3">
      <c r="A2416">
        <v>4</v>
      </c>
      <c r="B2416">
        <v>3</v>
      </c>
      <c r="C2416">
        <v>3</v>
      </c>
      <c r="D2416">
        <v>2</v>
      </c>
      <c r="E2416" t="s">
        <v>19</v>
      </c>
      <c r="F2416" t="s">
        <v>4139</v>
      </c>
      <c r="I2416" t="s">
        <v>21</v>
      </c>
    </row>
    <row r="2417" spans="1:9" x14ac:dyDescent="0.3">
      <c r="A2417">
        <v>4</v>
      </c>
      <c r="B2417">
        <v>3</v>
      </c>
      <c r="C2417">
        <v>3</v>
      </c>
      <c r="D2417">
        <v>2</v>
      </c>
      <c r="E2417" t="s">
        <v>19</v>
      </c>
      <c r="F2417" t="s">
        <v>4140</v>
      </c>
      <c r="I2417" t="s">
        <v>21</v>
      </c>
    </row>
    <row r="2418" spans="1:9" x14ac:dyDescent="0.3">
      <c r="A2418">
        <v>4</v>
      </c>
      <c r="B2418">
        <v>3</v>
      </c>
      <c r="C2418">
        <v>3</v>
      </c>
      <c r="D2418">
        <v>2</v>
      </c>
      <c r="E2418" t="s">
        <v>19</v>
      </c>
      <c r="F2418" t="s">
        <v>4141</v>
      </c>
      <c r="I2418" t="s">
        <v>21</v>
      </c>
    </row>
    <row r="2419" spans="1:9" x14ac:dyDescent="0.3">
      <c r="A2419">
        <v>4</v>
      </c>
      <c r="B2419">
        <v>3</v>
      </c>
      <c r="C2419">
        <v>3</v>
      </c>
      <c r="D2419">
        <v>2</v>
      </c>
      <c r="E2419" t="s">
        <v>9</v>
      </c>
      <c r="F2419" t="s">
        <v>4142</v>
      </c>
      <c r="G2419" t="s">
        <v>4143</v>
      </c>
      <c r="H2419">
        <v>2.8069999999999999</v>
      </c>
      <c r="I2419" t="s">
        <v>12</v>
      </c>
    </row>
    <row r="2420" spans="1:9" x14ac:dyDescent="0.3">
      <c r="A2420">
        <v>4</v>
      </c>
      <c r="B2420">
        <v>3</v>
      </c>
      <c r="C2420">
        <v>3</v>
      </c>
      <c r="D2420">
        <v>2</v>
      </c>
      <c r="E2420" t="s">
        <v>19</v>
      </c>
      <c r="F2420" t="s">
        <v>4144</v>
      </c>
      <c r="I2420" t="s">
        <v>21</v>
      </c>
    </row>
    <row r="2421" spans="1:9" x14ac:dyDescent="0.3">
      <c r="A2421">
        <v>4</v>
      </c>
      <c r="B2421">
        <v>3</v>
      </c>
      <c r="C2421">
        <v>3</v>
      </c>
      <c r="D2421">
        <v>2</v>
      </c>
      <c r="E2421" t="s">
        <v>19</v>
      </c>
      <c r="F2421" t="s">
        <v>4145</v>
      </c>
      <c r="I2421" t="s">
        <v>21</v>
      </c>
    </row>
    <row r="2422" spans="1:9" x14ac:dyDescent="0.3">
      <c r="A2422">
        <v>4</v>
      </c>
      <c r="B2422">
        <v>3</v>
      </c>
      <c r="C2422">
        <v>3</v>
      </c>
      <c r="D2422">
        <v>2</v>
      </c>
      <c r="E2422" t="s">
        <v>19</v>
      </c>
      <c r="F2422" t="s">
        <v>4146</v>
      </c>
      <c r="I2422" t="s">
        <v>21</v>
      </c>
    </row>
    <row r="2423" spans="1:9" x14ac:dyDescent="0.3">
      <c r="A2423">
        <v>4</v>
      </c>
      <c r="B2423">
        <v>3</v>
      </c>
      <c r="C2423">
        <v>3</v>
      </c>
      <c r="D2423">
        <v>2</v>
      </c>
      <c r="E2423" t="s">
        <v>19</v>
      </c>
      <c r="F2423" t="s">
        <v>4147</v>
      </c>
      <c r="I2423" t="s">
        <v>34</v>
      </c>
    </row>
    <row r="2424" spans="1:9" x14ac:dyDescent="0.3">
      <c r="A2424">
        <v>4</v>
      </c>
      <c r="B2424">
        <v>3</v>
      </c>
      <c r="C2424">
        <v>3</v>
      </c>
      <c r="D2424">
        <v>2</v>
      </c>
      <c r="E2424" t="s">
        <v>19</v>
      </c>
      <c r="F2424" t="s">
        <v>4148</v>
      </c>
      <c r="I2424" t="s">
        <v>34</v>
      </c>
    </row>
    <row r="2425" spans="1:9" x14ac:dyDescent="0.3">
      <c r="A2425">
        <v>4</v>
      </c>
      <c r="B2425">
        <v>3</v>
      </c>
      <c r="C2425">
        <v>3</v>
      </c>
      <c r="D2425">
        <v>3</v>
      </c>
      <c r="E2425" t="s">
        <v>22</v>
      </c>
      <c r="F2425" t="s">
        <v>4149</v>
      </c>
      <c r="G2425" t="s">
        <v>4150</v>
      </c>
      <c r="H2425">
        <v>5.9189999999999996</v>
      </c>
      <c r="I2425" t="s">
        <v>21</v>
      </c>
    </row>
    <row r="2426" spans="1:9" x14ac:dyDescent="0.3">
      <c r="A2426">
        <v>4</v>
      </c>
      <c r="B2426">
        <v>3</v>
      </c>
      <c r="C2426">
        <v>3</v>
      </c>
      <c r="D2426">
        <v>4</v>
      </c>
      <c r="E2426" t="s">
        <v>9</v>
      </c>
      <c r="F2426" t="s">
        <v>4151</v>
      </c>
      <c r="G2426" t="s">
        <v>4152</v>
      </c>
      <c r="H2426">
        <v>2.1859999999999999</v>
      </c>
      <c r="I2426" t="s">
        <v>12</v>
      </c>
    </row>
    <row r="2427" spans="1:9" x14ac:dyDescent="0.3">
      <c r="A2427">
        <v>4</v>
      </c>
      <c r="B2427">
        <v>3</v>
      </c>
      <c r="C2427">
        <v>3</v>
      </c>
      <c r="D2427">
        <v>4</v>
      </c>
      <c r="E2427" t="s">
        <v>9</v>
      </c>
      <c r="F2427" t="s">
        <v>4153</v>
      </c>
      <c r="G2427" t="s">
        <v>4154</v>
      </c>
      <c r="H2427">
        <v>1.9339999999999999</v>
      </c>
      <c r="I2427" t="s">
        <v>12</v>
      </c>
    </row>
    <row r="2428" spans="1:9" x14ac:dyDescent="0.3">
      <c r="A2428">
        <v>4</v>
      </c>
      <c r="B2428">
        <v>3</v>
      </c>
      <c r="C2428">
        <v>3</v>
      </c>
      <c r="D2428">
        <v>4</v>
      </c>
      <c r="E2428" t="s">
        <v>9</v>
      </c>
      <c r="F2428" t="s">
        <v>4155</v>
      </c>
      <c r="G2428" t="s">
        <v>4156</v>
      </c>
      <c r="H2428">
        <v>3.0009999999999999</v>
      </c>
      <c r="I2428" t="s">
        <v>12</v>
      </c>
    </row>
    <row r="2429" spans="1:9" x14ac:dyDescent="0.3">
      <c r="A2429">
        <v>4</v>
      </c>
      <c r="B2429">
        <v>3</v>
      </c>
      <c r="C2429">
        <v>3</v>
      </c>
      <c r="D2429">
        <v>4</v>
      </c>
      <c r="E2429" t="s">
        <v>9</v>
      </c>
      <c r="F2429" t="s">
        <v>4157</v>
      </c>
      <c r="G2429" t="s">
        <v>4158</v>
      </c>
      <c r="H2429">
        <v>2.7690000000000001</v>
      </c>
      <c r="I2429" t="s">
        <v>12</v>
      </c>
    </row>
    <row r="2430" spans="1:9" x14ac:dyDescent="0.3">
      <c r="A2430">
        <v>4</v>
      </c>
      <c r="B2430">
        <v>3</v>
      </c>
      <c r="C2430">
        <v>3</v>
      </c>
      <c r="D2430">
        <v>4</v>
      </c>
      <c r="E2430" t="s">
        <v>19</v>
      </c>
      <c r="F2430" t="s">
        <v>4159</v>
      </c>
      <c r="I2430" t="s">
        <v>21</v>
      </c>
    </row>
    <row r="2431" spans="1:9" x14ac:dyDescent="0.3">
      <c r="A2431">
        <v>4</v>
      </c>
      <c r="B2431">
        <v>3</v>
      </c>
      <c r="C2431">
        <v>3</v>
      </c>
      <c r="D2431">
        <v>5</v>
      </c>
      <c r="E2431" t="s">
        <v>22</v>
      </c>
      <c r="F2431" t="s">
        <v>4160</v>
      </c>
      <c r="G2431" t="s">
        <v>4161</v>
      </c>
      <c r="H2431">
        <v>2.0179999999999998</v>
      </c>
      <c r="I2431" t="s">
        <v>21</v>
      </c>
    </row>
    <row r="2432" spans="1:9" x14ac:dyDescent="0.3">
      <c r="A2432">
        <v>4</v>
      </c>
      <c r="B2432">
        <v>3</v>
      </c>
      <c r="C2432">
        <v>3</v>
      </c>
      <c r="D2432">
        <v>5</v>
      </c>
      <c r="E2432" t="s">
        <v>9</v>
      </c>
      <c r="F2432" t="s">
        <v>4162</v>
      </c>
      <c r="G2432" t="s">
        <v>4163</v>
      </c>
      <c r="H2432">
        <v>2.7010000000000001</v>
      </c>
      <c r="I2432" t="s">
        <v>12</v>
      </c>
    </row>
    <row r="2433" spans="1:9" x14ac:dyDescent="0.3">
      <c r="A2433">
        <v>4</v>
      </c>
      <c r="B2433">
        <v>3</v>
      </c>
      <c r="C2433">
        <v>3</v>
      </c>
      <c r="D2433">
        <v>5</v>
      </c>
      <c r="E2433" t="s">
        <v>9</v>
      </c>
      <c r="F2433" t="s">
        <v>4164</v>
      </c>
      <c r="G2433" t="s">
        <v>4165</v>
      </c>
      <c r="H2433">
        <v>2.4670000000000001</v>
      </c>
      <c r="I2433" t="s">
        <v>12</v>
      </c>
    </row>
    <row r="2434" spans="1:9" x14ac:dyDescent="0.3">
      <c r="A2434">
        <v>4</v>
      </c>
      <c r="B2434">
        <v>3</v>
      </c>
      <c r="C2434">
        <v>3</v>
      </c>
      <c r="D2434">
        <v>5</v>
      </c>
      <c r="E2434" t="s">
        <v>9</v>
      </c>
      <c r="F2434" t="s">
        <v>4166</v>
      </c>
      <c r="G2434" t="s">
        <v>4167</v>
      </c>
      <c r="H2434">
        <v>6.9009999999999998</v>
      </c>
      <c r="I2434" t="s">
        <v>12</v>
      </c>
    </row>
    <row r="2435" spans="1:9" x14ac:dyDescent="0.3">
      <c r="A2435">
        <v>4</v>
      </c>
      <c r="B2435">
        <v>3</v>
      </c>
      <c r="C2435">
        <v>3</v>
      </c>
      <c r="D2435">
        <v>5</v>
      </c>
      <c r="E2435" t="s">
        <v>19</v>
      </c>
      <c r="F2435" t="s">
        <v>4168</v>
      </c>
      <c r="I2435" t="s">
        <v>21</v>
      </c>
    </row>
    <row r="2436" spans="1:9" x14ac:dyDescent="0.3">
      <c r="A2436">
        <v>4</v>
      </c>
      <c r="B2436">
        <v>3</v>
      </c>
      <c r="C2436">
        <v>3</v>
      </c>
      <c r="D2436">
        <v>5</v>
      </c>
      <c r="E2436" t="s">
        <v>9</v>
      </c>
      <c r="F2436" t="s">
        <v>4169</v>
      </c>
      <c r="G2436" t="s">
        <v>4170</v>
      </c>
      <c r="H2436">
        <v>1.8009999999999999</v>
      </c>
      <c r="I2436" t="s">
        <v>12</v>
      </c>
    </row>
    <row r="2437" spans="1:9" x14ac:dyDescent="0.3">
      <c r="A2437">
        <v>4</v>
      </c>
      <c r="B2437">
        <v>3</v>
      </c>
      <c r="C2437">
        <v>3</v>
      </c>
      <c r="D2437">
        <v>6</v>
      </c>
      <c r="E2437" t="s">
        <v>22</v>
      </c>
      <c r="F2437" t="s">
        <v>4171</v>
      </c>
      <c r="G2437" t="s">
        <v>4172</v>
      </c>
      <c r="H2437">
        <v>4.319</v>
      </c>
      <c r="I2437" t="s">
        <v>21</v>
      </c>
    </row>
    <row r="2438" spans="1:9" x14ac:dyDescent="0.3">
      <c r="A2438">
        <v>4</v>
      </c>
      <c r="B2438">
        <v>3</v>
      </c>
      <c r="C2438">
        <v>3</v>
      </c>
      <c r="D2438">
        <v>6</v>
      </c>
      <c r="E2438" t="s">
        <v>22</v>
      </c>
      <c r="F2438" t="s">
        <v>4173</v>
      </c>
      <c r="G2438" t="s">
        <v>4174</v>
      </c>
      <c r="H2438">
        <v>1.9350000000000001</v>
      </c>
      <c r="I2438" t="s">
        <v>21</v>
      </c>
    </row>
    <row r="2439" spans="1:9" x14ac:dyDescent="0.3">
      <c r="A2439">
        <v>4</v>
      </c>
      <c r="B2439">
        <v>3</v>
      </c>
      <c r="C2439">
        <v>3</v>
      </c>
      <c r="D2439">
        <v>6</v>
      </c>
      <c r="E2439" t="s">
        <v>9</v>
      </c>
      <c r="F2439" t="s">
        <v>4175</v>
      </c>
      <c r="G2439" t="s">
        <v>4176</v>
      </c>
      <c r="H2439">
        <v>4.234</v>
      </c>
      <c r="I2439" t="s">
        <v>12</v>
      </c>
    </row>
    <row r="2440" spans="1:9" x14ac:dyDescent="0.3">
      <c r="A2440">
        <v>4</v>
      </c>
      <c r="B2440">
        <v>3</v>
      </c>
      <c r="C2440">
        <v>3</v>
      </c>
      <c r="D2440">
        <v>6</v>
      </c>
      <c r="E2440" t="s">
        <v>9</v>
      </c>
      <c r="F2440" t="s">
        <v>4177</v>
      </c>
      <c r="G2440" t="s">
        <v>4178</v>
      </c>
      <c r="H2440">
        <v>4.2679999999999998</v>
      </c>
      <c r="I2440" t="s">
        <v>12</v>
      </c>
    </row>
    <row r="2441" spans="1:9" x14ac:dyDescent="0.3">
      <c r="A2441">
        <v>4</v>
      </c>
      <c r="B2441">
        <v>3</v>
      </c>
      <c r="C2441">
        <v>3</v>
      </c>
      <c r="D2441">
        <v>6</v>
      </c>
      <c r="E2441" t="s">
        <v>19</v>
      </c>
      <c r="F2441" t="s">
        <v>4179</v>
      </c>
      <c r="I2441" t="s">
        <v>21</v>
      </c>
    </row>
    <row r="2442" spans="1:9" x14ac:dyDescent="0.3">
      <c r="A2442">
        <v>4</v>
      </c>
      <c r="B2442">
        <v>3</v>
      </c>
      <c r="C2442">
        <v>3</v>
      </c>
      <c r="D2442">
        <v>6</v>
      </c>
      <c r="E2442" t="s">
        <v>9</v>
      </c>
      <c r="F2442" t="s">
        <v>4180</v>
      </c>
      <c r="G2442" t="s">
        <v>4181</v>
      </c>
      <c r="H2442">
        <v>3.0049999999999999</v>
      </c>
      <c r="I2442" t="s">
        <v>12</v>
      </c>
    </row>
    <row r="2443" spans="1:9" x14ac:dyDescent="0.3">
      <c r="A2443">
        <v>4</v>
      </c>
      <c r="B2443">
        <v>3</v>
      </c>
      <c r="C2443">
        <v>3</v>
      </c>
      <c r="D2443">
        <v>6</v>
      </c>
      <c r="E2443" t="s">
        <v>19</v>
      </c>
      <c r="F2443" t="s">
        <v>4182</v>
      </c>
      <c r="I2443" t="s">
        <v>21</v>
      </c>
    </row>
    <row r="2444" spans="1:9" x14ac:dyDescent="0.3">
      <c r="A2444">
        <v>4</v>
      </c>
      <c r="B2444">
        <v>3</v>
      </c>
      <c r="C2444">
        <v>3</v>
      </c>
      <c r="D2444">
        <v>6</v>
      </c>
      <c r="E2444" t="s">
        <v>9</v>
      </c>
      <c r="F2444" t="s">
        <v>4183</v>
      </c>
      <c r="G2444" t="s">
        <v>4184</v>
      </c>
      <c r="H2444">
        <v>2.9689999999999999</v>
      </c>
      <c r="I2444" t="s">
        <v>12</v>
      </c>
    </row>
    <row r="2445" spans="1:9" x14ac:dyDescent="0.3">
      <c r="A2445">
        <v>4</v>
      </c>
      <c r="B2445">
        <v>3</v>
      </c>
      <c r="C2445">
        <v>3</v>
      </c>
      <c r="D2445">
        <v>6</v>
      </c>
      <c r="E2445" t="s">
        <v>19</v>
      </c>
      <c r="F2445" t="s">
        <v>4185</v>
      </c>
      <c r="I2445" t="s">
        <v>21</v>
      </c>
    </row>
    <row r="2446" spans="1:9" x14ac:dyDescent="0.3">
      <c r="A2446">
        <v>4</v>
      </c>
      <c r="B2446">
        <v>3</v>
      </c>
      <c r="C2446">
        <v>3</v>
      </c>
      <c r="D2446">
        <v>6</v>
      </c>
      <c r="E2446" t="s">
        <v>19</v>
      </c>
      <c r="F2446" t="s">
        <v>4186</v>
      </c>
      <c r="I2446" t="s">
        <v>21</v>
      </c>
    </row>
    <row r="2447" spans="1:9" x14ac:dyDescent="0.3">
      <c r="A2447">
        <v>4</v>
      </c>
      <c r="B2447">
        <v>3</v>
      </c>
      <c r="C2447">
        <v>3</v>
      </c>
      <c r="D2447">
        <v>6</v>
      </c>
      <c r="E2447" t="s">
        <v>19</v>
      </c>
      <c r="F2447" t="s">
        <v>4187</v>
      </c>
      <c r="I2447" t="s">
        <v>21</v>
      </c>
    </row>
    <row r="2448" spans="1:9" x14ac:dyDescent="0.3">
      <c r="A2448">
        <v>4</v>
      </c>
      <c r="B2448">
        <v>3</v>
      </c>
      <c r="C2448">
        <v>3</v>
      </c>
      <c r="D2448">
        <v>6</v>
      </c>
      <c r="E2448" t="s">
        <v>19</v>
      </c>
      <c r="F2448" t="s">
        <v>4188</v>
      </c>
      <c r="I2448" t="s">
        <v>21</v>
      </c>
    </row>
    <row r="2449" spans="1:9" x14ac:dyDescent="0.3">
      <c r="A2449">
        <v>4</v>
      </c>
      <c r="B2449">
        <v>3</v>
      </c>
      <c r="C2449">
        <v>3</v>
      </c>
      <c r="D2449">
        <v>6</v>
      </c>
      <c r="E2449" t="s">
        <v>19</v>
      </c>
      <c r="F2449" t="s">
        <v>4189</v>
      </c>
      <c r="I2449" t="s">
        <v>21</v>
      </c>
    </row>
    <row r="2450" spans="1:9" x14ac:dyDescent="0.3">
      <c r="A2450">
        <v>4</v>
      </c>
      <c r="B2450">
        <v>3</v>
      </c>
      <c r="C2450">
        <v>3</v>
      </c>
      <c r="D2450">
        <v>6</v>
      </c>
      <c r="E2450" t="s">
        <v>19</v>
      </c>
      <c r="F2450" t="s">
        <v>4190</v>
      </c>
      <c r="I2450" t="s">
        <v>21</v>
      </c>
    </row>
    <row r="2451" spans="1:9" x14ac:dyDescent="0.3">
      <c r="A2451">
        <v>4</v>
      </c>
      <c r="B2451">
        <v>3</v>
      </c>
      <c r="C2451">
        <v>3</v>
      </c>
      <c r="D2451">
        <v>6</v>
      </c>
      <c r="E2451" t="s">
        <v>19</v>
      </c>
      <c r="F2451" t="s">
        <v>4191</v>
      </c>
      <c r="I2451" t="s">
        <v>21</v>
      </c>
    </row>
    <row r="2452" spans="1:9" x14ac:dyDescent="0.3">
      <c r="A2452">
        <v>50</v>
      </c>
      <c r="B2452">
        <v>1</v>
      </c>
      <c r="C2452">
        <v>1</v>
      </c>
      <c r="D2452">
        <v>1</v>
      </c>
      <c r="E2452" t="s">
        <v>9</v>
      </c>
      <c r="F2452" t="s">
        <v>4192</v>
      </c>
      <c r="G2452" t="s">
        <v>4193</v>
      </c>
      <c r="H2452">
        <v>8.3529999999999998</v>
      </c>
      <c r="I2452" t="s">
        <v>12</v>
      </c>
    </row>
    <row r="2453" spans="1:9" x14ac:dyDescent="0.3">
      <c r="A2453">
        <v>50</v>
      </c>
      <c r="B2453">
        <v>1</v>
      </c>
      <c r="C2453">
        <v>1</v>
      </c>
      <c r="D2453">
        <v>2</v>
      </c>
      <c r="E2453" t="s">
        <v>9</v>
      </c>
      <c r="F2453" t="s">
        <v>4194</v>
      </c>
      <c r="G2453" t="s">
        <v>4195</v>
      </c>
      <c r="H2453">
        <v>2.5139999999999998</v>
      </c>
      <c r="I2453" t="s">
        <v>12</v>
      </c>
    </row>
    <row r="2454" spans="1:9" x14ac:dyDescent="0.3">
      <c r="A2454">
        <v>50</v>
      </c>
      <c r="B2454">
        <v>1</v>
      </c>
      <c r="C2454">
        <v>1</v>
      </c>
      <c r="D2454">
        <v>3</v>
      </c>
      <c r="E2454" t="s">
        <v>22</v>
      </c>
      <c r="F2454" t="s">
        <v>4196</v>
      </c>
      <c r="G2454" t="s">
        <v>4197</v>
      </c>
      <c r="H2454">
        <v>5.8410000000000002</v>
      </c>
      <c r="I2454" t="s">
        <v>21</v>
      </c>
    </row>
    <row r="2455" spans="1:9" x14ac:dyDescent="0.3">
      <c r="A2455">
        <v>50</v>
      </c>
      <c r="B2455">
        <v>1</v>
      </c>
      <c r="C2455">
        <v>1</v>
      </c>
      <c r="D2455">
        <v>3</v>
      </c>
      <c r="E2455" t="s">
        <v>9</v>
      </c>
      <c r="F2455" t="s">
        <v>4198</v>
      </c>
      <c r="G2455" t="s">
        <v>4199</v>
      </c>
      <c r="H2455">
        <v>5.03</v>
      </c>
      <c r="I2455" t="s">
        <v>12</v>
      </c>
    </row>
    <row r="2456" spans="1:9" x14ac:dyDescent="0.3">
      <c r="A2456">
        <v>50</v>
      </c>
      <c r="B2456">
        <v>1</v>
      </c>
      <c r="C2456">
        <v>1</v>
      </c>
      <c r="D2456">
        <v>3</v>
      </c>
      <c r="E2456" t="s">
        <v>9</v>
      </c>
      <c r="F2456" t="s">
        <v>4200</v>
      </c>
      <c r="G2456" t="s">
        <v>4201</v>
      </c>
      <c r="H2456">
        <v>6.1310000000000002</v>
      </c>
      <c r="I2456" t="s">
        <v>12</v>
      </c>
    </row>
    <row r="2457" spans="1:9" x14ac:dyDescent="0.3">
      <c r="A2457">
        <v>50</v>
      </c>
      <c r="B2457">
        <v>1</v>
      </c>
      <c r="C2457">
        <v>1</v>
      </c>
      <c r="D2457">
        <v>3</v>
      </c>
      <c r="E2457" t="s">
        <v>19</v>
      </c>
      <c r="F2457" t="s">
        <v>4202</v>
      </c>
      <c r="I2457" t="s">
        <v>34</v>
      </c>
    </row>
    <row r="2458" spans="1:9" x14ac:dyDescent="0.3">
      <c r="A2458">
        <v>50</v>
      </c>
      <c r="B2458">
        <v>1</v>
      </c>
      <c r="C2458">
        <v>1</v>
      </c>
      <c r="D2458">
        <v>4</v>
      </c>
      <c r="E2458" t="s">
        <v>22</v>
      </c>
      <c r="F2458" t="s">
        <v>4203</v>
      </c>
      <c r="G2458" t="s">
        <v>4204</v>
      </c>
      <c r="H2458">
        <v>3.7189999999999999</v>
      </c>
      <c r="I2458" t="s">
        <v>21</v>
      </c>
    </row>
    <row r="2459" spans="1:9" x14ac:dyDescent="0.3">
      <c r="A2459">
        <v>50</v>
      </c>
      <c r="B2459">
        <v>1</v>
      </c>
      <c r="C2459">
        <v>1</v>
      </c>
      <c r="D2459">
        <v>4</v>
      </c>
      <c r="E2459" t="s">
        <v>9</v>
      </c>
      <c r="F2459" t="s">
        <v>4205</v>
      </c>
      <c r="G2459" t="s">
        <v>4206</v>
      </c>
      <c r="H2459">
        <v>1.9179999999999999</v>
      </c>
      <c r="I2459" t="s">
        <v>12</v>
      </c>
    </row>
    <row r="2460" spans="1:9" x14ac:dyDescent="0.3">
      <c r="A2460">
        <v>50</v>
      </c>
      <c r="B2460">
        <v>1</v>
      </c>
      <c r="C2460">
        <v>1</v>
      </c>
      <c r="D2460">
        <v>4</v>
      </c>
      <c r="E2460" t="s">
        <v>9</v>
      </c>
      <c r="F2460" t="s">
        <v>4207</v>
      </c>
      <c r="G2460" t="s">
        <v>4208</v>
      </c>
      <c r="H2460">
        <v>5.4359999999999999</v>
      </c>
      <c r="I2460" t="s">
        <v>12</v>
      </c>
    </row>
    <row r="2461" spans="1:9" x14ac:dyDescent="0.3">
      <c r="A2461">
        <v>50</v>
      </c>
      <c r="B2461">
        <v>1</v>
      </c>
      <c r="C2461">
        <v>1</v>
      </c>
      <c r="D2461">
        <v>4</v>
      </c>
      <c r="E2461" t="s">
        <v>19</v>
      </c>
      <c r="F2461" t="s">
        <v>4209</v>
      </c>
      <c r="I2461" t="s">
        <v>34</v>
      </c>
    </row>
    <row r="2462" spans="1:9" x14ac:dyDescent="0.3">
      <c r="A2462">
        <v>50</v>
      </c>
      <c r="B2462">
        <v>1</v>
      </c>
      <c r="C2462">
        <v>1</v>
      </c>
      <c r="D2462">
        <v>4</v>
      </c>
      <c r="E2462" t="s">
        <v>19</v>
      </c>
      <c r="F2462" t="s">
        <v>4210</v>
      </c>
      <c r="I2462" t="s">
        <v>34</v>
      </c>
    </row>
    <row r="2463" spans="1:9" x14ac:dyDescent="0.3">
      <c r="A2463">
        <v>50</v>
      </c>
      <c r="B2463">
        <v>1</v>
      </c>
      <c r="C2463">
        <v>1</v>
      </c>
      <c r="D2463">
        <v>4</v>
      </c>
      <c r="E2463" t="s">
        <v>19</v>
      </c>
      <c r="F2463" t="s">
        <v>4211</v>
      </c>
      <c r="I2463" t="s">
        <v>34</v>
      </c>
    </row>
    <row r="2464" spans="1:9" x14ac:dyDescent="0.3">
      <c r="A2464">
        <v>50</v>
      </c>
      <c r="B2464">
        <v>1</v>
      </c>
      <c r="C2464">
        <v>1</v>
      </c>
      <c r="D2464">
        <v>4</v>
      </c>
      <c r="E2464" t="s">
        <v>9</v>
      </c>
      <c r="F2464" t="s">
        <v>4212</v>
      </c>
      <c r="G2464" t="s">
        <v>4213</v>
      </c>
      <c r="H2464">
        <v>3.8010000000000002</v>
      </c>
      <c r="I2464" t="s">
        <v>12</v>
      </c>
    </row>
    <row r="2465" spans="1:9" x14ac:dyDescent="0.3">
      <c r="A2465">
        <v>50</v>
      </c>
      <c r="B2465">
        <v>1</v>
      </c>
      <c r="C2465">
        <v>1</v>
      </c>
      <c r="D2465">
        <v>4</v>
      </c>
      <c r="E2465" t="s">
        <v>19</v>
      </c>
      <c r="F2465" t="s">
        <v>4214</v>
      </c>
      <c r="I2465" t="s">
        <v>34</v>
      </c>
    </row>
    <row r="2466" spans="1:9" x14ac:dyDescent="0.3">
      <c r="A2466">
        <v>50</v>
      </c>
      <c r="B2466">
        <v>1</v>
      </c>
      <c r="C2466">
        <v>1</v>
      </c>
      <c r="D2466">
        <v>5</v>
      </c>
      <c r="E2466" t="s">
        <v>9</v>
      </c>
      <c r="F2466" t="s">
        <v>4215</v>
      </c>
      <c r="G2466" t="s">
        <v>4216</v>
      </c>
      <c r="H2466">
        <v>3.992</v>
      </c>
      <c r="I2466" t="s">
        <v>12</v>
      </c>
    </row>
    <row r="2467" spans="1:9" x14ac:dyDescent="0.3">
      <c r="A2467">
        <v>50</v>
      </c>
      <c r="B2467">
        <v>1</v>
      </c>
      <c r="C2467">
        <v>1</v>
      </c>
      <c r="D2467">
        <v>5</v>
      </c>
      <c r="E2467" t="s">
        <v>22</v>
      </c>
      <c r="F2467" t="s">
        <v>4217</v>
      </c>
      <c r="G2467" t="s">
        <v>4218</v>
      </c>
      <c r="H2467">
        <v>3.6309999999999998</v>
      </c>
      <c r="I2467" t="s">
        <v>21</v>
      </c>
    </row>
    <row r="2468" spans="1:9" x14ac:dyDescent="0.3">
      <c r="A2468">
        <v>50</v>
      </c>
      <c r="B2468">
        <v>1</v>
      </c>
      <c r="C2468">
        <v>1</v>
      </c>
      <c r="D2468">
        <v>5</v>
      </c>
      <c r="E2468" t="s">
        <v>9</v>
      </c>
      <c r="F2468" t="s">
        <v>4219</v>
      </c>
      <c r="G2468" t="s">
        <v>4220</v>
      </c>
      <c r="H2468">
        <v>3.5019999999999998</v>
      </c>
      <c r="I2468" t="s">
        <v>12</v>
      </c>
    </row>
    <row r="2469" spans="1:9" x14ac:dyDescent="0.3">
      <c r="A2469">
        <v>50</v>
      </c>
      <c r="B2469">
        <v>1</v>
      </c>
      <c r="C2469">
        <v>1</v>
      </c>
      <c r="D2469">
        <v>5</v>
      </c>
      <c r="E2469" t="s">
        <v>19</v>
      </c>
      <c r="F2469" t="s">
        <v>4221</v>
      </c>
      <c r="I2469" t="s">
        <v>34</v>
      </c>
    </row>
    <row r="2470" spans="1:9" x14ac:dyDescent="0.3">
      <c r="A2470">
        <v>50</v>
      </c>
      <c r="B2470">
        <v>1</v>
      </c>
      <c r="C2470">
        <v>1</v>
      </c>
      <c r="D2470">
        <v>5</v>
      </c>
      <c r="E2470" t="s">
        <v>19</v>
      </c>
      <c r="F2470" t="s">
        <v>4222</v>
      </c>
      <c r="I2470" t="s">
        <v>34</v>
      </c>
    </row>
    <row r="2471" spans="1:9" x14ac:dyDescent="0.3">
      <c r="A2471">
        <v>50</v>
      </c>
      <c r="B2471">
        <v>1</v>
      </c>
      <c r="C2471">
        <v>1</v>
      </c>
      <c r="D2471">
        <v>5</v>
      </c>
      <c r="E2471" t="s">
        <v>19</v>
      </c>
      <c r="F2471" t="s">
        <v>4223</v>
      </c>
      <c r="I2471" t="s">
        <v>34</v>
      </c>
    </row>
    <row r="2472" spans="1:9" x14ac:dyDescent="0.3">
      <c r="A2472">
        <v>50</v>
      </c>
      <c r="B2472">
        <v>1</v>
      </c>
      <c r="C2472">
        <v>1</v>
      </c>
      <c r="D2472">
        <v>5</v>
      </c>
      <c r="E2472" t="s">
        <v>19</v>
      </c>
      <c r="F2472" t="s">
        <v>4224</v>
      </c>
      <c r="I2472" t="s">
        <v>34</v>
      </c>
    </row>
    <row r="2473" spans="1:9" x14ac:dyDescent="0.3">
      <c r="A2473">
        <v>50</v>
      </c>
      <c r="B2473">
        <v>1</v>
      </c>
      <c r="C2473">
        <v>1</v>
      </c>
      <c r="D2473">
        <v>5</v>
      </c>
      <c r="E2473" t="s">
        <v>19</v>
      </c>
      <c r="F2473" t="s">
        <v>4225</v>
      </c>
      <c r="I2473" t="s">
        <v>34</v>
      </c>
    </row>
    <row r="2474" spans="1:9" x14ac:dyDescent="0.3">
      <c r="A2474">
        <v>50</v>
      </c>
      <c r="B2474">
        <v>1</v>
      </c>
      <c r="C2474">
        <v>1</v>
      </c>
      <c r="D2474">
        <v>6</v>
      </c>
      <c r="E2474" t="s">
        <v>22</v>
      </c>
      <c r="F2474" t="s">
        <v>4226</v>
      </c>
      <c r="G2474" t="s">
        <v>4227</v>
      </c>
      <c r="H2474">
        <v>2.919</v>
      </c>
      <c r="I2474" t="s">
        <v>21</v>
      </c>
    </row>
    <row r="2475" spans="1:9" x14ac:dyDescent="0.3">
      <c r="A2475">
        <v>50</v>
      </c>
      <c r="B2475">
        <v>1</v>
      </c>
      <c r="C2475">
        <v>1</v>
      </c>
      <c r="D2475">
        <v>6</v>
      </c>
      <c r="E2475" t="s">
        <v>9</v>
      </c>
      <c r="F2475" t="s">
        <v>4228</v>
      </c>
      <c r="G2475" t="s">
        <v>4229</v>
      </c>
      <c r="H2475">
        <v>7.7320000000000002</v>
      </c>
      <c r="I2475" t="s">
        <v>12</v>
      </c>
    </row>
    <row r="2476" spans="1:9" x14ac:dyDescent="0.3">
      <c r="A2476">
        <v>50</v>
      </c>
      <c r="B2476">
        <v>1</v>
      </c>
      <c r="C2476">
        <v>1</v>
      </c>
      <c r="D2476">
        <v>6</v>
      </c>
      <c r="E2476" t="s">
        <v>9</v>
      </c>
      <c r="F2476" t="s">
        <v>4230</v>
      </c>
      <c r="G2476" t="s">
        <v>4231</v>
      </c>
      <c r="H2476">
        <v>3.569</v>
      </c>
      <c r="I2476" t="s">
        <v>12</v>
      </c>
    </row>
    <row r="2477" spans="1:9" x14ac:dyDescent="0.3">
      <c r="A2477">
        <v>50</v>
      </c>
      <c r="B2477">
        <v>1</v>
      </c>
      <c r="C2477">
        <v>1</v>
      </c>
      <c r="D2477">
        <v>6</v>
      </c>
      <c r="E2477" t="s">
        <v>19</v>
      </c>
      <c r="F2477" t="s">
        <v>4232</v>
      </c>
      <c r="I2477" t="s">
        <v>34</v>
      </c>
    </row>
    <row r="2478" spans="1:9" x14ac:dyDescent="0.3">
      <c r="A2478">
        <v>50</v>
      </c>
      <c r="B2478">
        <v>1</v>
      </c>
      <c r="C2478">
        <v>1</v>
      </c>
      <c r="D2478">
        <v>6</v>
      </c>
      <c r="E2478" t="s">
        <v>19</v>
      </c>
      <c r="F2478" t="s">
        <v>4233</v>
      </c>
      <c r="I2478" t="s">
        <v>34</v>
      </c>
    </row>
    <row r="2479" spans="1:9" x14ac:dyDescent="0.3">
      <c r="A2479">
        <v>50</v>
      </c>
      <c r="B2479">
        <v>1</v>
      </c>
      <c r="C2479">
        <v>1</v>
      </c>
      <c r="D2479">
        <v>6</v>
      </c>
      <c r="E2479" t="s">
        <v>19</v>
      </c>
      <c r="F2479" t="s">
        <v>4234</v>
      </c>
      <c r="I2479" t="s">
        <v>34</v>
      </c>
    </row>
    <row r="2480" spans="1:9" x14ac:dyDescent="0.3">
      <c r="A2480">
        <v>50</v>
      </c>
      <c r="B2480">
        <v>1</v>
      </c>
      <c r="C2480">
        <v>1</v>
      </c>
      <c r="D2480">
        <v>6</v>
      </c>
      <c r="E2480" t="s">
        <v>19</v>
      </c>
      <c r="F2480" t="s">
        <v>4235</v>
      </c>
      <c r="I2480" t="s">
        <v>34</v>
      </c>
    </row>
    <row r="2481" spans="1:9" x14ac:dyDescent="0.3">
      <c r="A2481">
        <v>50</v>
      </c>
      <c r="B2481">
        <v>1</v>
      </c>
      <c r="C2481">
        <v>1</v>
      </c>
      <c r="D2481">
        <v>6</v>
      </c>
      <c r="E2481" t="s">
        <v>19</v>
      </c>
      <c r="F2481" t="s">
        <v>4236</v>
      </c>
      <c r="I2481" t="s">
        <v>34</v>
      </c>
    </row>
    <row r="2482" spans="1:9" x14ac:dyDescent="0.3">
      <c r="A2482">
        <v>50</v>
      </c>
      <c r="B2482">
        <v>1</v>
      </c>
      <c r="C2482">
        <v>1</v>
      </c>
      <c r="D2482">
        <v>7</v>
      </c>
      <c r="E2482" t="s">
        <v>22</v>
      </c>
      <c r="F2482" t="s">
        <v>4237</v>
      </c>
      <c r="G2482" t="s">
        <v>4238</v>
      </c>
      <c r="H2482">
        <v>2.2719999999999998</v>
      </c>
      <c r="I2482" t="s">
        <v>21</v>
      </c>
    </row>
    <row r="2483" spans="1:9" x14ac:dyDescent="0.3">
      <c r="A2483">
        <v>50</v>
      </c>
      <c r="B2483">
        <v>1</v>
      </c>
      <c r="C2483">
        <v>1</v>
      </c>
      <c r="D2483">
        <v>7</v>
      </c>
      <c r="E2483" t="s">
        <v>9</v>
      </c>
      <c r="F2483" t="s">
        <v>4239</v>
      </c>
      <c r="G2483" t="s">
        <v>4240</v>
      </c>
      <c r="H2483">
        <v>4.4029999999999996</v>
      </c>
      <c r="I2483" t="s">
        <v>12</v>
      </c>
    </row>
    <row r="2484" spans="1:9" x14ac:dyDescent="0.3">
      <c r="A2484">
        <v>50</v>
      </c>
      <c r="B2484">
        <v>1</v>
      </c>
      <c r="C2484">
        <v>1</v>
      </c>
      <c r="D2484">
        <v>7</v>
      </c>
      <c r="E2484" t="s">
        <v>19</v>
      </c>
      <c r="F2484" t="s">
        <v>4241</v>
      </c>
      <c r="I2484" t="s">
        <v>21</v>
      </c>
    </row>
    <row r="2485" spans="1:9" x14ac:dyDescent="0.3">
      <c r="A2485">
        <v>50</v>
      </c>
      <c r="B2485">
        <v>1</v>
      </c>
      <c r="C2485">
        <v>1</v>
      </c>
      <c r="D2485">
        <v>7</v>
      </c>
      <c r="E2485" t="s">
        <v>9</v>
      </c>
      <c r="F2485" t="s">
        <v>4242</v>
      </c>
      <c r="G2485" t="s">
        <v>4243</v>
      </c>
      <c r="H2485">
        <v>4.2679999999999998</v>
      </c>
      <c r="I2485" t="s">
        <v>12</v>
      </c>
    </row>
    <row r="2486" spans="1:9" x14ac:dyDescent="0.3">
      <c r="A2486">
        <v>50</v>
      </c>
      <c r="B2486">
        <v>1</v>
      </c>
      <c r="C2486">
        <v>1</v>
      </c>
      <c r="D2486">
        <v>7</v>
      </c>
      <c r="E2486" t="s">
        <v>19</v>
      </c>
      <c r="F2486" t="s">
        <v>4244</v>
      </c>
      <c r="I2486" t="s">
        <v>21</v>
      </c>
    </row>
    <row r="2487" spans="1:9" x14ac:dyDescent="0.3">
      <c r="A2487">
        <v>50</v>
      </c>
      <c r="B2487">
        <v>1</v>
      </c>
      <c r="C2487">
        <v>1</v>
      </c>
      <c r="D2487">
        <v>7</v>
      </c>
      <c r="E2487" t="s">
        <v>19</v>
      </c>
      <c r="F2487" t="s">
        <v>4245</v>
      </c>
      <c r="I2487" t="s">
        <v>21</v>
      </c>
    </row>
    <row r="2488" spans="1:9" x14ac:dyDescent="0.3">
      <c r="A2488">
        <v>50</v>
      </c>
      <c r="B2488">
        <v>1</v>
      </c>
      <c r="C2488">
        <v>1</v>
      </c>
      <c r="D2488">
        <v>7</v>
      </c>
      <c r="E2488" t="s">
        <v>19</v>
      </c>
      <c r="F2488" t="s">
        <v>4246</v>
      </c>
      <c r="I2488" t="s">
        <v>21</v>
      </c>
    </row>
    <row r="2489" spans="1:9" x14ac:dyDescent="0.3">
      <c r="A2489">
        <v>50</v>
      </c>
      <c r="B2489">
        <v>1</v>
      </c>
      <c r="C2489">
        <v>1</v>
      </c>
      <c r="D2489">
        <v>7</v>
      </c>
      <c r="E2489" t="s">
        <v>19</v>
      </c>
      <c r="F2489" t="s">
        <v>4247</v>
      </c>
      <c r="I2489" t="s">
        <v>21</v>
      </c>
    </row>
    <row r="2490" spans="1:9" x14ac:dyDescent="0.3">
      <c r="A2490">
        <v>50</v>
      </c>
      <c r="B2490">
        <v>1</v>
      </c>
      <c r="C2490">
        <v>1</v>
      </c>
      <c r="D2490">
        <v>8</v>
      </c>
      <c r="E2490" t="s">
        <v>22</v>
      </c>
      <c r="F2490" t="s">
        <v>4248</v>
      </c>
      <c r="G2490" t="s">
        <v>4249</v>
      </c>
      <c r="H2490">
        <v>3.266</v>
      </c>
      <c r="I2490" t="s">
        <v>21</v>
      </c>
    </row>
    <row r="2491" spans="1:9" x14ac:dyDescent="0.3">
      <c r="A2491">
        <v>50</v>
      </c>
      <c r="B2491">
        <v>1</v>
      </c>
      <c r="C2491">
        <v>1</v>
      </c>
      <c r="D2491">
        <v>8</v>
      </c>
      <c r="E2491" t="s">
        <v>9</v>
      </c>
      <c r="F2491" t="s">
        <v>4250</v>
      </c>
      <c r="G2491" t="s">
        <v>4251</v>
      </c>
      <c r="H2491">
        <v>4.82</v>
      </c>
      <c r="I2491" t="s">
        <v>12</v>
      </c>
    </row>
    <row r="2492" spans="1:9" x14ac:dyDescent="0.3">
      <c r="A2492">
        <v>50</v>
      </c>
      <c r="B2492">
        <v>1</v>
      </c>
      <c r="C2492">
        <v>1</v>
      </c>
      <c r="D2492">
        <v>8</v>
      </c>
      <c r="E2492" t="s">
        <v>19</v>
      </c>
      <c r="F2492" t="s">
        <v>4252</v>
      </c>
      <c r="I2492" t="s">
        <v>21</v>
      </c>
    </row>
    <row r="2493" spans="1:9" x14ac:dyDescent="0.3">
      <c r="A2493">
        <v>50</v>
      </c>
      <c r="B2493">
        <v>1</v>
      </c>
      <c r="C2493">
        <v>1</v>
      </c>
      <c r="D2493">
        <v>8</v>
      </c>
      <c r="E2493" t="s">
        <v>9</v>
      </c>
      <c r="F2493" t="s">
        <v>4253</v>
      </c>
      <c r="G2493" t="s">
        <v>4254</v>
      </c>
      <c r="H2493">
        <v>1.903</v>
      </c>
      <c r="I2493" t="s">
        <v>12</v>
      </c>
    </row>
    <row r="2494" spans="1:9" x14ac:dyDescent="0.3">
      <c r="A2494">
        <v>50</v>
      </c>
      <c r="B2494">
        <v>1</v>
      </c>
      <c r="C2494">
        <v>1</v>
      </c>
      <c r="D2494">
        <v>8</v>
      </c>
      <c r="E2494" t="s">
        <v>19</v>
      </c>
      <c r="F2494" t="s">
        <v>4255</v>
      </c>
      <c r="I2494" t="s">
        <v>21</v>
      </c>
    </row>
    <row r="2495" spans="1:9" x14ac:dyDescent="0.3">
      <c r="A2495">
        <v>50</v>
      </c>
      <c r="B2495">
        <v>1</v>
      </c>
      <c r="C2495">
        <v>1</v>
      </c>
      <c r="D2495">
        <v>8</v>
      </c>
      <c r="E2495" t="s">
        <v>19</v>
      </c>
      <c r="F2495" t="s">
        <v>4256</v>
      </c>
      <c r="I2495" t="s">
        <v>21</v>
      </c>
    </row>
    <row r="2496" spans="1:9" x14ac:dyDescent="0.3">
      <c r="A2496">
        <v>50</v>
      </c>
      <c r="B2496">
        <v>1</v>
      </c>
      <c r="C2496">
        <v>1</v>
      </c>
      <c r="D2496">
        <v>8</v>
      </c>
      <c r="E2496" t="s">
        <v>19</v>
      </c>
      <c r="F2496" t="s">
        <v>4257</v>
      </c>
      <c r="I2496" t="s">
        <v>21</v>
      </c>
    </row>
    <row r="2497" spans="1:9" x14ac:dyDescent="0.3">
      <c r="A2497">
        <v>50</v>
      </c>
      <c r="B2497">
        <v>1</v>
      </c>
      <c r="C2497">
        <v>1</v>
      </c>
      <c r="D2497">
        <v>8</v>
      </c>
      <c r="E2497" t="s">
        <v>19</v>
      </c>
      <c r="F2497" t="s">
        <v>4258</v>
      </c>
      <c r="I2497" t="s">
        <v>21</v>
      </c>
    </row>
    <row r="2498" spans="1:9" x14ac:dyDescent="0.3">
      <c r="A2498">
        <v>50</v>
      </c>
      <c r="B2498">
        <v>1</v>
      </c>
      <c r="C2498">
        <v>2</v>
      </c>
      <c r="D2498">
        <v>1</v>
      </c>
      <c r="E2498" t="s">
        <v>22</v>
      </c>
      <c r="F2498" t="s">
        <v>4259</v>
      </c>
      <c r="G2498" t="s">
        <v>4260</v>
      </c>
      <c r="H2498">
        <v>2.57</v>
      </c>
      <c r="I2498" t="s">
        <v>21</v>
      </c>
    </row>
    <row r="2499" spans="1:9" x14ac:dyDescent="0.3">
      <c r="A2499">
        <v>50</v>
      </c>
      <c r="B2499">
        <v>1</v>
      </c>
      <c r="C2499">
        <v>2</v>
      </c>
      <c r="D2499">
        <v>1</v>
      </c>
      <c r="E2499" t="s">
        <v>9</v>
      </c>
      <c r="F2499" t="s">
        <v>4261</v>
      </c>
      <c r="G2499" t="s">
        <v>4262</v>
      </c>
      <c r="H2499">
        <v>1.7709999999999999</v>
      </c>
      <c r="I2499" t="s">
        <v>12</v>
      </c>
    </row>
    <row r="2500" spans="1:9" x14ac:dyDescent="0.3">
      <c r="A2500">
        <v>50</v>
      </c>
      <c r="B2500">
        <v>1</v>
      </c>
      <c r="C2500">
        <v>2</v>
      </c>
      <c r="D2500">
        <v>1</v>
      </c>
      <c r="E2500" t="s">
        <v>9</v>
      </c>
      <c r="F2500" t="s">
        <v>4263</v>
      </c>
      <c r="G2500" t="s">
        <v>4264</v>
      </c>
      <c r="H2500">
        <v>1.77</v>
      </c>
      <c r="I2500" t="s">
        <v>12</v>
      </c>
    </row>
    <row r="2501" spans="1:9" x14ac:dyDescent="0.3">
      <c r="A2501">
        <v>50</v>
      </c>
      <c r="B2501">
        <v>1</v>
      </c>
      <c r="C2501">
        <v>2</v>
      </c>
      <c r="D2501">
        <v>1</v>
      </c>
      <c r="E2501" t="s">
        <v>22</v>
      </c>
      <c r="F2501" t="s">
        <v>4265</v>
      </c>
      <c r="G2501" t="s">
        <v>4266</v>
      </c>
      <c r="H2501">
        <v>2.0670000000000002</v>
      </c>
      <c r="I2501" t="s">
        <v>21</v>
      </c>
    </row>
    <row r="2502" spans="1:9" x14ac:dyDescent="0.3">
      <c r="A2502">
        <v>50</v>
      </c>
      <c r="B2502">
        <v>1</v>
      </c>
      <c r="C2502">
        <v>2</v>
      </c>
      <c r="D2502">
        <v>1</v>
      </c>
      <c r="E2502" t="s">
        <v>19</v>
      </c>
      <c r="F2502" t="s">
        <v>4267</v>
      </c>
      <c r="I2502" t="s">
        <v>21</v>
      </c>
    </row>
    <row r="2503" spans="1:9" x14ac:dyDescent="0.3">
      <c r="A2503">
        <v>50</v>
      </c>
      <c r="B2503">
        <v>1</v>
      </c>
      <c r="C2503">
        <v>2</v>
      </c>
      <c r="D2503">
        <v>1</v>
      </c>
      <c r="E2503" t="s">
        <v>9</v>
      </c>
      <c r="F2503" t="s">
        <v>4268</v>
      </c>
      <c r="G2503" t="s">
        <v>4269</v>
      </c>
      <c r="H2503">
        <v>2.133</v>
      </c>
      <c r="I2503" t="s">
        <v>12</v>
      </c>
    </row>
    <row r="2504" spans="1:9" x14ac:dyDescent="0.3">
      <c r="A2504">
        <v>50</v>
      </c>
      <c r="B2504">
        <v>1</v>
      </c>
      <c r="C2504">
        <v>2</v>
      </c>
      <c r="D2504">
        <v>1</v>
      </c>
      <c r="E2504" t="s">
        <v>9</v>
      </c>
      <c r="F2504" t="s">
        <v>4270</v>
      </c>
      <c r="G2504" t="s">
        <v>4271</v>
      </c>
      <c r="H2504">
        <v>1.9350000000000001</v>
      </c>
      <c r="I2504" t="s">
        <v>12</v>
      </c>
    </row>
    <row r="2505" spans="1:9" x14ac:dyDescent="0.3">
      <c r="A2505">
        <v>50</v>
      </c>
      <c r="B2505">
        <v>1</v>
      </c>
      <c r="C2505">
        <v>3</v>
      </c>
      <c r="D2505">
        <v>1</v>
      </c>
      <c r="E2505" t="s">
        <v>22</v>
      </c>
      <c r="F2505" t="s">
        <v>4272</v>
      </c>
      <c r="G2505" t="s">
        <v>4273</v>
      </c>
      <c r="H2505">
        <v>2.2189999999999999</v>
      </c>
      <c r="I2505" t="s">
        <v>21</v>
      </c>
    </row>
    <row r="2506" spans="1:9" x14ac:dyDescent="0.3">
      <c r="A2506">
        <v>50</v>
      </c>
      <c r="B2506">
        <v>1</v>
      </c>
      <c r="C2506">
        <v>3</v>
      </c>
      <c r="D2506">
        <v>1</v>
      </c>
      <c r="E2506" t="s">
        <v>9</v>
      </c>
      <c r="F2506" t="s">
        <v>4274</v>
      </c>
      <c r="G2506" t="s">
        <v>4275</v>
      </c>
      <c r="H2506">
        <v>2.2389999999999999</v>
      </c>
      <c r="I2506" t="s">
        <v>12</v>
      </c>
    </row>
    <row r="2507" spans="1:9" x14ac:dyDescent="0.3">
      <c r="A2507">
        <v>51</v>
      </c>
      <c r="B2507">
        <v>1</v>
      </c>
      <c r="C2507">
        <v>1</v>
      </c>
      <c r="D2507">
        <v>1</v>
      </c>
      <c r="E2507" t="s">
        <v>9</v>
      </c>
      <c r="F2507" t="s">
        <v>4276</v>
      </c>
      <c r="G2507" t="s">
        <v>4277</v>
      </c>
      <c r="H2507">
        <v>4.8250000000000002</v>
      </c>
      <c r="I2507" t="s">
        <v>12</v>
      </c>
    </row>
    <row r="2508" spans="1:9" x14ac:dyDescent="0.3">
      <c r="A2508">
        <v>51</v>
      </c>
      <c r="B2508">
        <v>1</v>
      </c>
      <c r="C2508">
        <v>1</v>
      </c>
      <c r="D2508">
        <v>1</v>
      </c>
      <c r="E2508" t="s">
        <v>9</v>
      </c>
      <c r="F2508" t="s">
        <v>4278</v>
      </c>
      <c r="G2508" t="s">
        <v>4279</v>
      </c>
      <c r="H2508">
        <v>5.1020000000000003</v>
      </c>
      <c r="I2508" t="s">
        <v>12</v>
      </c>
    </row>
    <row r="2509" spans="1:9" x14ac:dyDescent="0.3">
      <c r="A2509">
        <v>51</v>
      </c>
      <c r="B2509">
        <v>1</v>
      </c>
      <c r="C2509">
        <v>1</v>
      </c>
      <c r="D2509">
        <v>1</v>
      </c>
      <c r="E2509" t="s">
        <v>9</v>
      </c>
      <c r="F2509" t="s">
        <v>4280</v>
      </c>
      <c r="G2509" t="s">
        <v>4281</v>
      </c>
      <c r="H2509">
        <v>4.6340000000000003</v>
      </c>
      <c r="I2509" t="s">
        <v>12</v>
      </c>
    </row>
    <row r="2510" spans="1:9" x14ac:dyDescent="0.3">
      <c r="A2510">
        <v>51</v>
      </c>
      <c r="B2510">
        <v>1</v>
      </c>
      <c r="C2510">
        <v>1</v>
      </c>
      <c r="D2510">
        <v>1</v>
      </c>
      <c r="E2510" t="s">
        <v>22</v>
      </c>
      <c r="F2510" t="s">
        <v>4282</v>
      </c>
      <c r="G2510" t="s">
        <v>4283</v>
      </c>
      <c r="H2510">
        <v>4.2869999999999999</v>
      </c>
      <c r="I2510" t="s">
        <v>34</v>
      </c>
    </row>
    <row r="2511" spans="1:9" x14ac:dyDescent="0.3">
      <c r="A2511">
        <v>51</v>
      </c>
      <c r="B2511">
        <v>1</v>
      </c>
      <c r="C2511">
        <v>1</v>
      </c>
      <c r="D2511">
        <v>1</v>
      </c>
      <c r="E2511" t="s">
        <v>9</v>
      </c>
      <c r="F2511" t="s">
        <v>4284</v>
      </c>
      <c r="G2511" t="s">
        <v>4285</v>
      </c>
      <c r="H2511">
        <v>2.8620000000000001</v>
      </c>
      <c r="I2511" t="s">
        <v>12</v>
      </c>
    </row>
    <row r="2512" spans="1:9" x14ac:dyDescent="0.3">
      <c r="A2512">
        <v>51</v>
      </c>
      <c r="B2512">
        <v>1</v>
      </c>
      <c r="C2512">
        <v>1</v>
      </c>
      <c r="D2512">
        <v>1</v>
      </c>
      <c r="E2512" t="s">
        <v>22</v>
      </c>
      <c r="F2512" t="s">
        <v>4286</v>
      </c>
      <c r="G2512" t="s">
        <v>4287</v>
      </c>
      <c r="H2512">
        <v>2.1349999999999998</v>
      </c>
      <c r="I2512" t="s">
        <v>21</v>
      </c>
    </row>
    <row r="2513" spans="1:9" x14ac:dyDescent="0.3">
      <c r="A2513">
        <v>51</v>
      </c>
      <c r="B2513">
        <v>1</v>
      </c>
      <c r="C2513">
        <v>1</v>
      </c>
      <c r="D2513">
        <v>1</v>
      </c>
      <c r="E2513" t="s">
        <v>19</v>
      </c>
      <c r="F2513" t="s">
        <v>4288</v>
      </c>
      <c r="I2513" t="s">
        <v>34</v>
      </c>
    </row>
    <row r="2514" spans="1:9" x14ac:dyDescent="0.3">
      <c r="A2514">
        <v>51</v>
      </c>
      <c r="B2514">
        <v>1</v>
      </c>
      <c r="C2514">
        <v>1</v>
      </c>
      <c r="D2514">
        <v>1</v>
      </c>
      <c r="E2514" t="s">
        <v>19</v>
      </c>
      <c r="F2514" t="s">
        <v>4289</v>
      </c>
      <c r="I2514" t="s">
        <v>21</v>
      </c>
    </row>
    <row r="2515" spans="1:9" x14ac:dyDescent="0.3">
      <c r="A2515">
        <v>51</v>
      </c>
      <c r="B2515">
        <v>1</v>
      </c>
      <c r="C2515">
        <v>1</v>
      </c>
      <c r="D2515">
        <v>1</v>
      </c>
      <c r="E2515" t="s">
        <v>19</v>
      </c>
      <c r="F2515" t="s">
        <v>4290</v>
      </c>
      <c r="I2515" t="s">
        <v>21</v>
      </c>
    </row>
    <row r="2516" spans="1:9" x14ac:dyDescent="0.3">
      <c r="A2516">
        <v>51</v>
      </c>
      <c r="B2516">
        <v>1</v>
      </c>
      <c r="C2516">
        <v>1</v>
      </c>
      <c r="D2516">
        <v>2</v>
      </c>
      <c r="E2516" t="s">
        <v>9</v>
      </c>
      <c r="F2516" t="s">
        <v>4291</v>
      </c>
      <c r="G2516" t="s">
        <v>4292</v>
      </c>
      <c r="H2516">
        <v>2.153</v>
      </c>
      <c r="I2516" t="s">
        <v>12</v>
      </c>
    </row>
    <row r="2517" spans="1:9" x14ac:dyDescent="0.3">
      <c r="A2517">
        <v>51</v>
      </c>
      <c r="B2517">
        <v>1</v>
      </c>
      <c r="C2517">
        <v>1</v>
      </c>
      <c r="D2517">
        <v>2</v>
      </c>
      <c r="E2517" t="s">
        <v>9</v>
      </c>
      <c r="F2517" t="s">
        <v>4293</v>
      </c>
      <c r="G2517" t="s">
        <v>4294</v>
      </c>
      <c r="H2517">
        <v>2.2679999999999998</v>
      </c>
      <c r="I2517" t="s">
        <v>12</v>
      </c>
    </row>
    <row r="2518" spans="1:9" x14ac:dyDescent="0.3">
      <c r="A2518">
        <v>51</v>
      </c>
      <c r="B2518">
        <v>1</v>
      </c>
      <c r="C2518">
        <v>1</v>
      </c>
      <c r="D2518">
        <v>2</v>
      </c>
      <c r="E2518" t="s">
        <v>9</v>
      </c>
      <c r="F2518" t="s">
        <v>4295</v>
      </c>
      <c r="G2518" t="s">
        <v>4296</v>
      </c>
      <c r="H2518">
        <v>2.6680000000000001</v>
      </c>
      <c r="I2518" t="s">
        <v>12</v>
      </c>
    </row>
    <row r="2519" spans="1:9" x14ac:dyDescent="0.3">
      <c r="A2519">
        <v>51</v>
      </c>
      <c r="B2519">
        <v>1</v>
      </c>
      <c r="C2519">
        <v>1</v>
      </c>
      <c r="D2519">
        <v>2</v>
      </c>
      <c r="E2519" t="s">
        <v>22</v>
      </c>
      <c r="F2519" t="s">
        <v>4297</v>
      </c>
      <c r="G2519" t="s">
        <v>4298</v>
      </c>
      <c r="H2519">
        <v>1.6339999999999999</v>
      </c>
      <c r="I2519" t="s">
        <v>21</v>
      </c>
    </row>
    <row r="2520" spans="1:9" x14ac:dyDescent="0.3">
      <c r="A2520">
        <v>51</v>
      </c>
      <c r="B2520">
        <v>1</v>
      </c>
      <c r="C2520">
        <v>1</v>
      </c>
      <c r="D2520">
        <v>2</v>
      </c>
      <c r="E2520" t="s">
        <v>19</v>
      </c>
      <c r="F2520" t="s">
        <v>4299</v>
      </c>
      <c r="I2520" t="s">
        <v>21</v>
      </c>
    </row>
    <row r="2521" spans="1:9" x14ac:dyDescent="0.3">
      <c r="A2521">
        <v>51</v>
      </c>
      <c r="B2521">
        <v>1</v>
      </c>
      <c r="C2521">
        <v>1</v>
      </c>
      <c r="D2521">
        <v>2</v>
      </c>
      <c r="E2521" t="s">
        <v>22</v>
      </c>
      <c r="F2521" t="s">
        <v>4300</v>
      </c>
      <c r="G2521" t="s">
        <v>4301</v>
      </c>
      <c r="H2521">
        <v>3</v>
      </c>
      <c r="I2521" t="s">
        <v>21</v>
      </c>
    </row>
    <row r="2522" spans="1:9" x14ac:dyDescent="0.3">
      <c r="A2522">
        <v>51</v>
      </c>
      <c r="B2522">
        <v>1</v>
      </c>
      <c r="C2522">
        <v>1</v>
      </c>
      <c r="D2522">
        <v>2</v>
      </c>
      <c r="E2522" t="s">
        <v>9</v>
      </c>
      <c r="F2522" t="s">
        <v>4302</v>
      </c>
      <c r="G2522" t="s">
        <v>4303</v>
      </c>
      <c r="H2522">
        <v>2.1339999999999999</v>
      </c>
      <c r="I2522" t="s">
        <v>12</v>
      </c>
    </row>
    <row r="2523" spans="1:9" x14ac:dyDescent="0.3">
      <c r="A2523">
        <v>51</v>
      </c>
      <c r="B2523">
        <v>1</v>
      </c>
      <c r="C2523">
        <v>1</v>
      </c>
      <c r="D2523">
        <v>2</v>
      </c>
      <c r="E2523" t="s">
        <v>19</v>
      </c>
      <c r="F2523" t="s">
        <v>4304</v>
      </c>
      <c r="I2523" t="s">
        <v>21</v>
      </c>
    </row>
    <row r="2524" spans="1:9" x14ac:dyDescent="0.3">
      <c r="A2524">
        <v>51</v>
      </c>
      <c r="B2524">
        <v>1</v>
      </c>
      <c r="C2524">
        <v>2</v>
      </c>
      <c r="D2524">
        <v>1</v>
      </c>
      <c r="E2524" t="s">
        <v>9</v>
      </c>
      <c r="F2524" t="s">
        <v>4305</v>
      </c>
      <c r="G2524" t="s">
        <v>4306</v>
      </c>
      <c r="H2524">
        <v>3.5859999999999999</v>
      </c>
      <c r="I2524" t="s">
        <v>12</v>
      </c>
    </row>
    <row r="2525" spans="1:9" x14ac:dyDescent="0.3">
      <c r="A2525">
        <v>51</v>
      </c>
      <c r="B2525">
        <v>1</v>
      </c>
      <c r="C2525">
        <v>2</v>
      </c>
      <c r="D2525">
        <v>1</v>
      </c>
      <c r="E2525" t="s">
        <v>9</v>
      </c>
      <c r="F2525" t="s">
        <v>4307</v>
      </c>
      <c r="G2525" t="s">
        <v>4308</v>
      </c>
      <c r="H2525">
        <v>4.085</v>
      </c>
      <c r="I2525" t="s">
        <v>12</v>
      </c>
    </row>
    <row r="2526" spans="1:9" x14ac:dyDescent="0.3">
      <c r="A2526">
        <v>51</v>
      </c>
      <c r="B2526">
        <v>1</v>
      </c>
      <c r="C2526">
        <v>2</v>
      </c>
      <c r="D2526">
        <v>1</v>
      </c>
      <c r="E2526" t="s">
        <v>19</v>
      </c>
      <c r="F2526" t="s">
        <v>4309</v>
      </c>
      <c r="I2526" t="s">
        <v>21</v>
      </c>
    </row>
    <row r="2527" spans="1:9" x14ac:dyDescent="0.3">
      <c r="A2527">
        <v>51</v>
      </c>
      <c r="B2527">
        <v>1</v>
      </c>
      <c r="C2527">
        <v>2</v>
      </c>
      <c r="D2527">
        <v>1</v>
      </c>
      <c r="E2527" t="s">
        <v>22</v>
      </c>
      <c r="F2527" t="s">
        <v>4310</v>
      </c>
      <c r="G2527" t="s">
        <v>4311</v>
      </c>
      <c r="H2527">
        <v>1.4350000000000001</v>
      </c>
      <c r="I2527" t="s">
        <v>21</v>
      </c>
    </row>
    <row r="2528" spans="1:9" x14ac:dyDescent="0.3">
      <c r="A2528">
        <v>51</v>
      </c>
      <c r="B2528">
        <v>1</v>
      </c>
      <c r="C2528">
        <v>2</v>
      </c>
      <c r="D2528">
        <v>1</v>
      </c>
      <c r="E2528" t="s">
        <v>9</v>
      </c>
      <c r="F2528" t="s">
        <v>4312</v>
      </c>
      <c r="G2528" t="s">
        <v>4313</v>
      </c>
      <c r="H2528">
        <v>2.1339999999999999</v>
      </c>
      <c r="I2528" t="s">
        <v>12</v>
      </c>
    </row>
    <row r="2529" spans="1:9" x14ac:dyDescent="0.3">
      <c r="A2529">
        <v>51</v>
      </c>
      <c r="B2529">
        <v>1</v>
      </c>
      <c r="C2529">
        <v>2</v>
      </c>
      <c r="D2529">
        <v>1</v>
      </c>
      <c r="E2529" t="s">
        <v>19</v>
      </c>
      <c r="F2529" t="s">
        <v>4314</v>
      </c>
      <c r="I2529" t="s">
        <v>21</v>
      </c>
    </row>
    <row r="2530" spans="1:9" x14ac:dyDescent="0.3">
      <c r="A2530">
        <v>51</v>
      </c>
      <c r="B2530">
        <v>1</v>
      </c>
      <c r="C2530">
        <v>2</v>
      </c>
      <c r="D2530">
        <v>1</v>
      </c>
      <c r="E2530" t="s">
        <v>22</v>
      </c>
      <c r="F2530" t="s">
        <v>4315</v>
      </c>
      <c r="G2530" t="s">
        <v>4316</v>
      </c>
      <c r="H2530">
        <v>1.7010000000000001</v>
      </c>
      <c r="I2530" t="s">
        <v>21</v>
      </c>
    </row>
    <row r="2531" spans="1:9" x14ac:dyDescent="0.3">
      <c r="A2531">
        <v>51</v>
      </c>
      <c r="B2531">
        <v>1</v>
      </c>
      <c r="C2531">
        <v>2</v>
      </c>
      <c r="D2531">
        <v>1</v>
      </c>
      <c r="E2531" t="s">
        <v>9</v>
      </c>
      <c r="F2531" t="s">
        <v>4317</v>
      </c>
      <c r="G2531" t="s">
        <v>4318</v>
      </c>
      <c r="H2531">
        <v>3</v>
      </c>
      <c r="I2531" t="s">
        <v>12</v>
      </c>
    </row>
    <row r="2532" spans="1:9" x14ac:dyDescent="0.3">
      <c r="A2532">
        <v>51</v>
      </c>
      <c r="B2532">
        <v>1</v>
      </c>
      <c r="C2532">
        <v>2</v>
      </c>
      <c r="D2532">
        <v>1</v>
      </c>
      <c r="E2532" t="s">
        <v>19</v>
      </c>
      <c r="F2532" t="s">
        <v>4319</v>
      </c>
      <c r="I2532" t="s">
        <v>21</v>
      </c>
    </row>
    <row r="2533" spans="1:9" x14ac:dyDescent="0.3">
      <c r="A2533">
        <v>51</v>
      </c>
      <c r="B2533">
        <v>1</v>
      </c>
      <c r="C2533">
        <v>2</v>
      </c>
      <c r="D2533">
        <v>2</v>
      </c>
      <c r="E2533" t="s">
        <v>9</v>
      </c>
      <c r="F2533" t="s">
        <v>4320</v>
      </c>
      <c r="G2533" t="s">
        <v>4321</v>
      </c>
      <c r="H2533">
        <v>4.4189999999999996</v>
      </c>
      <c r="I2533" t="s">
        <v>12</v>
      </c>
    </row>
    <row r="2534" spans="1:9" x14ac:dyDescent="0.3">
      <c r="A2534">
        <v>51</v>
      </c>
      <c r="B2534">
        <v>1</v>
      </c>
      <c r="C2534">
        <v>2</v>
      </c>
      <c r="D2534">
        <v>2</v>
      </c>
      <c r="E2534" t="s">
        <v>19</v>
      </c>
      <c r="F2534" t="s">
        <v>4322</v>
      </c>
      <c r="I2534" t="s">
        <v>21</v>
      </c>
    </row>
    <row r="2535" spans="1:9" x14ac:dyDescent="0.3">
      <c r="A2535">
        <v>51</v>
      </c>
      <c r="B2535">
        <v>1</v>
      </c>
      <c r="C2535">
        <v>2</v>
      </c>
      <c r="D2535">
        <v>2</v>
      </c>
      <c r="E2535" t="s">
        <v>9</v>
      </c>
      <c r="F2535" t="s">
        <v>4323</v>
      </c>
      <c r="G2535" t="s">
        <v>4324</v>
      </c>
      <c r="H2535">
        <v>2.0680000000000001</v>
      </c>
      <c r="I2535" t="s">
        <v>12</v>
      </c>
    </row>
    <row r="2536" spans="1:9" x14ac:dyDescent="0.3">
      <c r="A2536">
        <v>51</v>
      </c>
      <c r="B2536">
        <v>1</v>
      </c>
      <c r="C2536">
        <v>2</v>
      </c>
      <c r="D2536">
        <v>2</v>
      </c>
      <c r="E2536" t="s">
        <v>9</v>
      </c>
      <c r="F2536" t="s">
        <v>4325</v>
      </c>
      <c r="G2536" t="s">
        <v>4326</v>
      </c>
      <c r="H2536">
        <v>1.9339999999999999</v>
      </c>
      <c r="I2536" t="s">
        <v>12</v>
      </c>
    </row>
    <row r="2537" spans="1:9" x14ac:dyDescent="0.3">
      <c r="A2537">
        <v>51</v>
      </c>
      <c r="B2537">
        <v>1</v>
      </c>
      <c r="C2537">
        <v>2</v>
      </c>
      <c r="D2537">
        <v>2</v>
      </c>
      <c r="E2537" t="s">
        <v>22</v>
      </c>
      <c r="F2537" t="s">
        <v>4327</v>
      </c>
      <c r="G2537" t="s">
        <v>4328</v>
      </c>
      <c r="H2537">
        <v>1.5009999999999999</v>
      </c>
      <c r="I2537" t="s">
        <v>21</v>
      </c>
    </row>
    <row r="2538" spans="1:9" x14ac:dyDescent="0.3">
      <c r="A2538">
        <v>51</v>
      </c>
      <c r="B2538">
        <v>1</v>
      </c>
      <c r="C2538">
        <v>2</v>
      </c>
      <c r="D2538">
        <v>2</v>
      </c>
      <c r="E2538" t="s">
        <v>22</v>
      </c>
      <c r="F2538" t="s">
        <v>4329</v>
      </c>
      <c r="G2538" t="s">
        <v>4330</v>
      </c>
      <c r="H2538">
        <v>0.86799999999999999</v>
      </c>
      <c r="I2538" t="s">
        <v>21</v>
      </c>
    </row>
    <row r="2539" spans="1:9" x14ac:dyDescent="0.3">
      <c r="A2539">
        <v>51</v>
      </c>
      <c r="B2539">
        <v>1</v>
      </c>
      <c r="C2539">
        <v>2</v>
      </c>
      <c r="D2539">
        <v>2</v>
      </c>
      <c r="E2539" t="s">
        <v>9</v>
      </c>
      <c r="F2539" t="s">
        <v>4331</v>
      </c>
      <c r="G2539" t="s">
        <v>4332</v>
      </c>
      <c r="H2539">
        <v>3</v>
      </c>
      <c r="I2539" t="s">
        <v>12</v>
      </c>
    </row>
    <row r="2540" spans="1:9" x14ac:dyDescent="0.3">
      <c r="A2540">
        <v>51</v>
      </c>
      <c r="B2540">
        <v>1</v>
      </c>
      <c r="C2540">
        <v>2</v>
      </c>
      <c r="D2540">
        <v>2</v>
      </c>
      <c r="E2540" t="s">
        <v>19</v>
      </c>
      <c r="F2540" t="s">
        <v>4333</v>
      </c>
      <c r="I2540" t="s">
        <v>21</v>
      </c>
    </row>
    <row r="2541" spans="1:9" x14ac:dyDescent="0.3">
      <c r="A2541">
        <v>51</v>
      </c>
      <c r="B2541">
        <v>1</v>
      </c>
      <c r="C2541">
        <v>2</v>
      </c>
      <c r="D2541">
        <v>2</v>
      </c>
      <c r="E2541" t="s">
        <v>19</v>
      </c>
      <c r="F2541" t="s">
        <v>4334</v>
      </c>
      <c r="I2541" t="s">
        <v>21</v>
      </c>
    </row>
    <row r="2542" spans="1:9" x14ac:dyDescent="0.3">
      <c r="A2542">
        <v>51</v>
      </c>
      <c r="B2542">
        <v>1</v>
      </c>
      <c r="C2542">
        <v>3</v>
      </c>
      <c r="D2542">
        <v>1</v>
      </c>
      <c r="E2542" t="s">
        <v>22</v>
      </c>
      <c r="F2542" t="s">
        <v>4335</v>
      </c>
      <c r="G2542" t="s">
        <v>4336</v>
      </c>
      <c r="H2542">
        <v>1.619</v>
      </c>
      <c r="I2542" t="s">
        <v>21</v>
      </c>
    </row>
    <row r="2543" spans="1:9" x14ac:dyDescent="0.3">
      <c r="A2543">
        <v>51</v>
      </c>
      <c r="B2543">
        <v>1</v>
      </c>
      <c r="C2543">
        <v>3</v>
      </c>
      <c r="D2543">
        <v>1</v>
      </c>
      <c r="E2543" t="s">
        <v>22</v>
      </c>
      <c r="F2543" t="s">
        <v>4337</v>
      </c>
      <c r="G2543" t="s">
        <v>4338</v>
      </c>
      <c r="H2543">
        <v>1.2669999999999999</v>
      </c>
      <c r="I2543" t="s">
        <v>21</v>
      </c>
    </row>
    <row r="2544" spans="1:9" x14ac:dyDescent="0.3">
      <c r="A2544">
        <v>51</v>
      </c>
      <c r="B2544">
        <v>1</v>
      </c>
      <c r="C2544">
        <v>3</v>
      </c>
      <c r="D2544">
        <v>1</v>
      </c>
      <c r="E2544" t="s">
        <v>9</v>
      </c>
      <c r="F2544" t="s">
        <v>4339</v>
      </c>
      <c r="G2544" t="s">
        <v>4340</v>
      </c>
      <c r="H2544">
        <v>2.5339999999999998</v>
      </c>
      <c r="I2544" t="s">
        <v>12</v>
      </c>
    </row>
    <row r="2545" spans="1:9" x14ac:dyDescent="0.3">
      <c r="A2545">
        <v>51</v>
      </c>
      <c r="B2545">
        <v>1</v>
      </c>
      <c r="C2545">
        <v>3</v>
      </c>
      <c r="D2545">
        <v>1</v>
      </c>
      <c r="E2545" t="s">
        <v>19</v>
      </c>
      <c r="F2545" t="s">
        <v>4341</v>
      </c>
      <c r="I2545" t="s">
        <v>21</v>
      </c>
    </row>
    <row r="2546" spans="1:9" x14ac:dyDescent="0.3">
      <c r="A2546">
        <v>51</v>
      </c>
      <c r="B2546">
        <v>1</v>
      </c>
      <c r="C2546">
        <v>3</v>
      </c>
      <c r="D2546">
        <v>1</v>
      </c>
      <c r="E2546" t="s">
        <v>9</v>
      </c>
      <c r="F2546" t="s">
        <v>4342</v>
      </c>
      <c r="G2546" t="s">
        <v>4343</v>
      </c>
      <c r="H2546">
        <v>1.901</v>
      </c>
      <c r="I2546" t="s">
        <v>12</v>
      </c>
    </row>
    <row r="2547" spans="1:9" x14ac:dyDescent="0.3">
      <c r="A2547">
        <v>51</v>
      </c>
      <c r="B2547">
        <v>1</v>
      </c>
      <c r="C2547">
        <v>3</v>
      </c>
      <c r="D2547">
        <v>1</v>
      </c>
      <c r="E2547" t="s">
        <v>19</v>
      </c>
      <c r="F2547" t="s">
        <v>4344</v>
      </c>
      <c r="I2547" t="s">
        <v>21</v>
      </c>
    </row>
    <row r="2548" spans="1:9" x14ac:dyDescent="0.3">
      <c r="A2548">
        <v>51</v>
      </c>
      <c r="B2548">
        <v>1</v>
      </c>
      <c r="C2548">
        <v>3</v>
      </c>
      <c r="D2548">
        <v>1</v>
      </c>
      <c r="E2548" t="s">
        <v>9</v>
      </c>
      <c r="F2548" t="s">
        <v>4345</v>
      </c>
      <c r="G2548" t="s">
        <v>4346</v>
      </c>
      <c r="H2548">
        <v>1.3340000000000001</v>
      </c>
      <c r="I2548" t="s">
        <v>12</v>
      </c>
    </row>
    <row r="2549" spans="1:9" x14ac:dyDescent="0.3">
      <c r="A2549">
        <v>51</v>
      </c>
      <c r="B2549">
        <v>1</v>
      </c>
      <c r="C2549">
        <v>3</v>
      </c>
      <c r="D2549">
        <v>1</v>
      </c>
      <c r="E2549" t="s">
        <v>9</v>
      </c>
      <c r="F2549" t="s">
        <v>4347</v>
      </c>
      <c r="G2549" t="s">
        <v>4348</v>
      </c>
      <c r="H2549">
        <v>2.468</v>
      </c>
      <c r="I2549" t="s">
        <v>12</v>
      </c>
    </row>
    <row r="2550" spans="1:9" x14ac:dyDescent="0.3">
      <c r="A2550">
        <v>51</v>
      </c>
      <c r="B2550">
        <v>1</v>
      </c>
      <c r="C2550">
        <v>3</v>
      </c>
      <c r="D2550">
        <v>1</v>
      </c>
      <c r="E2550" t="s">
        <v>19</v>
      </c>
      <c r="F2550" t="s">
        <v>4349</v>
      </c>
      <c r="I2550" t="s">
        <v>21</v>
      </c>
    </row>
    <row r="2551" spans="1:9" x14ac:dyDescent="0.3">
      <c r="A2551">
        <v>51</v>
      </c>
      <c r="B2551">
        <v>3</v>
      </c>
      <c r="C2551">
        <v>1</v>
      </c>
      <c r="D2551">
        <v>1</v>
      </c>
      <c r="E2551" t="s">
        <v>9</v>
      </c>
      <c r="F2551" t="s">
        <v>4350</v>
      </c>
      <c r="G2551" t="s">
        <v>4351</v>
      </c>
      <c r="H2551">
        <v>2.1859999999999999</v>
      </c>
      <c r="I2551" t="s">
        <v>12</v>
      </c>
    </row>
    <row r="2552" spans="1:9" x14ac:dyDescent="0.3">
      <c r="A2552">
        <v>51</v>
      </c>
      <c r="B2552">
        <v>3</v>
      </c>
      <c r="C2552">
        <v>1</v>
      </c>
      <c r="D2552">
        <v>1</v>
      </c>
      <c r="E2552" t="s">
        <v>9</v>
      </c>
      <c r="F2552" t="s">
        <v>4352</v>
      </c>
      <c r="G2552" t="s">
        <v>4353</v>
      </c>
      <c r="H2552">
        <v>2.2010000000000001</v>
      </c>
      <c r="I2552" t="s">
        <v>12</v>
      </c>
    </row>
    <row r="2553" spans="1:9" x14ac:dyDescent="0.3">
      <c r="A2553">
        <v>51</v>
      </c>
      <c r="B2553">
        <v>3</v>
      </c>
      <c r="C2553">
        <v>1</v>
      </c>
      <c r="D2553">
        <v>1</v>
      </c>
      <c r="E2553" t="s">
        <v>9</v>
      </c>
      <c r="F2553" t="s">
        <v>4354</v>
      </c>
      <c r="G2553" t="s">
        <v>4355</v>
      </c>
      <c r="H2553">
        <v>1.8340000000000001</v>
      </c>
      <c r="I2553" t="s">
        <v>12</v>
      </c>
    </row>
    <row r="2554" spans="1:9" x14ac:dyDescent="0.3">
      <c r="A2554">
        <v>51</v>
      </c>
      <c r="B2554">
        <v>3</v>
      </c>
      <c r="C2554">
        <v>1</v>
      </c>
      <c r="D2554">
        <v>1</v>
      </c>
      <c r="E2554" t="s">
        <v>22</v>
      </c>
      <c r="F2554" t="s">
        <v>4356</v>
      </c>
      <c r="G2554" t="s">
        <v>4357</v>
      </c>
      <c r="H2554">
        <v>1.5009999999999999</v>
      </c>
      <c r="I2554" t="s">
        <v>21</v>
      </c>
    </row>
    <row r="2555" spans="1:9" x14ac:dyDescent="0.3">
      <c r="A2555">
        <v>51</v>
      </c>
      <c r="B2555">
        <v>3</v>
      </c>
      <c r="C2555">
        <v>1</v>
      </c>
      <c r="D2555">
        <v>1</v>
      </c>
      <c r="E2555" t="s">
        <v>9</v>
      </c>
      <c r="F2555" t="s">
        <v>4358</v>
      </c>
      <c r="G2555" t="s">
        <v>4359</v>
      </c>
      <c r="H2555">
        <v>2.101</v>
      </c>
      <c r="I2555" t="s">
        <v>12</v>
      </c>
    </row>
    <row r="2556" spans="1:9" x14ac:dyDescent="0.3">
      <c r="A2556">
        <v>51</v>
      </c>
      <c r="B2556">
        <v>3</v>
      </c>
      <c r="C2556">
        <v>1</v>
      </c>
      <c r="D2556">
        <v>1</v>
      </c>
      <c r="E2556" t="s">
        <v>19</v>
      </c>
      <c r="F2556" t="s">
        <v>4360</v>
      </c>
      <c r="I2556" t="s">
        <v>34</v>
      </c>
    </row>
    <row r="2557" spans="1:9" x14ac:dyDescent="0.3">
      <c r="A2557">
        <v>51</v>
      </c>
      <c r="B2557">
        <v>3</v>
      </c>
      <c r="C2557">
        <v>1</v>
      </c>
      <c r="D2557">
        <v>1</v>
      </c>
      <c r="E2557" t="s">
        <v>19</v>
      </c>
      <c r="F2557" t="s">
        <v>4361</v>
      </c>
      <c r="I2557" t="s">
        <v>21</v>
      </c>
    </row>
    <row r="2558" spans="1:9" x14ac:dyDescent="0.3">
      <c r="A2558">
        <v>51</v>
      </c>
      <c r="B2558">
        <v>3</v>
      </c>
      <c r="C2558">
        <v>1</v>
      </c>
      <c r="D2558">
        <v>2</v>
      </c>
      <c r="E2558" t="s">
        <v>9</v>
      </c>
      <c r="F2558" t="s">
        <v>4362</v>
      </c>
      <c r="G2558" t="s">
        <v>4363</v>
      </c>
      <c r="H2558">
        <v>1.119</v>
      </c>
      <c r="I2558" t="s">
        <v>12</v>
      </c>
    </row>
    <row r="2559" spans="1:9" x14ac:dyDescent="0.3">
      <c r="A2559">
        <v>51</v>
      </c>
      <c r="B2559">
        <v>3</v>
      </c>
      <c r="C2559">
        <v>1</v>
      </c>
      <c r="D2559">
        <v>2</v>
      </c>
      <c r="E2559" t="s">
        <v>9</v>
      </c>
      <c r="F2559" t="s">
        <v>4364</v>
      </c>
      <c r="G2559" t="s">
        <v>4365</v>
      </c>
      <c r="H2559">
        <v>2.234</v>
      </c>
      <c r="I2559" t="s">
        <v>12</v>
      </c>
    </row>
    <row r="2560" spans="1:9" x14ac:dyDescent="0.3">
      <c r="A2560">
        <v>51</v>
      </c>
      <c r="B2560">
        <v>3</v>
      </c>
      <c r="C2560">
        <v>1</v>
      </c>
      <c r="D2560">
        <v>2</v>
      </c>
      <c r="E2560" t="s">
        <v>22</v>
      </c>
      <c r="F2560" t="s">
        <v>4366</v>
      </c>
      <c r="G2560" t="s">
        <v>642</v>
      </c>
      <c r="H2560">
        <v>1.034</v>
      </c>
      <c r="I2560" t="s">
        <v>21</v>
      </c>
    </row>
    <row r="2561" spans="1:9" x14ac:dyDescent="0.3">
      <c r="A2561">
        <v>51</v>
      </c>
      <c r="B2561">
        <v>3</v>
      </c>
      <c r="C2561">
        <v>1</v>
      </c>
      <c r="D2561">
        <v>2</v>
      </c>
      <c r="E2561" t="s">
        <v>9</v>
      </c>
      <c r="F2561" t="s">
        <v>4367</v>
      </c>
      <c r="G2561" t="s">
        <v>4368</v>
      </c>
      <c r="H2561">
        <v>2.2679999999999998</v>
      </c>
      <c r="I2561" t="s">
        <v>12</v>
      </c>
    </row>
    <row r="2562" spans="1:9" x14ac:dyDescent="0.3">
      <c r="A2562">
        <v>51</v>
      </c>
      <c r="B2562">
        <v>3</v>
      </c>
      <c r="C2562">
        <v>1</v>
      </c>
      <c r="D2562">
        <v>2</v>
      </c>
      <c r="E2562" t="s">
        <v>9</v>
      </c>
      <c r="F2562" t="s">
        <v>4369</v>
      </c>
      <c r="G2562" t="s">
        <v>4370</v>
      </c>
      <c r="H2562">
        <v>1.4350000000000001</v>
      </c>
      <c r="I2562" t="s">
        <v>12</v>
      </c>
    </row>
    <row r="2563" spans="1:9" x14ac:dyDescent="0.3">
      <c r="A2563">
        <v>51</v>
      </c>
      <c r="B2563">
        <v>3</v>
      </c>
      <c r="C2563">
        <v>1</v>
      </c>
      <c r="D2563">
        <v>2</v>
      </c>
      <c r="E2563" t="s">
        <v>19</v>
      </c>
      <c r="F2563" t="s">
        <v>4371</v>
      </c>
      <c r="I2563" t="s">
        <v>21</v>
      </c>
    </row>
    <row r="2564" spans="1:9" x14ac:dyDescent="0.3">
      <c r="A2564">
        <v>51</v>
      </c>
      <c r="B2564">
        <v>3</v>
      </c>
      <c r="C2564">
        <v>1</v>
      </c>
      <c r="D2564">
        <v>3</v>
      </c>
      <c r="E2564" t="s">
        <v>22</v>
      </c>
      <c r="F2564" t="s">
        <v>4372</v>
      </c>
      <c r="G2564" t="s">
        <v>4373</v>
      </c>
      <c r="H2564">
        <v>1.6850000000000001</v>
      </c>
      <c r="I2564" t="s">
        <v>21</v>
      </c>
    </row>
    <row r="2565" spans="1:9" x14ac:dyDescent="0.3">
      <c r="A2565">
        <v>51</v>
      </c>
      <c r="B2565">
        <v>3</v>
      </c>
      <c r="C2565">
        <v>1</v>
      </c>
      <c r="D2565">
        <v>3</v>
      </c>
      <c r="E2565" t="s">
        <v>22</v>
      </c>
      <c r="F2565" t="s">
        <v>4374</v>
      </c>
      <c r="G2565" t="s">
        <v>4375</v>
      </c>
      <c r="H2565">
        <v>1.234</v>
      </c>
      <c r="I2565" t="s">
        <v>21</v>
      </c>
    </row>
    <row r="2566" spans="1:9" x14ac:dyDescent="0.3">
      <c r="A2566">
        <v>51</v>
      </c>
      <c r="B2566">
        <v>3</v>
      </c>
      <c r="C2566">
        <v>1</v>
      </c>
      <c r="D2566">
        <v>3</v>
      </c>
      <c r="E2566" t="s">
        <v>9</v>
      </c>
      <c r="F2566" t="s">
        <v>4376</v>
      </c>
      <c r="G2566" t="s">
        <v>4377</v>
      </c>
      <c r="H2566">
        <v>2.64</v>
      </c>
      <c r="I2566" t="s">
        <v>12</v>
      </c>
    </row>
    <row r="2567" spans="1:9" x14ac:dyDescent="0.3">
      <c r="A2567">
        <v>51</v>
      </c>
      <c r="B2567">
        <v>3</v>
      </c>
      <c r="C2567">
        <v>1</v>
      </c>
      <c r="D2567">
        <v>3</v>
      </c>
      <c r="E2567" t="s">
        <v>19</v>
      </c>
      <c r="F2567" t="s">
        <v>4378</v>
      </c>
      <c r="I2567" t="s">
        <v>21</v>
      </c>
    </row>
    <row r="2568" spans="1:9" x14ac:dyDescent="0.3">
      <c r="A2568">
        <v>51</v>
      </c>
      <c r="B2568">
        <v>3</v>
      </c>
      <c r="C2568">
        <v>1</v>
      </c>
      <c r="D2568">
        <v>3</v>
      </c>
      <c r="E2568" t="s">
        <v>9</v>
      </c>
      <c r="F2568" t="s">
        <v>4379</v>
      </c>
      <c r="G2568" t="s">
        <v>4380</v>
      </c>
      <c r="H2568">
        <v>2.367</v>
      </c>
      <c r="I2568" t="s">
        <v>12</v>
      </c>
    </row>
    <row r="2569" spans="1:9" x14ac:dyDescent="0.3">
      <c r="A2569">
        <v>51</v>
      </c>
      <c r="B2569">
        <v>3</v>
      </c>
      <c r="C2569">
        <v>1</v>
      </c>
      <c r="D2569">
        <v>3</v>
      </c>
      <c r="E2569" t="s">
        <v>19</v>
      </c>
      <c r="F2569" t="s">
        <v>4381</v>
      </c>
      <c r="I2569" t="s">
        <v>21</v>
      </c>
    </row>
    <row r="2570" spans="1:9" x14ac:dyDescent="0.3">
      <c r="A2570">
        <v>51</v>
      </c>
      <c r="B2570">
        <v>3</v>
      </c>
      <c r="C2570">
        <v>1</v>
      </c>
      <c r="D2570">
        <v>3</v>
      </c>
      <c r="E2570" t="s">
        <v>9</v>
      </c>
      <c r="F2570" t="s">
        <v>4382</v>
      </c>
      <c r="G2570" t="s">
        <v>4383</v>
      </c>
      <c r="H2570">
        <v>2.8340000000000001</v>
      </c>
      <c r="I2570" t="s">
        <v>12</v>
      </c>
    </row>
    <row r="2571" spans="1:9" x14ac:dyDescent="0.3">
      <c r="A2571">
        <v>51</v>
      </c>
      <c r="B2571">
        <v>3</v>
      </c>
      <c r="C2571">
        <v>1</v>
      </c>
      <c r="D2571">
        <v>3</v>
      </c>
      <c r="E2571" t="s">
        <v>19</v>
      </c>
      <c r="F2571" t="s">
        <v>4384</v>
      </c>
      <c r="I2571" t="s">
        <v>21</v>
      </c>
    </row>
    <row r="2572" spans="1:9" x14ac:dyDescent="0.3">
      <c r="A2572">
        <v>51</v>
      </c>
      <c r="B2572">
        <v>3</v>
      </c>
      <c r="C2572">
        <v>1</v>
      </c>
      <c r="D2572">
        <v>3</v>
      </c>
      <c r="E2572" t="s">
        <v>9</v>
      </c>
      <c r="F2572" t="s">
        <v>4385</v>
      </c>
      <c r="G2572" t="s">
        <v>4386</v>
      </c>
      <c r="H2572">
        <v>1.4330000000000001</v>
      </c>
      <c r="I2572" t="s">
        <v>12</v>
      </c>
    </row>
    <row r="2573" spans="1:9" x14ac:dyDescent="0.3">
      <c r="A2573">
        <v>51</v>
      </c>
      <c r="B2573">
        <v>3</v>
      </c>
      <c r="C2573">
        <v>2</v>
      </c>
      <c r="D2573">
        <v>1</v>
      </c>
      <c r="E2573" t="s">
        <v>9</v>
      </c>
      <c r="F2573" t="s">
        <v>4387</v>
      </c>
      <c r="H2573" t="s">
        <v>81</v>
      </c>
      <c r="I2573" t="s">
        <v>34</v>
      </c>
    </row>
    <row r="2574" spans="1:9" x14ac:dyDescent="0.3">
      <c r="A2574">
        <v>51</v>
      </c>
      <c r="B2574">
        <v>3</v>
      </c>
      <c r="C2574">
        <v>2</v>
      </c>
      <c r="D2574">
        <v>1</v>
      </c>
      <c r="E2574" t="s">
        <v>19</v>
      </c>
      <c r="F2574" t="s">
        <v>4388</v>
      </c>
      <c r="I2574" t="s">
        <v>21</v>
      </c>
    </row>
    <row r="2575" spans="1:9" x14ac:dyDescent="0.3">
      <c r="A2575">
        <v>51</v>
      </c>
      <c r="B2575">
        <v>3</v>
      </c>
      <c r="C2575">
        <v>2</v>
      </c>
      <c r="D2575">
        <v>1</v>
      </c>
      <c r="E2575" t="s">
        <v>9</v>
      </c>
      <c r="F2575" t="s">
        <v>4389</v>
      </c>
      <c r="G2575" t="s">
        <v>4390</v>
      </c>
      <c r="H2575">
        <v>2.552</v>
      </c>
      <c r="I2575" t="s">
        <v>12</v>
      </c>
    </row>
    <row r="2576" spans="1:9" x14ac:dyDescent="0.3">
      <c r="A2576">
        <v>51</v>
      </c>
      <c r="B2576">
        <v>3</v>
      </c>
      <c r="C2576">
        <v>2</v>
      </c>
      <c r="D2576">
        <v>1</v>
      </c>
      <c r="E2576" t="s">
        <v>22</v>
      </c>
      <c r="F2576" t="s">
        <v>4391</v>
      </c>
      <c r="G2576" t="s">
        <v>4392</v>
      </c>
      <c r="H2576">
        <v>1.468</v>
      </c>
      <c r="I2576" t="s">
        <v>21</v>
      </c>
    </row>
    <row r="2577" spans="1:9" x14ac:dyDescent="0.3">
      <c r="A2577">
        <v>51</v>
      </c>
      <c r="B2577">
        <v>3</v>
      </c>
      <c r="C2577">
        <v>2</v>
      </c>
      <c r="D2577">
        <v>1</v>
      </c>
      <c r="E2577" t="s">
        <v>9</v>
      </c>
      <c r="F2577" t="s">
        <v>4393</v>
      </c>
      <c r="G2577" t="s">
        <v>4394</v>
      </c>
      <c r="H2577">
        <v>3.3290000000000002</v>
      </c>
      <c r="I2577" t="s">
        <v>12</v>
      </c>
    </row>
    <row r="2578" spans="1:9" x14ac:dyDescent="0.3">
      <c r="A2578">
        <v>51</v>
      </c>
      <c r="B2578">
        <v>3</v>
      </c>
      <c r="C2578">
        <v>2</v>
      </c>
      <c r="D2578">
        <v>1</v>
      </c>
      <c r="E2578" t="s">
        <v>22</v>
      </c>
      <c r="F2578" t="s">
        <v>4395</v>
      </c>
      <c r="G2578" t="s">
        <v>4396</v>
      </c>
      <c r="H2578">
        <v>0.76800000000000002</v>
      </c>
      <c r="I2578" t="s">
        <v>21</v>
      </c>
    </row>
    <row r="2579" spans="1:9" x14ac:dyDescent="0.3">
      <c r="A2579">
        <v>51</v>
      </c>
      <c r="B2579">
        <v>3</v>
      </c>
      <c r="C2579">
        <v>2</v>
      </c>
      <c r="D2579">
        <v>1</v>
      </c>
      <c r="E2579" t="s">
        <v>9</v>
      </c>
      <c r="F2579" t="s">
        <v>4397</v>
      </c>
      <c r="G2579" t="s">
        <v>4398</v>
      </c>
      <c r="H2579">
        <v>2.867</v>
      </c>
      <c r="I2579" t="s">
        <v>12</v>
      </c>
    </row>
    <row r="2580" spans="1:9" x14ac:dyDescent="0.3">
      <c r="A2580">
        <v>51</v>
      </c>
      <c r="B2580">
        <v>3</v>
      </c>
      <c r="C2580">
        <v>2</v>
      </c>
      <c r="D2580">
        <v>1</v>
      </c>
      <c r="E2580" t="s">
        <v>19</v>
      </c>
      <c r="F2580" t="s">
        <v>4399</v>
      </c>
      <c r="I2580" t="s">
        <v>21</v>
      </c>
    </row>
    <row r="2581" spans="1:9" x14ac:dyDescent="0.3">
      <c r="A2581">
        <v>51</v>
      </c>
      <c r="B2581">
        <v>3</v>
      </c>
      <c r="C2581">
        <v>2</v>
      </c>
      <c r="D2581">
        <v>1</v>
      </c>
      <c r="E2581" t="s">
        <v>19</v>
      </c>
      <c r="F2581" t="s">
        <v>4400</v>
      </c>
      <c r="I2581" t="s">
        <v>21</v>
      </c>
    </row>
    <row r="2582" spans="1:9" x14ac:dyDescent="0.3">
      <c r="A2582">
        <v>51</v>
      </c>
      <c r="B2582">
        <v>3</v>
      </c>
      <c r="C2582">
        <v>3</v>
      </c>
      <c r="D2582">
        <v>1</v>
      </c>
      <c r="E2582" t="s">
        <v>9</v>
      </c>
      <c r="F2582" t="s">
        <v>4401</v>
      </c>
      <c r="G2582" t="s">
        <v>4402</v>
      </c>
      <c r="H2582">
        <v>2.1520000000000001</v>
      </c>
      <c r="I2582" t="s">
        <v>12</v>
      </c>
    </row>
    <row r="2583" spans="1:9" x14ac:dyDescent="0.3">
      <c r="A2583">
        <v>51</v>
      </c>
      <c r="B2583">
        <v>3</v>
      </c>
      <c r="C2583">
        <v>3</v>
      </c>
      <c r="D2583">
        <v>1</v>
      </c>
      <c r="E2583" t="s">
        <v>9</v>
      </c>
      <c r="F2583" t="s">
        <v>4403</v>
      </c>
      <c r="G2583" t="s">
        <v>4404</v>
      </c>
      <c r="H2583">
        <v>2.7010000000000001</v>
      </c>
      <c r="I2583" t="s">
        <v>12</v>
      </c>
    </row>
    <row r="2584" spans="1:9" x14ac:dyDescent="0.3">
      <c r="A2584">
        <v>51</v>
      </c>
      <c r="B2584">
        <v>3</v>
      </c>
      <c r="C2584">
        <v>3</v>
      </c>
      <c r="D2584">
        <v>1</v>
      </c>
      <c r="E2584" t="s">
        <v>22</v>
      </c>
      <c r="F2584" t="s">
        <v>4405</v>
      </c>
      <c r="G2584" t="s">
        <v>4406</v>
      </c>
      <c r="H2584">
        <v>2.4009999999999998</v>
      </c>
      <c r="I2584" t="s">
        <v>21</v>
      </c>
    </row>
    <row r="2585" spans="1:9" x14ac:dyDescent="0.3">
      <c r="A2585">
        <v>51</v>
      </c>
      <c r="B2585">
        <v>3</v>
      </c>
      <c r="C2585">
        <v>3</v>
      </c>
      <c r="D2585">
        <v>1</v>
      </c>
      <c r="E2585" t="s">
        <v>22</v>
      </c>
      <c r="F2585" t="s">
        <v>4407</v>
      </c>
      <c r="G2585" t="s">
        <v>4408</v>
      </c>
      <c r="H2585">
        <v>0.80100000000000005</v>
      </c>
      <c r="I2585" t="s">
        <v>21</v>
      </c>
    </row>
    <row r="2586" spans="1:9" x14ac:dyDescent="0.3">
      <c r="A2586">
        <v>51</v>
      </c>
      <c r="B2586">
        <v>3</v>
      </c>
      <c r="C2586">
        <v>3</v>
      </c>
      <c r="D2586">
        <v>1</v>
      </c>
      <c r="E2586" t="s">
        <v>19</v>
      </c>
      <c r="F2586" t="s">
        <v>4409</v>
      </c>
      <c r="I2586" t="s">
        <v>21</v>
      </c>
    </row>
    <row r="2587" spans="1:9" x14ac:dyDescent="0.3">
      <c r="A2587">
        <v>51</v>
      </c>
      <c r="B2587">
        <v>3</v>
      </c>
      <c r="C2587">
        <v>3</v>
      </c>
      <c r="D2587">
        <v>1</v>
      </c>
      <c r="E2587" t="s">
        <v>9</v>
      </c>
      <c r="F2587" t="s">
        <v>4410</v>
      </c>
      <c r="G2587" t="s">
        <v>4411</v>
      </c>
      <c r="H2587">
        <v>2.3340000000000001</v>
      </c>
      <c r="I2587" t="s">
        <v>12</v>
      </c>
    </row>
    <row r="2588" spans="1:9" x14ac:dyDescent="0.3">
      <c r="A2588">
        <v>51</v>
      </c>
      <c r="B2588">
        <v>3</v>
      </c>
      <c r="C2588">
        <v>3</v>
      </c>
      <c r="D2588">
        <v>1</v>
      </c>
      <c r="E2588" t="s">
        <v>9</v>
      </c>
      <c r="F2588" t="s">
        <v>4412</v>
      </c>
      <c r="G2588" t="s">
        <v>4413</v>
      </c>
      <c r="H2588">
        <v>3.0680000000000001</v>
      </c>
      <c r="I2588" t="s">
        <v>12</v>
      </c>
    </row>
    <row r="2589" spans="1:9" x14ac:dyDescent="0.3">
      <c r="A2589">
        <v>51</v>
      </c>
      <c r="B2589">
        <v>3</v>
      </c>
      <c r="C2589">
        <v>3</v>
      </c>
      <c r="D2589">
        <v>1</v>
      </c>
      <c r="E2589" t="s">
        <v>19</v>
      </c>
      <c r="F2589" t="s">
        <v>4414</v>
      </c>
      <c r="I2589" t="s">
        <v>21</v>
      </c>
    </row>
    <row r="2590" spans="1:9" x14ac:dyDescent="0.3">
      <c r="A2590">
        <v>51</v>
      </c>
      <c r="B2590">
        <v>3</v>
      </c>
      <c r="C2590">
        <v>3</v>
      </c>
      <c r="D2590">
        <v>1</v>
      </c>
      <c r="E2590" t="s">
        <v>19</v>
      </c>
      <c r="F2590" t="s">
        <v>4415</v>
      </c>
      <c r="I2590" t="s">
        <v>34</v>
      </c>
    </row>
    <row r="2591" spans="1:9" x14ac:dyDescent="0.3">
      <c r="A2591">
        <v>51</v>
      </c>
      <c r="B2591">
        <v>3</v>
      </c>
      <c r="C2591">
        <v>3</v>
      </c>
      <c r="D2591">
        <v>1</v>
      </c>
      <c r="E2591" t="s">
        <v>19</v>
      </c>
      <c r="F2591" t="s">
        <v>4416</v>
      </c>
      <c r="I2591" t="s">
        <v>21</v>
      </c>
    </row>
    <row r="2592" spans="1:9" x14ac:dyDescent="0.3">
      <c r="A2592">
        <v>51</v>
      </c>
      <c r="B2592">
        <v>3</v>
      </c>
      <c r="C2592">
        <v>3</v>
      </c>
      <c r="D2592">
        <v>1</v>
      </c>
      <c r="E2592" t="s">
        <v>19</v>
      </c>
      <c r="F2592" t="s">
        <v>4417</v>
      </c>
      <c r="I2592" t="s">
        <v>34</v>
      </c>
    </row>
    <row r="2593" spans="1:9" x14ac:dyDescent="0.3">
      <c r="A2593">
        <v>51</v>
      </c>
      <c r="B2593">
        <v>3</v>
      </c>
      <c r="C2593">
        <v>3</v>
      </c>
      <c r="D2593">
        <v>1</v>
      </c>
      <c r="E2593" t="s">
        <v>19</v>
      </c>
      <c r="F2593" t="s">
        <v>4418</v>
      </c>
      <c r="I2593" t="s">
        <v>21</v>
      </c>
    </row>
    <row r="2594" spans="1:9" x14ac:dyDescent="0.3">
      <c r="A2594">
        <v>51</v>
      </c>
      <c r="B2594">
        <v>3</v>
      </c>
      <c r="C2594">
        <v>3</v>
      </c>
      <c r="D2594">
        <v>1</v>
      </c>
      <c r="E2594" t="s">
        <v>19</v>
      </c>
      <c r="F2594" t="s">
        <v>4419</v>
      </c>
      <c r="I2594" t="s">
        <v>21</v>
      </c>
    </row>
    <row r="2595" spans="1:9" x14ac:dyDescent="0.3">
      <c r="A2595">
        <v>51</v>
      </c>
      <c r="B2595">
        <v>3</v>
      </c>
      <c r="C2595">
        <v>3</v>
      </c>
      <c r="D2595">
        <v>1</v>
      </c>
      <c r="E2595" t="s">
        <v>19</v>
      </c>
      <c r="F2595" t="s">
        <v>4420</v>
      </c>
      <c r="I2595" t="s">
        <v>21</v>
      </c>
    </row>
    <row r="2596" spans="1:9" x14ac:dyDescent="0.3">
      <c r="A2596">
        <v>51</v>
      </c>
      <c r="B2596">
        <v>3</v>
      </c>
      <c r="C2596">
        <v>3</v>
      </c>
      <c r="D2596">
        <v>1</v>
      </c>
      <c r="E2596" t="s">
        <v>19</v>
      </c>
      <c r="F2596" t="s">
        <v>4421</v>
      </c>
      <c r="I2596" t="s">
        <v>21</v>
      </c>
    </row>
    <row r="2597" spans="1:9" x14ac:dyDescent="0.3">
      <c r="A2597">
        <v>51</v>
      </c>
      <c r="B2597">
        <v>3</v>
      </c>
      <c r="C2597">
        <v>3</v>
      </c>
      <c r="D2597">
        <v>2</v>
      </c>
      <c r="E2597" t="s">
        <v>22</v>
      </c>
      <c r="F2597" t="s">
        <v>4422</v>
      </c>
      <c r="G2597" t="s">
        <v>4423</v>
      </c>
      <c r="H2597">
        <v>1.319</v>
      </c>
      <c r="I2597" t="s">
        <v>21</v>
      </c>
    </row>
    <row r="2598" spans="1:9" x14ac:dyDescent="0.3">
      <c r="A2598">
        <v>51</v>
      </c>
      <c r="B2598">
        <v>3</v>
      </c>
      <c r="C2598">
        <v>3</v>
      </c>
      <c r="D2598">
        <v>2</v>
      </c>
      <c r="E2598" t="s">
        <v>22</v>
      </c>
      <c r="F2598" t="s">
        <v>4424</v>
      </c>
      <c r="G2598" t="s">
        <v>4425</v>
      </c>
      <c r="H2598">
        <v>0.86699999999999999</v>
      </c>
      <c r="I2598" t="s">
        <v>21</v>
      </c>
    </row>
    <row r="2599" spans="1:9" x14ac:dyDescent="0.3">
      <c r="A2599">
        <v>51</v>
      </c>
      <c r="B2599">
        <v>3</v>
      </c>
      <c r="C2599">
        <v>3</v>
      </c>
      <c r="D2599">
        <v>2</v>
      </c>
      <c r="E2599" t="s">
        <v>19</v>
      </c>
      <c r="F2599" t="s">
        <v>4426</v>
      </c>
      <c r="I2599" t="s">
        <v>21</v>
      </c>
    </row>
    <row r="2600" spans="1:9" x14ac:dyDescent="0.3">
      <c r="A2600">
        <v>51</v>
      </c>
      <c r="B2600">
        <v>3</v>
      </c>
      <c r="C2600">
        <v>3</v>
      </c>
      <c r="D2600">
        <v>2</v>
      </c>
      <c r="E2600" t="s">
        <v>9</v>
      </c>
      <c r="F2600" t="s">
        <v>4427</v>
      </c>
      <c r="G2600" t="s">
        <v>4428</v>
      </c>
      <c r="H2600">
        <v>2.0339999999999998</v>
      </c>
      <c r="I2600" t="s">
        <v>12</v>
      </c>
    </row>
    <row r="2601" spans="1:9" x14ac:dyDescent="0.3">
      <c r="A2601">
        <v>51</v>
      </c>
      <c r="B2601">
        <v>3</v>
      </c>
      <c r="C2601">
        <v>3</v>
      </c>
      <c r="D2601">
        <v>2</v>
      </c>
      <c r="E2601" t="s">
        <v>19</v>
      </c>
      <c r="F2601" t="s">
        <v>4429</v>
      </c>
      <c r="I2601" t="s">
        <v>21</v>
      </c>
    </row>
    <row r="2602" spans="1:9" x14ac:dyDescent="0.3">
      <c r="A2602">
        <v>51</v>
      </c>
      <c r="B2602">
        <v>3</v>
      </c>
      <c r="C2602">
        <v>3</v>
      </c>
      <c r="D2602">
        <v>2</v>
      </c>
      <c r="E2602" t="s">
        <v>9</v>
      </c>
      <c r="F2602" t="s">
        <v>4430</v>
      </c>
      <c r="G2602" t="s">
        <v>4431</v>
      </c>
      <c r="H2602">
        <v>1.8340000000000001</v>
      </c>
      <c r="I2602" t="s">
        <v>12</v>
      </c>
    </row>
    <row r="2603" spans="1:9" x14ac:dyDescent="0.3">
      <c r="A2603">
        <v>51</v>
      </c>
      <c r="B2603">
        <v>3</v>
      </c>
      <c r="C2603">
        <v>3</v>
      </c>
      <c r="D2603">
        <v>2</v>
      </c>
      <c r="E2603" t="s">
        <v>19</v>
      </c>
      <c r="F2603" t="s">
        <v>4432</v>
      </c>
      <c r="I2603" t="s">
        <v>21</v>
      </c>
    </row>
    <row r="2604" spans="1:9" x14ac:dyDescent="0.3">
      <c r="A2604">
        <v>51</v>
      </c>
      <c r="B2604">
        <v>3</v>
      </c>
      <c r="C2604">
        <v>3</v>
      </c>
      <c r="D2604">
        <v>2</v>
      </c>
      <c r="E2604" t="s">
        <v>9</v>
      </c>
      <c r="F2604" t="s">
        <v>4433</v>
      </c>
      <c r="G2604" t="s">
        <v>4434</v>
      </c>
      <c r="H2604">
        <v>1.734</v>
      </c>
      <c r="I2604" t="s">
        <v>12</v>
      </c>
    </row>
    <row r="2605" spans="1:9" x14ac:dyDescent="0.3">
      <c r="A2605">
        <v>51</v>
      </c>
      <c r="B2605">
        <v>3</v>
      </c>
      <c r="C2605">
        <v>3</v>
      </c>
      <c r="D2605">
        <v>2</v>
      </c>
      <c r="E2605" t="s">
        <v>19</v>
      </c>
      <c r="F2605" t="s">
        <v>4435</v>
      </c>
      <c r="I2605" t="s">
        <v>21</v>
      </c>
    </row>
    <row r="2606" spans="1:9" x14ac:dyDescent="0.3">
      <c r="A2606">
        <v>51</v>
      </c>
      <c r="B2606">
        <v>3</v>
      </c>
      <c r="C2606">
        <v>3</v>
      </c>
      <c r="D2606">
        <v>2</v>
      </c>
      <c r="E2606" t="s">
        <v>9</v>
      </c>
      <c r="F2606" t="s">
        <v>5378</v>
      </c>
      <c r="G2606" t="s">
        <v>5379</v>
      </c>
      <c r="H2606">
        <v>2.4350000000000001</v>
      </c>
      <c r="I2606" t="s">
        <v>12</v>
      </c>
    </row>
    <row r="2607" spans="1:9" x14ac:dyDescent="0.3">
      <c r="A2607">
        <v>52</v>
      </c>
      <c r="B2607">
        <v>1</v>
      </c>
      <c r="C2607">
        <v>1</v>
      </c>
      <c r="D2607">
        <v>1</v>
      </c>
      <c r="E2607" t="s">
        <v>9</v>
      </c>
      <c r="F2607" t="s">
        <v>4436</v>
      </c>
      <c r="G2607" t="s">
        <v>4437</v>
      </c>
      <c r="H2607">
        <v>5.7510000000000003</v>
      </c>
      <c r="I2607" t="s">
        <v>12</v>
      </c>
    </row>
    <row r="2608" spans="1:9" x14ac:dyDescent="0.3">
      <c r="A2608">
        <v>52</v>
      </c>
      <c r="B2608">
        <v>1</v>
      </c>
      <c r="C2608">
        <v>1</v>
      </c>
      <c r="D2608">
        <v>2</v>
      </c>
      <c r="E2608" t="s">
        <v>9</v>
      </c>
      <c r="F2608" t="s">
        <v>4438</v>
      </c>
      <c r="G2608" t="s">
        <v>4439</v>
      </c>
      <c r="H2608">
        <v>4.22</v>
      </c>
      <c r="I2608" t="s">
        <v>12</v>
      </c>
    </row>
    <row r="2609" spans="1:9" x14ac:dyDescent="0.3">
      <c r="A2609">
        <v>52</v>
      </c>
      <c r="B2609">
        <v>1</v>
      </c>
      <c r="C2609">
        <v>1</v>
      </c>
      <c r="D2609">
        <v>3</v>
      </c>
      <c r="E2609" t="s">
        <v>9</v>
      </c>
      <c r="F2609" t="s">
        <v>4440</v>
      </c>
      <c r="G2609" t="s">
        <v>4441</v>
      </c>
      <c r="H2609">
        <v>4.9870000000000001</v>
      </c>
      <c r="I2609" t="s">
        <v>12</v>
      </c>
    </row>
    <row r="2610" spans="1:9" x14ac:dyDescent="0.3">
      <c r="A2610">
        <v>52</v>
      </c>
      <c r="B2610">
        <v>1</v>
      </c>
      <c r="C2610">
        <v>1</v>
      </c>
      <c r="D2610">
        <v>5</v>
      </c>
      <c r="E2610" t="s">
        <v>9</v>
      </c>
      <c r="F2610" t="s">
        <v>4442</v>
      </c>
      <c r="G2610" t="s">
        <v>4443</v>
      </c>
      <c r="H2610">
        <v>4.1189999999999998</v>
      </c>
      <c r="I2610" t="s">
        <v>12</v>
      </c>
    </row>
    <row r="2611" spans="1:9" x14ac:dyDescent="0.3">
      <c r="A2611">
        <v>52</v>
      </c>
      <c r="B2611">
        <v>1</v>
      </c>
      <c r="C2611">
        <v>1</v>
      </c>
      <c r="D2611">
        <v>5</v>
      </c>
      <c r="E2611" t="s">
        <v>9</v>
      </c>
      <c r="F2611" t="s">
        <v>4444</v>
      </c>
      <c r="G2611" t="s">
        <v>4445</v>
      </c>
      <c r="H2611">
        <v>3.052</v>
      </c>
      <c r="I2611" t="s">
        <v>12</v>
      </c>
    </row>
    <row r="2612" spans="1:9" x14ac:dyDescent="0.3">
      <c r="A2612">
        <v>52</v>
      </c>
      <c r="B2612">
        <v>1</v>
      </c>
      <c r="C2612">
        <v>1</v>
      </c>
      <c r="D2612">
        <v>5</v>
      </c>
      <c r="E2612" t="s">
        <v>22</v>
      </c>
      <c r="F2612" t="s">
        <v>4446</v>
      </c>
      <c r="G2612" t="s">
        <v>4447</v>
      </c>
      <c r="H2612">
        <v>2.867</v>
      </c>
      <c r="I2612" t="s">
        <v>21</v>
      </c>
    </row>
    <row r="2613" spans="1:9" x14ac:dyDescent="0.3">
      <c r="A2613">
        <v>52</v>
      </c>
      <c r="B2613">
        <v>1</v>
      </c>
      <c r="C2613">
        <v>1</v>
      </c>
      <c r="D2613">
        <v>5</v>
      </c>
      <c r="E2613" t="s">
        <v>9</v>
      </c>
      <c r="F2613" t="s">
        <v>4448</v>
      </c>
      <c r="G2613" t="s">
        <v>4449</v>
      </c>
      <c r="H2613">
        <v>2.1339999999999999</v>
      </c>
      <c r="I2613" t="s">
        <v>12</v>
      </c>
    </row>
    <row r="2614" spans="1:9" x14ac:dyDescent="0.3">
      <c r="A2614">
        <v>52</v>
      </c>
      <c r="B2614">
        <v>1</v>
      </c>
      <c r="C2614">
        <v>1</v>
      </c>
      <c r="D2614">
        <v>5</v>
      </c>
      <c r="E2614" t="s">
        <v>19</v>
      </c>
      <c r="F2614" t="s">
        <v>4449</v>
      </c>
      <c r="I2614" t="s">
        <v>34</v>
      </c>
    </row>
    <row r="2615" spans="1:9" x14ac:dyDescent="0.3">
      <c r="A2615">
        <v>52</v>
      </c>
      <c r="B2615">
        <v>1</v>
      </c>
      <c r="C2615">
        <v>1</v>
      </c>
      <c r="D2615">
        <v>6</v>
      </c>
      <c r="E2615" t="s">
        <v>9</v>
      </c>
      <c r="F2615" t="s">
        <v>4450</v>
      </c>
      <c r="G2615" t="s">
        <v>4451</v>
      </c>
      <c r="H2615">
        <v>3.5529999999999999</v>
      </c>
      <c r="I2615" t="s">
        <v>12</v>
      </c>
    </row>
    <row r="2616" spans="1:9" x14ac:dyDescent="0.3">
      <c r="A2616">
        <v>52</v>
      </c>
      <c r="B2616">
        <v>1</v>
      </c>
      <c r="C2616">
        <v>1</v>
      </c>
      <c r="D2616">
        <v>6</v>
      </c>
      <c r="E2616" t="s">
        <v>9</v>
      </c>
      <c r="F2616" t="s">
        <v>4452</v>
      </c>
      <c r="G2616" t="s">
        <v>4453</v>
      </c>
      <c r="H2616">
        <v>1.9339999999999999</v>
      </c>
      <c r="I2616" t="s">
        <v>12</v>
      </c>
    </row>
    <row r="2617" spans="1:9" x14ac:dyDescent="0.3">
      <c r="A2617">
        <v>52</v>
      </c>
      <c r="B2617">
        <v>1</v>
      </c>
      <c r="C2617">
        <v>1</v>
      </c>
      <c r="D2617">
        <v>6</v>
      </c>
      <c r="E2617" t="s">
        <v>9</v>
      </c>
      <c r="F2617" t="s">
        <v>4454</v>
      </c>
      <c r="G2617" t="s">
        <v>4455</v>
      </c>
      <c r="H2617">
        <v>2.335</v>
      </c>
      <c r="I2617" t="s">
        <v>12</v>
      </c>
    </row>
    <row r="2618" spans="1:9" x14ac:dyDescent="0.3">
      <c r="A2618">
        <v>52</v>
      </c>
      <c r="B2618">
        <v>1</v>
      </c>
      <c r="C2618">
        <v>1</v>
      </c>
      <c r="D2618">
        <v>6</v>
      </c>
      <c r="E2618" t="s">
        <v>19</v>
      </c>
      <c r="F2618" t="s">
        <v>4456</v>
      </c>
      <c r="I2618" t="s">
        <v>21</v>
      </c>
    </row>
    <row r="2619" spans="1:9" x14ac:dyDescent="0.3">
      <c r="A2619">
        <v>52</v>
      </c>
      <c r="B2619">
        <v>1</v>
      </c>
      <c r="C2619">
        <v>1</v>
      </c>
      <c r="D2619">
        <v>6</v>
      </c>
      <c r="E2619" t="s">
        <v>22</v>
      </c>
      <c r="F2619" t="s">
        <v>4457</v>
      </c>
      <c r="G2619" t="s">
        <v>4458</v>
      </c>
      <c r="H2619">
        <v>2.4670000000000001</v>
      </c>
      <c r="I2619" t="s">
        <v>21</v>
      </c>
    </row>
    <row r="2620" spans="1:9" x14ac:dyDescent="0.3">
      <c r="A2620">
        <v>52</v>
      </c>
      <c r="B2620">
        <v>1</v>
      </c>
      <c r="C2620">
        <v>1</v>
      </c>
      <c r="D2620">
        <v>7</v>
      </c>
      <c r="E2620" t="s">
        <v>9</v>
      </c>
      <c r="F2620" t="s">
        <v>4459</v>
      </c>
      <c r="G2620" t="s">
        <v>4460</v>
      </c>
      <c r="H2620">
        <v>2.4870000000000001</v>
      </c>
      <c r="I2620" t="s">
        <v>12</v>
      </c>
    </row>
    <row r="2621" spans="1:9" x14ac:dyDescent="0.3">
      <c r="A2621">
        <v>52</v>
      </c>
      <c r="B2621">
        <v>1</v>
      </c>
      <c r="C2621">
        <v>1</v>
      </c>
      <c r="D2621">
        <v>7</v>
      </c>
      <c r="E2621" t="s">
        <v>9</v>
      </c>
      <c r="F2621" t="s">
        <v>4461</v>
      </c>
      <c r="G2621" t="s">
        <v>4462</v>
      </c>
      <c r="H2621">
        <v>1.5529999999999999</v>
      </c>
      <c r="I2621" t="s">
        <v>12</v>
      </c>
    </row>
    <row r="2622" spans="1:9" x14ac:dyDescent="0.3">
      <c r="A2622">
        <v>52</v>
      </c>
      <c r="B2622">
        <v>1</v>
      </c>
      <c r="C2622">
        <v>1</v>
      </c>
      <c r="D2622">
        <v>7</v>
      </c>
      <c r="E2622" t="s">
        <v>9</v>
      </c>
      <c r="F2622" t="s">
        <v>4463</v>
      </c>
      <c r="G2622" t="s">
        <v>4464</v>
      </c>
      <c r="H2622">
        <v>6.1280000000000001</v>
      </c>
      <c r="I2622" t="s">
        <v>12</v>
      </c>
    </row>
    <row r="2623" spans="1:9" x14ac:dyDescent="0.3">
      <c r="A2623">
        <v>52</v>
      </c>
      <c r="B2623">
        <v>1</v>
      </c>
      <c r="C2623">
        <v>1</v>
      </c>
      <c r="D2623">
        <v>7</v>
      </c>
      <c r="E2623" t="s">
        <v>19</v>
      </c>
      <c r="F2623" t="s">
        <v>4465</v>
      </c>
      <c r="I2623" t="s">
        <v>34</v>
      </c>
    </row>
    <row r="2624" spans="1:9" x14ac:dyDescent="0.3">
      <c r="A2624">
        <v>52</v>
      </c>
      <c r="B2624">
        <v>1</v>
      </c>
      <c r="C2624">
        <v>1</v>
      </c>
      <c r="D2624">
        <v>7</v>
      </c>
      <c r="E2624" t="s">
        <v>22</v>
      </c>
      <c r="F2624" t="s">
        <v>4466</v>
      </c>
      <c r="G2624" t="s">
        <v>4467</v>
      </c>
      <c r="H2624">
        <v>2.0329999999999999</v>
      </c>
      <c r="I2624" t="s">
        <v>21</v>
      </c>
    </row>
    <row r="2625" spans="1:9" x14ac:dyDescent="0.3">
      <c r="A2625">
        <v>52</v>
      </c>
      <c r="B2625">
        <v>1</v>
      </c>
      <c r="C2625">
        <v>1</v>
      </c>
      <c r="D2625">
        <v>7</v>
      </c>
      <c r="E2625" t="s">
        <v>19</v>
      </c>
      <c r="F2625" t="s">
        <v>4468</v>
      </c>
      <c r="I2625" t="s">
        <v>21</v>
      </c>
    </row>
    <row r="2626" spans="1:9" x14ac:dyDescent="0.3">
      <c r="A2626">
        <v>52</v>
      </c>
      <c r="B2626">
        <v>1</v>
      </c>
      <c r="C2626">
        <v>1</v>
      </c>
      <c r="D2626">
        <v>8</v>
      </c>
      <c r="E2626" t="s">
        <v>9</v>
      </c>
      <c r="F2626" t="s">
        <v>4469</v>
      </c>
      <c r="G2626" t="s">
        <v>4470</v>
      </c>
      <c r="H2626">
        <v>5.452</v>
      </c>
      <c r="I2626" t="s">
        <v>12</v>
      </c>
    </row>
    <row r="2627" spans="1:9" x14ac:dyDescent="0.3">
      <c r="A2627">
        <v>52</v>
      </c>
      <c r="B2627">
        <v>1</v>
      </c>
      <c r="C2627">
        <v>1</v>
      </c>
      <c r="D2627">
        <v>8</v>
      </c>
      <c r="E2627" t="s">
        <v>9</v>
      </c>
      <c r="F2627" t="s">
        <v>4471</v>
      </c>
      <c r="G2627" t="s">
        <v>4472</v>
      </c>
      <c r="H2627">
        <v>2.2669999999999999</v>
      </c>
      <c r="I2627" t="s">
        <v>12</v>
      </c>
    </row>
    <row r="2628" spans="1:9" x14ac:dyDescent="0.3">
      <c r="A2628">
        <v>52</v>
      </c>
      <c r="B2628">
        <v>1</v>
      </c>
      <c r="C2628">
        <v>1</v>
      </c>
      <c r="D2628">
        <v>8</v>
      </c>
      <c r="E2628" t="s">
        <v>9</v>
      </c>
      <c r="F2628" t="s">
        <v>4473</v>
      </c>
      <c r="G2628" t="s">
        <v>4474</v>
      </c>
      <c r="H2628">
        <v>1.619</v>
      </c>
      <c r="I2628" t="s">
        <v>12</v>
      </c>
    </row>
    <row r="2629" spans="1:9" x14ac:dyDescent="0.3">
      <c r="A2629">
        <v>52</v>
      </c>
      <c r="B2629">
        <v>1</v>
      </c>
      <c r="C2629">
        <v>1</v>
      </c>
      <c r="D2629">
        <v>8</v>
      </c>
      <c r="E2629" t="s">
        <v>19</v>
      </c>
      <c r="F2629" t="s">
        <v>4475</v>
      </c>
      <c r="I2629" t="s">
        <v>21</v>
      </c>
    </row>
    <row r="2630" spans="1:9" x14ac:dyDescent="0.3">
      <c r="A2630">
        <v>52</v>
      </c>
      <c r="B2630">
        <v>1</v>
      </c>
      <c r="C2630">
        <v>1</v>
      </c>
      <c r="D2630">
        <v>8</v>
      </c>
      <c r="E2630" t="s">
        <v>22</v>
      </c>
      <c r="F2630" t="s">
        <v>4476</v>
      </c>
      <c r="G2630" t="s">
        <v>4477</v>
      </c>
      <c r="H2630">
        <v>2.601</v>
      </c>
      <c r="I2630" t="s">
        <v>21</v>
      </c>
    </row>
    <row r="2631" spans="1:9" x14ac:dyDescent="0.3">
      <c r="A2631">
        <v>52</v>
      </c>
      <c r="B2631">
        <v>1</v>
      </c>
      <c r="C2631">
        <v>1</v>
      </c>
      <c r="D2631">
        <v>8</v>
      </c>
      <c r="E2631" t="s">
        <v>22</v>
      </c>
      <c r="F2631" t="s">
        <v>4478</v>
      </c>
      <c r="G2631" t="s">
        <v>4479</v>
      </c>
      <c r="H2631">
        <v>2.367</v>
      </c>
      <c r="I2631" t="s">
        <v>21</v>
      </c>
    </row>
    <row r="2632" spans="1:9" x14ac:dyDescent="0.3">
      <c r="A2632">
        <v>52</v>
      </c>
      <c r="B2632">
        <v>1</v>
      </c>
      <c r="C2632">
        <v>1</v>
      </c>
      <c r="D2632">
        <v>8</v>
      </c>
      <c r="E2632" t="s">
        <v>19</v>
      </c>
      <c r="F2632" t="s">
        <v>4480</v>
      </c>
      <c r="I2632" t="s">
        <v>21</v>
      </c>
    </row>
    <row r="2633" spans="1:9" x14ac:dyDescent="0.3">
      <c r="A2633">
        <v>52</v>
      </c>
      <c r="B2633">
        <v>1</v>
      </c>
      <c r="C2633">
        <v>1</v>
      </c>
      <c r="D2633">
        <v>9</v>
      </c>
      <c r="E2633" t="s">
        <v>9</v>
      </c>
      <c r="F2633" t="s">
        <v>4481</v>
      </c>
      <c r="G2633" t="s">
        <v>4482</v>
      </c>
      <c r="H2633">
        <v>5.5860000000000003</v>
      </c>
      <c r="I2633" t="s">
        <v>12</v>
      </c>
    </row>
    <row r="2634" spans="1:9" x14ac:dyDescent="0.3">
      <c r="A2634">
        <v>52</v>
      </c>
      <c r="B2634">
        <v>1</v>
      </c>
      <c r="C2634">
        <v>1</v>
      </c>
      <c r="D2634">
        <v>9</v>
      </c>
      <c r="E2634" t="s">
        <v>9</v>
      </c>
      <c r="F2634" t="s">
        <v>4483</v>
      </c>
      <c r="G2634" t="s">
        <v>4484</v>
      </c>
      <c r="H2634">
        <v>1.1859999999999999</v>
      </c>
      <c r="I2634" t="s">
        <v>12</v>
      </c>
    </row>
    <row r="2635" spans="1:9" x14ac:dyDescent="0.3">
      <c r="A2635">
        <v>52</v>
      </c>
      <c r="B2635">
        <v>1</v>
      </c>
      <c r="C2635">
        <v>1</v>
      </c>
      <c r="D2635">
        <v>9</v>
      </c>
      <c r="E2635" t="s">
        <v>9</v>
      </c>
      <c r="F2635" t="s">
        <v>4485</v>
      </c>
      <c r="G2635" t="s">
        <v>4486</v>
      </c>
      <c r="H2635">
        <v>1.234</v>
      </c>
      <c r="I2635" t="s">
        <v>12</v>
      </c>
    </row>
    <row r="2636" spans="1:9" x14ac:dyDescent="0.3">
      <c r="A2636">
        <v>52</v>
      </c>
      <c r="B2636">
        <v>1</v>
      </c>
      <c r="C2636">
        <v>1</v>
      </c>
      <c r="D2636">
        <v>9</v>
      </c>
      <c r="E2636" t="s">
        <v>9</v>
      </c>
      <c r="F2636" t="s">
        <v>4487</v>
      </c>
      <c r="G2636" t="s">
        <v>4488</v>
      </c>
      <c r="H2636">
        <v>0.93400000000000005</v>
      </c>
      <c r="I2636" t="s">
        <v>12</v>
      </c>
    </row>
    <row r="2637" spans="1:9" x14ac:dyDescent="0.3">
      <c r="A2637">
        <v>52</v>
      </c>
      <c r="B2637">
        <v>1</v>
      </c>
      <c r="C2637">
        <v>1</v>
      </c>
      <c r="D2637">
        <v>9</v>
      </c>
      <c r="E2637" t="s">
        <v>19</v>
      </c>
      <c r="F2637" t="s">
        <v>4489</v>
      </c>
      <c r="I2637" t="s">
        <v>21</v>
      </c>
    </row>
    <row r="2638" spans="1:9" x14ac:dyDescent="0.3">
      <c r="A2638">
        <v>52</v>
      </c>
      <c r="B2638">
        <v>1</v>
      </c>
      <c r="C2638">
        <v>1</v>
      </c>
      <c r="D2638">
        <v>9</v>
      </c>
      <c r="E2638" t="s">
        <v>22</v>
      </c>
      <c r="F2638" t="s">
        <v>4490</v>
      </c>
      <c r="G2638" t="s">
        <v>4491</v>
      </c>
      <c r="H2638">
        <v>1.5009999999999999</v>
      </c>
      <c r="I2638" t="s">
        <v>21</v>
      </c>
    </row>
    <row r="2639" spans="1:9" x14ac:dyDescent="0.3">
      <c r="A2639">
        <v>52</v>
      </c>
      <c r="B2639">
        <v>1</v>
      </c>
      <c r="C2639">
        <v>1</v>
      </c>
      <c r="D2639">
        <v>9</v>
      </c>
      <c r="E2639" t="s">
        <v>22</v>
      </c>
      <c r="F2639" t="s">
        <v>4492</v>
      </c>
      <c r="G2639" t="s">
        <v>4493</v>
      </c>
      <c r="H2639">
        <v>1.6339999999999999</v>
      </c>
      <c r="I2639" t="s">
        <v>21</v>
      </c>
    </row>
    <row r="2640" spans="1:9" x14ac:dyDescent="0.3">
      <c r="A2640">
        <v>52</v>
      </c>
      <c r="B2640">
        <v>1</v>
      </c>
      <c r="C2640">
        <v>1</v>
      </c>
      <c r="D2640">
        <v>9</v>
      </c>
      <c r="E2640" t="s">
        <v>19</v>
      </c>
      <c r="F2640" t="s">
        <v>4494</v>
      </c>
      <c r="I2640" t="s">
        <v>21</v>
      </c>
    </row>
    <row r="2641" spans="1:9" x14ac:dyDescent="0.3">
      <c r="A2641">
        <v>53</v>
      </c>
      <c r="B2641">
        <v>3</v>
      </c>
      <c r="C2641">
        <v>1</v>
      </c>
      <c r="D2641">
        <v>1</v>
      </c>
      <c r="E2641" t="s">
        <v>9</v>
      </c>
      <c r="F2641" t="s">
        <v>4495</v>
      </c>
      <c r="G2641" t="s">
        <v>4496</v>
      </c>
      <c r="H2641">
        <v>1.7190000000000001</v>
      </c>
      <c r="I2641" t="s">
        <v>12</v>
      </c>
    </row>
    <row r="2642" spans="1:9" x14ac:dyDescent="0.3">
      <c r="A2642">
        <v>53</v>
      </c>
      <c r="B2642">
        <v>3</v>
      </c>
      <c r="C2642">
        <v>1</v>
      </c>
      <c r="D2642">
        <v>1</v>
      </c>
      <c r="E2642" t="s">
        <v>9</v>
      </c>
      <c r="F2642" t="s">
        <v>4497</v>
      </c>
      <c r="G2642" t="s">
        <v>4498</v>
      </c>
      <c r="H2642">
        <v>1.0529999999999999</v>
      </c>
      <c r="I2642" t="s">
        <v>12</v>
      </c>
    </row>
    <row r="2643" spans="1:9" x14ac:dyDescent="0.3">
      <c r="A2643">
        <v>53</v>
      </c>
      <c r="B2643">
        <v>3</v>
      </c>
      <c r="C2643">
        <v>1</v>
      </c>
      <c r="D2643">
        <v>1</v>
      </c>
      <c r="E2643" t="s">
        <v>9</v>
      </c>
      <c r="F2643" t="s">
        <v>4499</v>
      </c>
      <c r="G2643" t="s">
        <v>4500</v>
      </c>
      <c r="H2643">
        <v>0.76700000000000002</v>
      </c>
      <c r="I2643" t="s">
        <v>12</v>
      </c>
    </row>
    <row r="2644" spans="1:9" x14ac:dyDescent="0.3">
      <c r="A2644">
        <v>53</v>
      </c>
      <c r="B2644">
        <v>3</v>
      </c>
      <c r="C2644">
        <v>1</v>
      </c>
      <c r="D2644">
        <v>1</v>
      </c>
      <c r="E2644" t="s">
        <v>9</v>
      </c>
      <c r="F2644" t="s">
        <v>4501</v>
      </c>
      <c r="G2644" t="s">
        <v>4502</v>
      </c>
      <c r="H2644">
        <v>1.0669999999999999</v>
      </c>
      <c r="I2644" t="s">
        <v>12</v>
      </c>
    </row>
    <row r="2645" spans="1:9" x14ac:dyDescent="0.3">
      <c r="A2645">
        <v>53</v>
      </c>
      <c r="B2645">
        <v>3</v>
      </c>
      <c r="C2645">
        <v>1</v>
      </c>
      <c r="D2645">
        <v>1</v>
      </c>
      <c r="E2645" t="s">
        <v>22</v>
      </c>
      <c r="F2645" t="s">
        <v>4503</v>
      </c>
      <c r="G2645" t="s">
        <v>4504</v>
      </c>
      <c r="H2645">
        <v>0.96699999999999997</v>
      </c>
      <c r="I2645" t="s">
        <v>21</v>
      </c>
    </row>
    <row r="2646" spans="1:9" x14ac:dyDescent="0.3">
      <c r="A2646">
        <v>53</v>
      </c>
      <c r="B2646">
        <v>3</v>
      </c>
      <c r="C2646">
        <v>1</v>
      </c>
      <c r="D2646">
        <v>1</v>
      </c>
      <c r="E2646" t="s">
        <v>19</v>
      </c>
      <c r="F2646" t="s">
        <v>4505</v>
      </c>
      <c r="I2646" t="s">
        <v>34</v>
      </c>
    </row>
    <row r="2647" spans="1:9" x14ac:dyDescent="0.3">
      <c r="A2647">
        <v>53</v>
      </c>
      <c r="B2647">
        <v>3</v>
      </c>
      <c r="C2647">
        <v>1</v>
      </c>
      <c r="D2647">
        <v>1</v>
      </c>
      <c r="E2647" t="s">
        <v>22</v>
      </c>
      <c r="F2647" t="s">
        <v>4506</v>
      </c>
      <c r="G2647" t="s">
        <v>4507</v>
      </c>
      <c r="H2647">
        <v>0.80100000000000005</v>
      </c>
      <c r="I2647" t="s">
        <v>21</v>
      </c>
    </row>
    <row r="2648" spans="1:9" x14ac:dyDescent="0.3">
      <c r="A2648">
        <v>53</v>
      </c>
      <c r="B2648">
        <v>3</v>
      </c>
      <c r="C2648">
        <v>1</v>
      </c>
      <c r="D2648">
        <v>2</v>
      </c>
      <c r="E2648" t="s">
        <v>9</v>
      </c>
      <c r="F2648" t="s">
        <v>4508</v>
      </c>
      <c r="G2648" t="s">
        <v>4509</v>
      </c>
      <c r="H2648">
        <v>2.8519999999999999</v>
      </c>
      <c r="I2648" t="s">
        <v>12</v>
      </c>
    </row>
    <row r="2649" spans="1:9" x14ac:dyDescent="0.3">
      <c r="A2649">
        <v>53</v>
      </c>
      <c r="B2649">
        <v>3</v>
      </c>
      <c r="C2649">
        <v>1</v>
      </c>
      <c r="D2649">
        <v>2</v>
      </c>
      <c r="E2649" t="s">
        <v>9</v>
      </c>
      <c r="F2649" t="s">
        <v>4510</v>
      </c>
      <c r="G2649" t="s">
        <v>4511</v>
      </c>
      <c r="H2649">
        <v>1.9339999999999999</v>
      </c>
      <c r="I2649" t="s">
        <v>12</v>
      </c>
    </row>
    <row r="2650" spans="1:9" x14ac:dyDescent="0.3">
      <c r="A2650">
        <v>53</v>
      </c>
      <c r="B2650">
        <v>3</v>
      </c>
      <c r="C2650">
        <v>1</v>
      </c>
      <c r="D2650">
        <v>2</v>
      </c>
      <c r="E2650" t="s">
        <v>9</v>
      </c>
      <c r="F2650" t="s">
        <v>4512</v>
      </c>
      <c r="G2650" t="s">
        <v>4513</v>
      </c>
      <c r="H2650">
        <v>6.8339999999999996</v>
      </c>
      <c r="I2650" t="s">
        <v>12</v>
      </c>
    </row>
    <row r="2651" spans="1:9" x14ac:dyDescent="0.3">
      <c r="A2651">
        <v>53</v>
      </c>
      <c r="B2651">
        <v>3</v>
      </c>
      <c r="C2651">
        <v>1</v>
      </c>
      <c r="D2651">
        <v>2</v>
      </c>
      <c r="E2651" t="s">
        <v>9</v>
      </c>
      <c r="F2651" t="s">
        <v>4514</v>
      </c>
      <c r="G2651" t="s">
        <v>4515</v>
      </c>
      <c r="H2651">
        <v>3.4860000000000002</v>
      </c>
      <c r="I2651" t="s">
        <v>12</v>
      </c>
    </row>
    <row r="2652" spans="1:9" x14ac:dyDescent="0.3">
      <c r="A2652">
        <v>53</v>
      </c>
      <c r="B2652">
        <v>3</v>
      </c>
      <c r="C2652">
        <v>1</v>
      </c>
      <c r="D2652">
        <v>2</v>
      </c>
      <c r="E2652" t="s">
        <v>22</v>
      </c>
      <c r="F2652" t="s">
        <v>4516</v>
      </c>
      <c r="G2652" t="s">
        <v>4517</v>
      </c>
      <c r="H2652">
        <v>1.367</v>
      </c>
      <c r="I2652" t="s">
        <v>21</v>
      </c>
    </row>
    <row r="2653" spans="1:9" x14ac:dyDescent="0.3">
      <c r="A2653">
        <v>53</v>
      </c>
      <c r="B2653">
        <v>3</v>
      </c>
      <c r="C2653">
        <v>1</v>
      </c>
      <c r="D2653">
        <v>2</v>
      </c>
      <c r="E2653" t="s">
        <v>22</v>
      </c>
      <c r="F2653" t="s">
        <v>4518</v>
      </c>
      <c r="G2653" t="s">
        <v>4519</v>
      </c>
      <c r="H2653">
        <v>1.335</v>
      </c>
      <c r="I2653" t="s">
        <v>21</v>
      </c>
    </row>
    <row r="2654" spans="1:9" x14ac:dyDescent="0.3">
      <c r="A2654">
        <v>53</v>
      </c>
      <c r="B2654">
        <v>3</v>
      </c>
      <c r="C2654">
        <v>1</v>
      </c>
      <c r="D2654">
        <v>2</v>
      </c>
      <c r="E2654" t="s">
        <v>19</v>
      </c>
      <c r="F2654" t="s">
        <v>4520</v>
      </c>
      <c r="I2654" t="s">
        <v>21</v>
      </c>
    </row>
    <row r="2655" spans="1:9" x14ac:dyDescent="0.3">
      <c r="A2655">
        <v>53</v>
      </c>
      <c r="B2655">
        <v>3</v>
      </c>
      <c r="C2655">
        <v>1</v>
      </c>
      <c r="D2655">
        <v>3</v>
      </c>
      <c r="E2655" t="s">
        <v>9</v>
      </c>
      <c r="F2655" t="s">
        <v>4521</v>
      </c>
      <c r="G2655" t="s">
        <v>4522</v>
      </c>
      <c r="H2655">
        <v>1.552</v>
      </c>
      <c r="I2655" t="s">
        <v>12</v>
      </c>
    </row>
    <row r="2656" spans="1:9" x14ac:dyDescent="0.3">
      <c r="A2656">
        <v>53</v>
      </c>
      <c r="B2656">
        <v>3</v>
      </c>
      <c r="C2656">
        <v>1</v>
      </c>
      <c r="D2656">
        <v>3</v>
      </c>
      <c r="E2656" t="s">
        <v>9</v>
      </c>
      <c r="F2656" t="s">
        <v>4523</v>
      </c>
      <c r="G2656" t="s">
        <v>4524</v>
      </c>
      <c r="H2656">
        <v>0.95299999999999996</v>
      </c>
      <c r="I2656" t="s">
        <v>12</v>
      </c>
    </row>
    <row r="2657" spans="1:9" x14ac:dyDescent="0.3">
      <c r="A2657">
        <v>53</v>
      </c>
      <c r="B2657">
        <v>3</v>
      </c>
      <c r="C2657">
        <v>1</v>
      </c>
      <c r="D2657">
        <v>3</v>
      </c>
      <c r="E2657" t="s">
        <v>9</v>
      </c>
      <c r="F2657" t="s">
        <v>4525</v>
      </c>
      <c r="G2657" t="s">
        <v>4526</v>
      </c>
      <c r="H2657">
        <v>2.3340000000000001</v>
      </c>
      <c r="I2657" t="s">
        <v>12</v>
      </c>
    </row>
    <row r="2658" spans="1:9" x14ac:dyDescent="0.3">
      <c r="A2658">
        <v>53</v>
      </c>
      <c r="B2658">
        <v>3</v>
      </c>
      <c r="C2658">
        <v>1</v>
      </c>
      <c r="D2658">
        <v>3</v>
      </c>
      <c r="E2658" t="s">
        <v>22</v>
      </c>
      <c r="F2658" t="s">
        <v>4527</v>
      </c>
      <c r="G2658" t="s">
        <v>4528</v>
      </c>
      <c r="H2658">
        <v>0.93500000000000005</v>
      </c>
      <c r="I2658" t="s">
        <v>21</v>
      </c>
    </row>
    <row r="2659" spans="1:9" x14ac:dyDescent="0.3">
      <c r="A2659">
        <v>53</v>
      </c>
      <c r="B2659">
        <v>3</v>
      </c>
      <c r="C2659">
        <v>1</v>
      </c>
      <c r="D2659">
        <v>3</v>
      </c>
      <c r="E2659" t="s">
        <v>9</v>
      </c>
      <c r="F2659" t="s">
        <v>4529</v>
      </c>
      <c r="G2659" t="s">
        <v>4530</v>
      </c>
      <c r="H2659">
        <v>6.0990000000000002</v>
      </c>
      <c r="I2659" t="s">
        <v>12</v>
      </c>
    </row>
    <row r="2660" spans="1:9" x14ac:dyDescent="0.3">
      <c r="A2660">
        <v>53</v>
      </c>
      <c r="B2660">
        <v>3</v>
      </c>
      <c r="C2660">
        <v>1</v>
      </c>
      <c r="D2660">
        <v>3</v>
      </c>
      <c r="E2660" t="s">
        <v>22</v>
      </c>
      <c r="F2660" t="s">
        <v>4531</v>
      </c>
      <c r="G2660" t="s">
        <v>4532</v>
      </c>
      <c r="H2660">
        <v>1.3009999999999999</v>
      </c>
      <c r="I2660" t="s">
        <v>21</v>
      </c>
    </row>
    <row r="2661" spans="1:9" x14ac:dyDescent="0.3">
      <c r="A2661">
        <v>53</v>
      </c>
      <c r="B2661">
        <v>3</v>
      </c>
      <c r="C2661">
        <v>1</v>
      </c>
      <c r="D2661">
        <v>3</v>
      </c>
      <c r="E2661" t="s">
        <v>19</v>
      </c>
      <c r="F2661" t="s">
        <v>4533</v>
      </c>
      <c r="I2661" t="s">
        <v>21</v>
      </c>
    </row>
    <row r="2662" spans="1:9" x14ac:dyDescent="0.3">
      <c r="A2662">
        <v>53</v>
      </c>
      <c r="B2662">
        <v>3</v>
      </c>
      <c r="C2662">
        <v>1</v>
      </c>
      <c r="D2662">
        <v>4</v>
      </c>
      <c r="E2662" t="s">
        <v>9</v>
      </c>
      <c r="F2662" t="s">
        <v>4534</v>
      </c>
      <c r="G2662" t="s">
        <v>4535</v>
      </c>
      <c r="H2662">
        <v>1.653</v>
      </c>
      <c r="I2662" t="s">
        <v>12</v>
      </c>
    </row>
    <row r="2663" spans="1:9" x14ac:dyDescent="0.3">
      <c r="A2663">
        <v>53</v>
      </c>
      <c r="B2663">
        <v>3</v>
      </c>
      <c r="C2663">
        <v>1</v>
      </c>
      <c r="D2663">
        <v>4</v>
      </c>
      <c r="E2663" t="s">
        <v>9</v>
      </c>
      <c r="F2663" t="s">
        <v>4536</v>
      </c>
      <c r="G2663" t="s">
        <v>4537</v>
      </c>
      <c r="H2663">
        <v>1.119</v>
      </c>
      <c r="I2663" t="s">
        <v>12</v>
      </c>
    </row>
    <row r="2664" spans="1:9" x14ac:dyDescent="0.3">
      <c r="A2664">
        <v>53</v>
      </c>
      <c r="B2664">
        <v>3</v>
      </c>
      <c r="C2664">
        <v>1</v>
      </c>
      <c r="D2664">
        <v>4</v>
      </c>
      <c r="E2664" t="s">
        <v>22</v>
      </c>
      <c r="F2664" t="s">
        <v>4538</v>
      </c>
      <c r="G2664" t="s">
        <v>4539</v>
      </c>
      <c r="H2664">
        <v>0.73299999999999998</v>
      </c>
      <c r="I2664" t="s">
        <v>21</v>
      </c>
    </row>
    <row r="2665" spans="1:9" x14ac:dyDescent="0.3">
      <c r="A2665">
        <v>53</v>
      </c>
      <c r="B2665">
        <v>3</v>
      </c>
      <c r="C2665">
        <v>1</v>
      </c>
      <c r="D2665">
        <v>4</v>
      </c>
      <c r="E2665" t="s">
        <v>19</v>
      </c>
      <c r="F2665" t="s">
        <v>4540</v>
      </c>
      <c r="I2665" t="s">
        <v>34</v>
      </c>
    </row>
    <row r="2666" spans="1:9" x14ac:dyDescent="0.3">
      <c r="A2666">
        <v>53</v>
      </c>
      <c r="B2666">
        <v>3</v>
      </c>
      <c r="C2666">
        <v>1</v>
      </c>
      <c r="D2666">
        <v>4</v>
      </c>
      <c r="E2666" t="s">
        <v>19</v>
      </c>
      <c r="F2666" t="s">
        <v>4541</v>
      </c>
      <c r="I2666" t="s">
        <v>34</v>
      </c>
    </row>
    <row r="2667" spans="1:9" x14ac:dyDescent="0.3">
      <c r="A2667">
        <v>53</v>
      </c>
      <c r="B2667">
        <v>3</v>
      </c>
      <c r="C2667">
        <v>1</v>
      </c>
      <c r="D2667">
        <v>4</v>
      </c>
      <c r="E2667" t="s">
        <v>9</v>
      </c>
      <c r="F2667" t="s">
        <v>4542</v>
      </c>
      <c r="G2667" t="s">
        <v>4543</v>
      </c>
      <c r="H2667">
        <v>1.268</v>
      </c>
      <c r="I2667" t="s">
        <v>12</v>
      </c>
    </row>
    <row r="2668" spans="1:9" x14ac:dyDescent="0.3">
      <c r="A2668">
        <v>53</v>
      </c>
      <c r="B2668">
        <v>3</v>
      </c>
      <c r="C2668">
        <v>1</v>
      </c>
      <c r="D2668">
        <v>4</v>
      </c>
      <c r="E2668" t="s">
        <v>9</v>
      </c>
      <c r="F2668" t="s">
        <v>4544</v>
      </c>
      <c r="G2668" t="s">
        <v>4545</v>
      </c>
      <c r="H2668">
        <v>1.335</v>
      </c>
      <c r="I2668" t="s">
        <v>12</v>
      </c>
    </row>
    <row r="2669" spans="1:9" x14ac:dyDescent="0.3">
      <c r="A2669">
        <v>53</v>
      </c>
      <c r="B2669">
        <v>3</v>
      </c>
      <c r="C2669">
        <v>1</v>
      </c>
      <c r="D2669">
        <v>5</v>
      </c>
      <c r="E2669" t="s">
        <v>9</v>
      </c>
      <c r="F2669" t="s">
        <v>4546</v>
      </c>
      <c r="G2669" t="s">
        <v>4547</v>
      </c>
      <c r="H2669">
        <v>0.95299999999999996</v>
      </c>
      <c r="I2669" t="s">
        <v>12</v>
      </c>
    </row>
    <row r="2670" spans="1:9" x14ac:dyDescent="0.3">
      <c r="A2670">
        <v>53</v>
      </c>
      <c r="B2670">
        <v>3</v>
      </c>
      <c r="C2670">
        <v>1</v>
      </c>
      <c r="D2670">
        <v>5</v>
      </c>
      <c r="E2670" t="s">
        <v>9</v>
      </c>
      <c r="F2670" t="s">
        <v>4548</v>
      </c>
      <c r="G2670" t="s">
        <v>4549</v>
      </c>
      <c r="H2670">
        <v>1.419</v>
      </c>
      <c r="I2670" t="s">
        <v>12</v>
      </c>
    </row>
    <row r="2671" spans="1:9" x14ac:dyDescent="0.3">
      <c r="A2671">
        <v>53</v>
      </c>
      <c r="B2671">
        <v>3</v>
      </c>
      <c r="C2671">
        <v>1</v>
      </c>
      <c r="D2671">
        <v>5</v>
      </c>
      <c r="E2671" t="s">
        <v>9</v>
      </c>
      <c r="F2671" t="s">
        <v>4550</v>
      </c>
      <c r="G2671" t="s">
        <v>4551</v>
      </c>
      <c r="H2671">
        <v>2.3679999999999999</v>
      </c>
      <c r="I2671" t="s">
        <v>12</v>
      </c>
    </row>
    <row r="2672" spans="1:9" x14ac:dyDescent="0.3">
      <c r="A2672">
        <v>53</v>
      </c>
      <c r="B2672">
        <v>3</v>
      </c>
      <c r="C2672">
        <v>1</v>
      </c>
      <c r="D2672">
        <v>5</v>
      </c>
      <c r="E2672" t="s">
        <v>22</v>
      </c>
      <c r="F2672" t="s">
        <v>4552</v>
      </c>
      <c r="G2672" t="s">
        <v>4553</v>
      </c>
      <c r="H2672">
        <v>1.3009999999999999</v>
      </c>
      <c r="I2672" t="s">
        <v>21</v>
      </c>
    </row>
    <row r="2673" spans="1:9" x14ac:dyDescent="0.3">
      <c r="A2673">
        <v>53</v>
      </c>
      <c r="B2673">
        <v>3</v>
      </c>
      <c r="C2673">
        <v>1</v>
      </c>
      <c r="D2673">
        <v>5</v>
      </c>
      <c r="E2673" t="s">
        <v>19</v>
      </c>
      <c r="F2673" t="s">
        <v>4554</v>
      </c>
      <c r="I2673" t="s">
        <v>21</v>
      </c>
    </row>
    <row r="2674" spans="1:9" x14ac:dyDescent="0.3">
      <c r="A2674">
        <v>53</v>
      </c>
      <c r="B2674">
        <v>3</v>
      </c>
      <c r="C2674">
        <v>1</v>
      </c>
      <c r="D2674">
        <v>5</v>
      </c>
      <c r="E2674" t="s">
        <v>9</v>
      </c>
      <c r="F2674" t="s">
        <v>4555</v>
      </c>
      <c r="G2674" t="s">
        <v>4556</v>
      </c>
      <c r="H2674">
        <v>2.7669999999999999</v>
      </c>
      <c r="I2674" t="s">
        <v>12</v>
      </c>
    </row>
    <row r="2675" spans="1:9" x14ac:dyDescent="0.3">
      <c r="A2675">
        <v>53</v>
      </c>
      <c r="B2675">
        <v>3</v>
      </c>
      <c r="C2675">
        <v>1</v>
      </c>
      <c r="D2675">
        <v>5</v>
      </c>
      <c r="E2675" t="s">
        <v>22</v>
      </c>
      <c r="F2675" t="s">
        <v>4557</v>
      </c>
      <c r="G2675" t="s">
        <v>4558</v>
      </c>
      <c r="H2675">
        <v>3.101</v>
      </c>
      <c r="I2675" t="s">
        <v>21</v>
      </c>
    </row>
    <row r="2676" spans="1:9" x14ac:dyDescent="0.3">
      <c r="A2676">
        <v>53</v>
      </c>
      <c r="B2676">
        <v>3</v>
      </c>
      <c r="C2676">
        <v>1</v>
      </c>
      <c r="D2676">
        <v>5</v>
      </c>
      <c r="E2676" t="s">
        <v>19</v>
      </c>
      <c r="F2676" t="s">
        <v>4559</v>
      </c>
      <c r="I2676" t="s">
        <v>21</v>
      </c>
    </row>
    <row r="2677" spans="1:9" x14ac:dyDescent="0.3">
      <c r="A2677">
        <v>53</v>
      </c>
      <c r="B2677">
        <v>3</v>
      </c>
      <c r="C2677">
        <v>2</v>
      </c>
      <c r="D2677">
        <v>1</v>
      </c>
      <c r="E2677" t="s">
        <v>9</v>
      </c>
      <c r="F2677" t="s">
        <v>4560</v>
      </c>
      <c r="G2677" t="s">
        <v>4561</v>
      </c>
      <c r="H2677">
        <v>1.0860000000000001</v>
      </c>
      <c r="I2677" t="s">
        <v>12</v>
      </c>
    </row>
    <row r="2678" spans="1:9" x14ac:dyDescent="0.3">
      <c r="A2678">
        <v>53</v>
      </c>
      <c r="B2678">
        <v>3</v>
      </c>
      <c r="C2678">
        <v>2</v>
      </c>
      <c r="D2678">
        <v>1</v>
      </c>
      <c r="E2678" t="s">
        <v>9</v>
      </c>
      <c r="F2678" t="s">
        <v>4562</v>
      </c>
      <c r="G2678" t="s">
        <v>4563</v>
      </c>
      <c r="H2678">
        <v>0.85399999999999998</v>
      </c>
      <c r="I2678" t="s">
        <v>12</v>
      </c>
    </row>
    <row r="2679" spans="1:9" x14ac:dyDescent="0.3">
      <c r="A2679">
        <v>53</v>
      </c>
      <c r="B2679">
        <v>3</v>
      </c>
      <c r="C2679">
        <v>2</v>
      </c>
      <c r="D2679">
        <v>1</v>
      </c>
      <c r="E2679" t="s">
        <v>22</v>
      </c>
      <c r="F2679" t="s">
        <v>4564</v>
      </c>
      <c r="G2679" t="s">
        <v>4565</v>
      </c>
      <c r="H2679">
        <v>0.70099999999999996</v>
      </c>
      <c r="I2679" t="s">
        <v>21</v>
      </c>
    </row>
    <row r="2680" spans="1:9" x14ac:dyDescent="0.3">
      <c r="A2680">
        <v>53</v>
      </c>
      <c r="B2680">
        <v>3</v>
      </c>
      <c r="C2680">
        <v>2</v>
      </c>
      <c r="D2680">
        <v>1</v>
      </c>
      <c r="E2680" t="s">
        <v>9</v>
      </c>
      <c r="F2680" t="s">
        <v>4566</v>
      </c>
      <c r="G2680" t="s">
        <v>4567</v>
      </c>
      <c r="H2680">
        <v>0.76800000000000002</v>
      </c>
      <c r="I2680" t="s">
        <v>12</v>
      </c>
    </row>
    <row r="2681" spans="1:9" x14ac:dyDescent="0.3">
      <c r="A2681">
        <v>53</v>
      </c>
      <c r="B2681">
        <v>3</v>
      </c>
      <c r="C2681">
        <v>2</v>
      </c>
      <c r="D2681">
        <v>1</v>
      </c>
      <c r="E2681" t="s">
        <v>22</v>
      </c>
      <c r="F2681" t="s">
        <v>4568</v>
      </c>
      <c r="G2681" t="s">
        <v>4569</v>
      </c>
      <c r="H2681">
        <v>0.76800000000000002</v>
      </c>
      <c r="I2681" t="s">
        <v>21</v>
      </c>
    </row>
    <row r="2682" spans="1:9" x14ac:dyDescent="0.3">
      <c r="A2682">
        <v>53</v>
      </c>
      <c r="B2682">
        <v>3</v>
      </c>
      <c r="C2682">
        <v>2</v>
      </c>
      <c r="D2682">
        <v>1</v>
      </c>
      <c r="E2682" t="s">
        <v>9</v>
      </c>
      <c r="F2682" t="s">
        <v>4570</v>
      </c>
      <c r="G2682" t="s">
        <v>4571</v>
      </c>
      <c r="H2682">
        <v>1.3009999999999999</v>
      </c>
      <c r="I2682" t="s">
        <v>12</v>
      </c>
    </row>
    <row r="2683" spans="1:9" x14ac:dyDescent="0.3">
      <c r="A2683">
        <v>53</v>
      </c>
      <c r="B2683">
        <v>3</v>
      </c>
      <c r="C2683">
        <v>2</v>
      </c>
      <c r="D2683">
        <v>1</v>
      </c>
      <c r="E2683" t="s">
        <v>19</v>
      </c>
      <c r="F2683" t="s">
        <v>4572</v>
      </c>
      <c r="I2683" t="s">
        <v>21</v>
      </c>
    </row>
    <row r="2684" spans="1:9" x14ac:dyDescent="0.3">
      <c r="A2684">
        <v>53</v>
      </c>
      <c r="B2684">
        <v>3</v>
      </c>
      <c r="C2684">
        <v>2</v>
      </c>
      <c r="D2684">
        <v>1</v>
      </c>
      <c r="E2684" t="s">
        <v>19</v>
      </c>
      <c r="F2684" t="s">
        <v>4573</v>
      </c>
      <c r="I2684" t="s">
        <v>21</v>
      </c>
    </row>
    <row r="2685" spans="1:9" x14ac:dyDescent="0.3">
      <c r="A2685">
        <v>53</v>
      </c>
      <c r="B2685">
        <v>3</v>
      </c>
      <c r="C2685">
        <v>2</v>
      </c>
      <c r="D2685">
        <v>2</v>
      </c>
      <c r="E2685" t="s">
        <v>9</v>
      </c>
      <c r="F2685" t="s">
        <v>4574</v>
      </c>
      <c r="G2685" t="s">
        <v>4575</v>
      </c>
      <c r="H2685">
        <v>1.3859999999999999</v>
      </c>
      <c r="I2685" t="s">
        <v>12</v>
      </c>
    </row>
    <row r="2686" spans="1:9" x14ac:dyDescent="0.3">
      <c r="A2686">
        <v>53</v>
      </c>
      <c r="B2686">
        <v>3</v>
      </c>
      <c r="C2686">
        <v>2</v>
      </c>
      <c r="D2686">
        <v>2</v>
      </c>
      <c r="E2686" t="s">
        <v>9</v>
      </c>
      <c r="F2686" t="s">
        <v>4576</v>
      </c>
      <c r="G2686" t="s">
        <v>4577</v>
      </c>
      <c r="H2686">
        <v>1.119</v>
      </c>
      <c r="I2686" t="s">
        <v>12</v>
      </c>
    </row>
    <row r="2687" spans="1:9" x14ac:dyDescent="0.3">
      <c r="A2687">
        <v>53</v>
      </c>
      <c r="B2687">
        <v>3</v>
      </c>
      <c r="C2687">
        <v>2</v>
      </c>
      <c r="D2687">
        <v>2</v>
      </c>
      <c r="E2687" t="s">
        <v>9</v>
      </c>
      <c r="F2687" t="s">
        <v>4578</v>
      </c>
      <c r="G2687" t="s">
        <v>4579</v>
      </c>
      <c r="H2687">
        <v>0.9</v>
      </c>
      <c r="I2687" t="s">
        <v>12</v>
      </c>
    </row>
    <row r="2688" spans="1:9" x14ac:dyDescent="0.3">
      <c r="A2688">
        <v>53</v>
      </c>
      <c r="B2688">
        <v>3</v>
      </c>
      <c r="C2688">
        <v>2</v>
      </c>
      <c r="D2688">
        <v>2</v>
      </c>
      <c r="E2688" t="s">
        <v>22</v>
      </c>
      <c r="F2688" t="s">
        <v>4580</v>
      </c>
      <c r="G2688" t="s">
        <v>4581</v>
      </c>
      <c r="H2688">
        <v>0.60099999999999998</v>
      </c>
      <c r="I2688" t="s">
        <v>21</v>
      </c>
    </row>
    <row r="2689" spans="1:9" x14ac:dyDescent="0.3">
      <c r="A2689">
        <v>53</v>
      </c>
      <c r="B2689">
        <v>3</v>
      </c>
      <c r="C2689">
        <v>2</v>
      </c>
      <c r="D2689">
        <v>2</v>
      </c>
      <c r="E2689" t="s">
        <v>19</v>
      </c>
      <c r="F2689" t="s">
        <v>4582</v>
      </c>
      <c r="I2689" t="s">
        <v>21</v>
      </c>
    </row>
    <row r="2690" spans="1:9" x14ac:dyDescent="0.3">
      <c r="A2690">
        <v>53</v>
      </c>
      <c r="B2690">
        <v>3</v>
      </c>
      <c r="C2690">
        <v>2</v>
      </c>
      <c r="D2690">
        <v>2</v>
      </c>
      <c r="E2690" t="s">
        <v>9</v>
      </c>
      <c r="F2690" t="s">
        <v>4583</v>
      </c>
      <c r="G2690" t="s">
        <v>4584</v>
      </c>
      <c r="H2690">
        <v>1</v>
      </c>
      <c r="I2690" t="s">
        <v>12</v>
      </c>
    </row>
    <row r="2691" spans="1:9" x14ac:dyDescent="0.3">
      <c r="A2691">
        <v>53</v>
      </c>
      <c r="B2691">
        <v>3</v>
      </c>
      <c r="C2691">
        <v>2</v>
      </c>
      <c r="D2691">
        <v>2</v>
      </c>
      <c r="E2691" t="s">
        <v>22</v>
      </c>
      <c r="F2691" t="s">
        <v>4585</v>
      </c>
      <c r="G2691" t="s">
        <v>4586</v>
      </c>
      <c r="H2691">
        <v>0.33400000000000002</v>
      </c>
      <c r="I2691" t="s">
        <v>21</v>
      </c>
    </row>
    <row r="2692" spans="1:9" x14ac:dyDescent="0.3">
      <c r="A2692">
        <v>53</v>
      </c>
      <c r="B2692">
        <v>3</v>
      </c>
      <c r="C2692">
        <v>2</v>
      </c>
      <c r="D2692">
        <v>2</v>
      </c>
      <c r="E2692" t="s">
        <v>19</v>
      </c>
      <c r="F2692" t="s">
        <v>4587</v>
      </c>
      <c r="I2692" t="s">
        <v>21</v>
      </c>
    </row>
    <row r="2693" spans="1:9" x14ac:dyDescent="0.3">
      <c r="A2693">
        <v>53</v>
      </c>
      <c r="B2693">
        <v>3</v>
      </c>
      <c r="C2693">
        <v>3</v>
      </c>
      <c r="D2693">
        <v>1</v>
      </c>
      <c r="E2693" t="s">
        <v>9</v>
      </c>
      <c r="F2693" t="s">
        <v>4588</v>
      </c>
      <c r="G2693" t="s">
        <v>4589</v>
      </c>
      <c r="H2693">
        <v>0.91900000000000004</v>
      </c>
      <c r="I2693" t="s">
        <v>12</v>
      </c>
    </row>
    <row r="2694" spans="1:9" x14ac:dyDescent="0.3">
      <c r="A2694">
        <v>53</v>
      </c>
      <c r="B2694">
        <v>3</v>
      </c>
      <c r="C2694">
        <v>3</v>
      </c>
      <c r="D2694">
        <v>1</v>
      </c>
      <c r="E2694" t="s">
        <v>9</v>
      </c>
      <c r="F2694" t="s">
        <v>4590</v>
      </c>
      <c r="G2694" t="s">
        <v>4591</v>
      </c>
      <c r="H2694">
        <v>0.98599999999999999</v>
      </c>
      <c r="I2694" t="s">
        <v>12</v>
      </c>
    </row>
    <row r="2695" spans="1:9" x14ac:dyDescent="0.3">
      <c r="A2695">
        <v>53</v>
      </c>
      <c r="B2695">
        <v>3</v>
      </c>
      <c r="C2695">
        <v>3</v>
      </c>
      <c r="D2695">
        <v>1</v>
      </c>
      <c r="E2695" t="s">
        <v>9</v>
      </c>
      <c r="F2695" t="s">
        <v>4592</v>
      </c>
      <c r="G2695" t="s">
        <v>4593</v>
      </c>
      <c r="H2695">
        <v>0.93500000000000005</v>
      </c>
      <c r="I2695" t="s">
        <v>12</v>
      </c>
    </row>
    <row r="2696" spans="1:9" x14ac:dyDescent="0.3">
      <c r="A2696">
        <v>53</v>
      </c>
      <c r="B2696">
        <v>3</v>
      </c>
      <c r="C2696">
        <v>3</v>
      </c>
      <c r="D2696">
        <v>1</v>
      </c>
      <c r="E2696" t="s">
        <v>22</v>
      </c>
      <c r="F2696" t="s">
        <v>4594</v>
      </c>
      <c r="G2696" t="s">
        <v>4595</v>
      </c>
      <c r="H2696">
        <v>0.83399999999999996</v>
      </c>
      <c r="I2696" t="s">
        <v>21</v>
      </c>
    </row>
    <row r="2697" spans="1:9" x14ac:dyDescent="0.3">
      <c r="A2697">
        <v>53</v>
      </c>
      <c r="B2697">
        <v>3</v>
      </c>
      <c r="C2697">
        <v>3</v>
      </c>
      <c r="D2697">
        <v>1</v>
      </c>
      <c r="E2697" t="s">
        <v>19</v>
      </c>
      <c r="F2697" t="s">
        <v>4596</v>
      </c>
      <c r="I2697" t="s">
        <v>21</v>
      </c>
    </row>
    <row r="2698" spans="1:9" x14ac:dyDescent="0.3">
      <c r="A2698">
        <v>53</v>
      </c>
      <c r="B2698">
        <v>3</v>
      </c>
      <c r="C2698">
        <v>3</v>
      </c>
      <c r="D2698">
        <v>1</v>
      </c>
      <c r="E2698" t="s">
        <v>9</v>
      </c>
      <c r="F2698" t="s">
        <v>4597</v>
      </c>
      <c r="G2698" t="s">
        <v>4598</v>
      </c>
      <c r="H2698">
        <v>1.133</v>
      </c>
      <c r="I2698" t="s">
        <v>12</v>
      </c>
    </row>
    <row r="2699" spans="1:9" x14ac:dyDescent="0.3">
      <c r="A2699">
        <v>53</v>
      </c>
      <c r="B2699">
        <v>3</v>
      </c>
      <c r="C2699">
        <v>3</v>
      </c>
      <c r="D2699">
        <v>1</v>
      </c>
      <c r="E2699" t="s">
        <v>22</v>
      </c>
      <c r="F2699" t="s">
        <v>4599</v>
      </c>
      <c r="G2699" t="s">
        <v>4600</v>
      </c>
      <c r="H2699">
        <v>0.73499999999999999</v>
      </c>
      <c r="I2699" t="s">
        <v>21</v>
      </c>
    </row>
    <row r="2700" spans="1:9" x14ac:dyDescent="0.3">
      <c r="A2700">
        <v>53</v>
      </c>
      <c r="B2700">
        <v>3</v>
      </c>
      <c r="C2700">
        <v>3</v>
      </c>
      <c r="D2700">
        <v>1</v>
      </c>
      <c r="E2700" t="s">
        <v>19</v>
      </c>
      <c r="F2700" t="s">
        <v>4601</v>
      </c>
      <c r="I2700" t="s">
        <v>21</v>
      </c>
    </row>
    <row r="2701" spans="1:9" x14ac:dyDescent="0.3">
      <c r="A2701">
        <v>5</v>
      </c>
      <c r="B2701">
        <v>1</v>
      </c>
      <c r="C2701">
        <v>1</v>
      </c>
      <c r="D2701">
        <v>1</v>
      </c>
      <c r="E2701" t="s">
        <v>9</v>
      </c>
      <c r="F2701" t="s">
        <v>4602</v>
      </c>
      <c r="G2701" t="s">
        <v>4603</v>
      </c>
      <c r="H2701">
        <v>2.7509999999999999</v>
      </c>
      <c r="I2701" t="s">
        <v>12</v>
      </c>
    </row>
    <row r="2702" spans="1:9" x14ac:dyDescent="0.3">
      <c r="A2702">
        <v>5</v>
      </c>
      <c r="B2702">
        <v>1</v>
      </c>
      <c r="C2702">
        <v>1</v>
      </c>
      <c r="D2702">
        <v>2</v>
      </c>
      <c r="E2702" t="s">
        <v>9</v>
      </c>
      <c r="F2702" t="s">
        <v>4604</v>
      </c>
      <c r="G2702" t="s">
        <v>4605</v>
      </c>
      <c r="H2702">
        <v>3.8530000000000002</v>
      </c>
      <c r="I2702" t="s">
        <v>12</v>
      </c>
    </row>
    <row r="2703" spans="1:9" x14ac:dyDescent="0.3">
      <c r="A2703">
        <v>5</v>
      </c>
      <c r="B2703">
        <v>1</v>
      </c>
      <c r="C2703">
        <v>1</v>
      </c>
      <c r="D2703">
        <v>3</v>
      </c>
      <c r="E2703" t="s">
        <v>9</v>
      </c>
      <c r="F2703" t="s">
        <v>4606</v>
      </c>
      <c r="G2703" t="s">
        <v>4607</v>
      </c>
      <c r="H2703">
        <v>2.419</v>
      </c>
      <c r="I2703" t="s">
        <v>12</v>
      </c>
    </row>
    <row r="2704" spans="1:9" x14ac:dyDescent="0.3">
      <c r="A2704">
        <v>5</v>
      </c>
      <c r="B2704">
        <v>1</v>
      </c>
      <c r="C2704">
        <v>1</v>
      </c>
      <c r="D2704">
        <v>3</v>
      </c>
      <c r="E2704" t="s">
        <v>9</v>
      </c>
      <c r="F2704" t="s">
        <v>4608</v>
      </c>
      <c r="G2704" t="s">
        <v>4609</v>
      </c>
      <c r="H2704">
        <v>1.82</v>
      </c>
      <c r="I2704" t="s">
        <v>12</v>
      </c>
    </row>
    <row r="2705" spans="1:9" x14ac:dyDescent="0.3">
      <c r="A2705">
        <v>5</v>
      </c>
      <c r="B2705">
        <v>1</v>
      </c>
      <c r="C2705">
        <v>1</v>
      </c>
      <c r="D2705">
        <v>3</v>
      </c>
      <c r="E2705" t="s">
        <v>9</v>
      </c>
      <c r="F2705" t="s">
        <v>4610</v>
      </c>
      <c r="H2705" t="s">
        <v>81</v>
      </c>
      <c r="I2705" t="s">
        <v>34</v>
      </c>
    </row>
    <row r="2706" spans="1:9" x14ac:dyDescent="0.3">
      <c r="A2706">
        <v>5</v>
      </c>
      <c r="B2706">
        <v>1</v>
      </c>
      <c r="C2706">
        <v>1</v>
      </c>
      <c r="D2706">
        <v>3</v>
      </c>
      <c r="E2706" t="s">
        <v>9</v>
      </c>
      <c r="F2706" t="s">
        <v>4611</v>
      </c>
      <c r="G2706" t="s">
        <v>4612</v>
      </c>
      <c r="H2706">
        <v>2.0339999999999998</v>
      </c>
      <c r="I2706" t="s">
        <v>12</v>
      </c>
    </row>
    <row r="2707" spans="1:9" x14ac:dyDescent="0.3">
      <c r="A2707">
        <v>5</v>
      </c>
      <c r="B2707">
        <v>1</v>
      </c>
      <c r="C2707">
        <v>1</v>
      </c>
      <c r="D2707">
        <v>3</v>
      </c>
      <c r="E2707" t="s">
        <v>22</v>
      </c>
      <c r="F2707" t="s">
        <v>4613</v>
      </c>
      <c r="G2707" t="s">
        <v>4614</v>
      </c>
      <c r="H2707">
        <v>0.96699999999999997</v>
      </c>
      <c r="I2707" t="s">
        <v>21</v>
      </c>
    </row>
    <row r="2708" spans="1:9" x14ac:dyDescent="0.3">
      <c r="A2708">
        <v>5</v>
      </c>
      <c r="B2708">
        <v>1</v>
      </c>
      <c r="C2708">
        <v>1</v>
      </c>
      <c r="D2708">
        <v>3</v>
      </c>
      <c r="E2708" t="s">
        <v>19</v>
      </c>
      <c r="F2708" t="s">
        <v>4615</v>
      </c>
      <c r="I2708" t="s">
        <v>34</v>
      </c>
    </row>
    <row r="2709" spans="1:9" x14ac:dyDescent="0.3">
      <c r="A2709">
        <v>5</v>
      </c>
      <c r="B2709">
        <v>1</v>
      </c>
      <c r="C2709">
        <v>1</v>
      </c>
      <c r="D2709">
        <v>3</v>
      </c>
      <c r="E2709" t="s">
        <v>22</v>
      </c>
      <c r="F2709" t="s">
        <v>4616</v>
      </c>
      <c r="G2709" t="s">
        <v>4617</v>
      </c>
      <c r="H2709">
        <v>0.90200000000000002</v>
      </c>
      <c r="I2709" t="s">
        <v>21</v>
      </c>
    </row>
    <row r="2710" spans="1:9" x14ac:dyDescent="0.3">
      <c r="A2710">
        <v>5</v>
      </c>
      <c r="B2710">
        <v>1</v>
      </c>
      <c r="C2710">
        <v>1</v>
      </c>
      <c r="D2710">
        <v>3</v>
      </c>
      <c r="E2710" t="s">
        <v>19</v>
      </c>
      <c r="F2710" t="s">
        <v>4618</v>
      </c>
      <c r="I2710" t="s">
        <v>34</v>
      </c>
    </row>
    <row r="2711" spans="1:9" x14ac:dyDescent="0.3">
      <c r="A2711">
        <v>5</v>
      </c>
      <c r="B2711">
        <v>1</v>
      </c>
      <c r="C2711">
        <v>1</v>
      </c>
      <c r="D2711">
        <v>4</v>
      </c>
      <c r="E2711" t="s">
        <v>9</v>
      </c>
      <c r="F2711" t="s">
        <v>4619</v>
      </c>
      <c r="G2711" t="s">
        <v>4620</v>
      </c>
      <c r="H2711">
        <v>0.98499999999999999</v>
      </c>
      <c r="I2711" t="s">
        <v>12</v>
      </c>
    </row>
    <row r="2712" spans="1:9" x14ac:dyDescent="0.3">
      <c r="A2712">
        <v>5</v>
      </c>
      <c r="B2712">
        <v>1</v>
      </c>
      <c r="C2712">
        <v>1</v>
      </c>
      <c r="D2712">
        <v>4</v>
      </c>
      <c r="E2712" t="s">
        <v>9</v>
      </c>
      <c r="F2712" t="s">
        <v>4621</v>
      </c>
      <c r="G2712" t="s">
        <v>4622</v>
      </c>
      <c r="H2712">
        <v>0.78500000000000003</v>
      </c>
      <c r="I2712" t="s">
        <v>12</v>
      </c>
    </row>
    <row r="2713" spans="1:9" x14ac:dyDescent="0.3">
      <c r="A2713">
        <v>5</v>
      </c>
      <c r="B2713">
        <v>1</v>
      </c>
      <c r="C2713">
        <v>1</v>
      </c>
      <c r="D2713">
        <v>4</v>
      </c>
      <c r="E2713" t="s">
        <v>22</v>
      </c>
      <c r="F2713" t="s">
        <v>4623</v>
      </c>
      <c r="G2713" t="s">
        <v>4624</v>
      </c>
      <c r="H2713">
        <v>1.101</v>
      </c>
      <c r="I2713" t="s">
        <v>21</v>
      </c>
    </row>
    <row r="2714" spans="1:9" x14ac:dyDescent="0.3">
      <c r="A2714">
        <v>5</v>
      </c>
      <c r="B2714">
        <v>1</v>
      </c>
      <c r="C2714">
        <v>1</v>
      </c>
      <c r="D2714">
        <v>4</v>
      </c>
      <c r="E2714" t="s">
        <v>22</v>
      </c>
      <c r="F2714" t="s">
        <v>4625</v>
      </c>
      <c r="G2714" t="s">
        <v>4626</v>
      </c>
      <c r="H2714">
        <v>0.8</v>
      </c>
      <c r="I2714" t="s">
        <v>21</v>
      </c>
    </row>
    <row r="2715" spans="1:9" x14ac:dyDescent="0.3">
      <c r="A2715">
        <v>5</v>
      </c>
      <c r="B2715">
        <v>1</v>
      </c>
      <c r="C2715">
        <v>1</v>
      </c>
      <c r="D2715">
        <v>4</v>
      </c>
      <c r="E2715" t="s">
        <v>19</v>
      </c>
      <c r="F2715" t="s">
        <v>4627</v>
      </c>
      <c r="I2715" t="s">
        <v>34</v>
      </c>
    </row>
    <row r="2716" spans="1:9" x14ac:dyDescent="0.3">
      <c r="A2716">
        <v>5</v>
      </c>
      <c r="B2716">
        <v>1</v>
      </c>
      <c r="C2716">
        <v>1</v>
      </c>
      <c r="D2716">
        <v>4</v>
      </c>
      <c r="E2716" t="s">
        <v>9</v>
      </c>
      <c r="F2716" t="s">
        <v>4628</v>
      </c>
      <c r="G2716" t="s">
        <v>4629</v>
      </c>
      <c r="H2716">
        <v>0.86699999999999999</v>
      </c>
      <c r="I2716" t="s">
        <v>12</v>
      </c>
    </row>
    <row r="2717" spans="1:9" x14ac:dyDescent="0.3">
      <c r="A2717">
        <v>5</v>
      </c>
      <c r="B2717">
        <v>1</v>
      </c>
      <c r="C2717">
        <v>1</v>
      </c>
      <c r="D2717">
        <v>4</v>
      </c>
      <c r="E2717" t="s">
        <v>9</v>
      </c>
      <c r="F2717" t="s">
        <v>4630</v>
      </c>
      <c r="G2717" t="s">
        <v>4631</v>
      </c>
      <c r="H2717">
        <v>0.96799999999999997</v>
      </c>
      <c r="I2717" t="s">
        <v>12</v>
      </c>
    </row>
    <row r="2718" spans="1:9" x14ac:dyDescent="0.3">
      <c r="A2718">
        <v>5</v>
      </c>
      <c r="B2718">
        <v>1</v>
      </c>
      <c r="C2718">
        <v>1</v>
      </c>
      <c r="D2718">
        <v>4</v>
      </c>
      <c r="E2718" t="s">
        <v>19</v>
      </c>
      <c r="F2718" t="s">
        <v>4632</v>
      </c>
      <c r="I2718" t="s">
        <v>34</v>
      </c>
    </row>
    <row r="2719" spans="1:9" x14ac:dyDescent="0.3">
      <c r="A2719">
        <v>5</v>
      </c>
      <c r="B2719">
        <v>1</v>
      </c>
      <c r="C2719">
        <v>1</v>
      </c>
      <c r="D2719">
        <v>5</v>
      </c>
      <c r="E2719" t="s">
        <v>9</v>
      </c>
      <c r="F2719" t="s">
        <v>4633</v>
      </c>
      <c r="G2719" t="s">
        <v>4634</v>
      </c>
      <c r="H2719">
        <v>2.1520000000000001</v>
      </c>
      <c r="I2719" t="s">
        <v>12</v>
      </c>
    </row>
    <row r="2720" spans="1:9" x14ac:dyDescent="0.3">
      <c r="A2720">
        <v>5</v>
      </c>
      <c r="B2720">
        <v>1</v>
      </c>
      <c r="C2720">
        <v>1</v>
      </c>
      <c r="D2720">
        <v>5</v>
      </c>
      <c r="E2720" t="s">
        <v>9</v>
      </c>
      <c r="F2720" t="s">
        <v>4635</v>
      </c>
      <c r="G2720" t="s">
        <v>4636</v>
      </c>
      <c r="H2720">
        <v>1.968</v>
      </c>
      <c r="I2720" t="s">
        <v>12</v>
      </c>
    </row>
    <row r="2721" spans="1:9" x14ac:dyDescent="0.3">
      <c r="A2721">
        <v>5</v>
      </c>
      <c r="B2721">
        <v>1</v>
      </c>
      <c r="C2721">
        <v>1</v>
      </c>
      <c r="D2721">
        <v>5</v>
      </c>
      <c r="E2721" t="s">
        <v>19</v>
      </c>
      <c r="F2721" t="s">
        <v>4637</v>
      </c>
      <c r="I2721" t="s">
        <v>34</v>
      </c>
    </row>
    <row r="2722" spans="1:9" x14ac:dyDescent="0.3">
      <c r="A2722">
        <v>5</v>
      </c>
      <c r="B2722">
        <v>1</v>
      </c>
      <c r="C2722">
        <v>1</v>
      </c>
      <c r="D2722">
        <v>5</v>
      </c>
      <c r="E2722" t="s">
        <v>9</v>
      </c>
      <c r="F2722" t="s">
        <v>4638</v>
      </c>
      <c r="G2722" t="s">
        <v>4639</v>
      </c>
      <c r="H2722">
        <v>1.6180000000000001</v>
      </c>
      <c r="I2722" t="s">
        <v>12</v>
      </c>
    </row>
    <row r="2723" spans="1:9" x14ac:dyDescent="0.3">
      <c r="A2723">
        <v>5</v>
      </c>
      <c r="B2723">
        <v>1</v>
      </c>
      <c r="C2723">
        <v>1</v>
      </c>
      <c r="D2723">
        <v>5</v>
      </c>
      <c r="E2723" t="s">
        <v>9</v>
      </c>
      <c r="F2723" t="s">
        <v>4640</v>
      </c>
      <c r="G2723" t="s">
        <v>4641</v>
      </c>
      <c r="H2723">
        <v>1.9339999999999999</v>
      </c>
      <c r="I2723" t="s">
        <v>12</v>
      </c>
    </row>
    <row r="2724" spans="1:9" x14ac:dyDescent="0.3">
      <c r="A2724">
        <v>5</v>
      </c>
      <c r="B2724">
        <v>1</v>
      </c>
      <c r="C2724">
        <v>1</v>
      </c>
      <c r="D2724">
        <v>5</v>
      </c>
      <c r="E2724" t="s">
        <v>19</v>
      </c>
      <c r="F2724" t="s">
        <v>4642</v>
      </c>
      <c r="I2724" t="s">
        <v>34</v>
      </c>
    </row>
    <row r="2725" spans="1:9" x14ac:dyDescent="0.3">
      <c r="A2725">
        <v>5</v>
      </c>
      <c r="B2725">
        <v>1</v>
      </c>
      <c r="C2725">
        <v>2</v>
      </c>
      <c r="D2725">
        <v>1</v>
      </c>
      <c r="E2725" t="s">
        <v>22</v>
      </c>
      <c r="F2725" t="s">
        <v>4643</v>
      </c>
      <c r="G2725" t="s">
        <v>4644</v>
      </c>
      <c r="H2725">
        <v>0.98499999999999999</v>
      </c>
      <c r="I2725" t="s">
        <v>21</v>
      </c>
    </row>
    <row r="2726" spans="1:9" x14ac:dyDescent="0.3">
      <c r="A2726">
        <v>5</v>
      </c>
      <c r="B2726">
        <v>1</v>
      </c>
      <c r="C2726">
        <v>2</v>
      </c>
      <c r="D2726">
        <v>1</v>
      </c>
      <c r="E2726" t="s">
        <v>22</v>
      </c>
      <c r="F2726" t="s">
        <v>4645</v>
      </c>
      <c r="G2726" t="s">
        <v>4646</v>
      </c>
      <c r="H2726">
        <v>1.635</v>
      </c>
      <c r="I2726" t="s">
        <v>21</v>
      </c>
    </row>
    <row r="2727" spans="1:9" x14ac:dyDescent="0.3">
      <c r="A2727">
        <v>5</v>
      </c>
      <c r="B2727">
        <v>1</v>
      </c>
      <c r="C2727">
        <v>2</v>
      </c>
      <c r="D2727">
        <v>1</v>
      </c>
      <c r="E2727" t="s">
        <v>9</v>
      </c>
      <c r="F2727" t="s">
        <v>4647</v>
      </c>
      <c r="G2727" t="s">
        <v>4648</v>
      </c>
      <c r="H2727">
        <v>2.0009999999999999</v>
      </c>
      <c r="I2727" t="s">
        <v>12</v>
      </c>
    </row>
    <row r="2728" spans="1:9" x14ac:dyDescent="0.3">
      <c r="A2728">
        <v>5</v>
      </c>
      <c r="B2728">
        <v>1</v>
      </c>
      <c r="C2728">
        <v>2</v>
      </c>
      <c r="D2728">
        <v>1</v>
      </c>
      <c r="E2728" t="s">
        <v>9</v>
      </c>
      <c r="F2728" t="s">
        <v>4649</v>
      </c>
      <c r="G2728" t="s">
        <v>4650</v>
      </c>
      <c r="H2728">
        <v>2.319</v>
      </c>
      <c r="I2728" t="s">
        <v>12</v>
      </c>
    </row>
    <row r="2729" spans="1:9" x14ac:dyDescent="0.3">
      <c r="A2729">
        <v>5</v>
      </c>
      <c r="B2729">
        <v>1</v>
      </c>
      <c r="C2729">
        <v>2</v>
      </c>
      <c r="D2729">
        <v>1</v>
      </c>
      <c r="E2729" t="s">
        <v>9</v>
      </c>
      <c r="F2729" t="s">
        <v>4651</v>
      </c>
      <c r="G2729" t="s">
        <v>4652</v>
      </c>
      <c r="H2729">
        <v>2.601</v>
      </c>
      <c r="I2729" t="s">
        <v>12</v>
      </c>
    </row>
    <row r="2730" spans="1:9" x14ac:dyDescent="0.3">
      <c r="A2730">
        <v>5</v>
      </c>
      <c r="B2730">
        <v>1</v>
      </c>
      <c r="C2730">
        <v>2</v>
      </c>
      <c r="D2730">
        <v>1</v>
      </c>
      <c r="E2730" t="s">
        <v>19</v>
      </c>
      <c r="F2730" t="s">
        <v>4653</v>
      </c>
      <c r="I2730" t="s">
        <v>34</v>
      </c>
    </row>
    <row r="2731" spans="1:9" x14ac:dyDescent="0.3">
      <c r="A2731">
        <v>5</v>
      </c>
      <c r="B2731">
        <v>1</v>
      </c>
      <c r="C2731">
        <v>2</v>
      </c>
      <c r="D2731">
        <v>1</v>
      </c>
      <c r="E2731" t="s">
        <v>9</v>
      </c>
      <c r="F2731" t="s">
        <v>4654</v>
      </c>
      <c r="G2731" t="s">
        <v>4655</v>
      </c>
      <c r="H2731">
        <v>1.9670000000000001</v>
      </c>
      <c r="I2731" t="s">
        <v>12</v>
      </c>
    </row>
    <row r="2732" spans="1:9" x14ac:dyDescent="0.3">
      <c r="A2732">
        <v>5</v>
      </c>
      <c r="B2732">
        <v>1</v>
      </c>
      <c r="C2732">
        <v>2</v>
      </c>
      <c r="D2732">
        <v>2</v>
      </c>
      <c r="E2732" t="s">
        <v>22</v>
      </c>
      <c r="F2732" t="s">
        <v>4656</v>
      </c>
      <c r="G2732" t="s">
        <v>4657</v>
      </c>
      <c r="H2732">
        <v>1.5509999999999999</v>
      </c>
      <c r="I2732" t="s">
        <v>21</v>
      </c>
    </row>
    <row r="2733" spans="1:9" x14ac:dyDescent="0.3">
      <c r="A2733">
        <v>5</v>
      </c>
      <c r="B2733">
        <v>1</v>
      </c>
      <c r="C2733">
        <v>2</v>
      </c>
      <c r="D2733">
        <v>2</v>
      </c>
      <c r="E2733" t="s">
        <v>22</v>
      </c>
      <c r="F2733" t="s">
        <v>4658</v>
      </c>
      <c r="G2733" t="s">
        <v>4659</v>
      </c>
      <c r="H2733">
        <v>1.135</v>
      </c>
      <c r="I2733" t="s">
        <v>21</v>
      </c>
    </row>
    <row r="2734" spans="1:9" x14ac:dyDescent="0.3">
      <c r="A2734">
        <v>5</v>
      </c>
      <c r="B2734">
        <v>1</v>
      </c>
      <c r="C2734">
        <v>2</v>
      </c>
      <c r="D2734">
        <v>2</v>
      </c>
      <c r="E2734" t="s">
        <v>9</v>
      </c>
      <c r="F2734" t="s">
        <v>4660</v>
      </c>
      <c r="H2734" t="s">
        <v>81</v>
      </c>
      <c r="I2734" t="s">
        <v>34</v>
      </c>
    </row>
    <row r="2735" spans="1:9" x14ac:dyDescent="0.3">
      <c r="A2735">
        <v>5</v>
      </c>
      <c r="B2735">
        <v>1</v>
      </c>
      <c r="C2735">
        <v>2</v>
      </c>
      <c r="D2735">
        <v>2</v>
      </c>
      <c r="E2735" t="s">
        <v>9</v>
      </c>
      <c r="F2735" t="s">
        <v>4661</v>
      </c>
      <c r="G2735" t="s">
        <v>4662</v>
      </c>
      <c r="H2735">
        <v>3.4670000000000001</v>
      </c>
      <c r="I2735" t="s">
        <v>12</v>
      </c>
    </row>
    <row r="2736" spans="1:9" x14ac:dyDescent="0.3">
      <c r="A2736">
        <v>5</v>
      </c>
      <c r="B2736">
        <v>1</v>
      </c>
      <c r="C2736">
        <v>2</v>
      </c>
      <c r="D2736">
        <v>2</v>
      </c>
      <c r="E2736" t="s">
        <v>19</v>
      </c>
      <c r="F2736" t="s">
        <v>4663</v>
      </c>
      <c r="I2736" t="s">
        <v>21</v>
      </c>
    </row>
    <row r="2737" spans="1:9" x14ac:dyDescent="0.3">
      <c r="A2737">
        <v>5</v>
      </c>
      <c r="B2737">
        <v>1</v>
      </c>
      <c r="C2737">
        <v>2</v>
      </c>
      <c r="D2737">
        <v>2</v>
      </c>
      <c r="E2737" t="s">
        <v>9</v>
      </c>
      <c r="F2737" t="s">
        <v>4664</v>
      </c>
      <c r="G2737" t="s">
        <v>4665</v>
      </c>
      <c r="H2737">
        <v>2.9340000000000002</v>
      </c>
      <c r="I2737" t="s">
        <v>12</v>
      </c>
    </row>
    <row r="2738" spans="1:9" x14ac:dyDescent="0.3">
      <c r="A2738">
        <v>5</v>
      </c>
      <c r="B2738">
        <v>1</v>
      </c>
      <c r="C2738">
        <v>2</v>
      </c>
      <c r="D2738">
        <v>2</v>
      </c>
      <c r="E2738" t="s">
        <v>9</v>
      </c>
      <c r="F2738" t="s">
        <v>4666</v>
      </c>
      <c r="H2738" t="s">
        <v>81</v>
      </c>
      <c r="I2738" t="s">
        <v>34</v>
      </c>
    </row>
    <row r="2739" spans="1:9" x14ac:dyDescent="0.3">
      <c r="A2739">
        <v>65</v>
      </c>
      <c r="B2739">
        <v>1</v>
      </c>
      <c r="C2739">
        <v>1</v>
      </c>
      <c r="D2739">
        <v>1</v>
      </c>
      <c r="E2739" t="s">
        <v>9</v>
      </c>
      <c r="F2739" t="s">
        <v>4667</v>
      </c>
      <c r="G2739" t="s">
        <v>4668</v>
      </c>
      <c r="H2739">
        <v>4.42</v>
      </c>
      <c r="I2739" t="s">
        <v>12</v>
      </c>
    </row>
    <row r="2740" spans="1:9" x14ac:dyDescent="0.3">
      <c r="A2740">
        <v>65</v>
      </c>
      <c r="B2740">
        <v>1</v>
      </c>
      <c r="C2740">
        <v>1</v>
      </c>
      <c r="D2740">
        <v>1</v>
      </c>
      <c r="E2740" t="s">
        <v>9</v>
      </c>
      <c r="F2740" t="s">
        <v>4669</v>
      </c>
      <c r="G2740" t="s">
        <v>4670</v>
      </c>
      <c r="H2740">
        <v>3.6190000000000002</v>
      </c>
      <c r="I2740" t="s">
        <v>12</v>
      </c>
    </row>
    <row r="2741" spans="1:9" x14ac:dyDescent="0.3">
      <c r="A2741">
        <v>65</v>
      </c>
      <c r="B2741">
        <v>1</v>
      </c>
      <c r="C2741">
        <v>1</v>
      </c>
      <c r="D2741">
        <v>1</v>
      </c>
      <c r="E2741" t="s">
        <v>22</v>
      </c>
      <c r="F2741" t="s">
        <v>4671</v>
      </c>
      <c r="G2741" t="s">
        <v>4672</v>
      </c>
      <c r="H2741">
        <v>2.1669999999999998</v>
      </c>
      <c r="I2741" t="s">
        <v>21</v>
      </c>
    </row>
    <row r="2742" spans="1:9" x14ac:dyDescent="0.3">
      <c r="A2742">
        <v>65</v>
      </c>
      <c r="B2742">
        <v>1</v>
      </c>
      <c r="C2742">
        <v>1</v>
      </c>
      <c r="D2742">
        <v>1</v>
      </c>
      <c r="E2742" t="s">
        <v>9</v>
      </c>
      <c r="F2742" t="s">
        <v>5380</v>
      </c>
      <c r="G2742" t="s">
        <v>5381</v>
      </c>
      <c r="H2742">
        <v>3.1339999999999999</v>
      </c>
      <c r="I2742" t="s">
        <v>12</v>
      </c>
    </row>
    <row r="2743" spans="1:9" x14ac:dyDescent="0.3">
      <c r="A2743">
        <v>6</v>
      </c>
      <c r="B2743">
        <v>1</v>
      </c>
      <c r="C2743">
        <v>1</v>
      </c>
      <c r="D2743">
        <v>1</v>
      </c>
      <c r="E2743" t="s">
        <v>9</v>
      </c>
      <c r="F2743" t="s">
        <v>4673</v>
      </c>
      <c r="G2743" t="s">
        <v>4674</v>
      </c>
      <c r="H2743">
        <v>8.4149999999999991</v>
      </c>
      <c r="I2743" t="s">
        <v>12</v>
      </c>
    </row>
    <row r="2744" spans="1:9" x14ac:dyDescent="0.3">
      <c r="A2744">
        <v>6</v>
      </c>
      <c r="B2744">
        <v>1</v>
      </c>
      <c r="C2744">
        <v>1</v>
      </c>
      <c r="D2744">
        <v>3</v>
      </c>
      <c r="E2744" t="s">
        <v>9</v>
      </c>
      <c r="F2744" t="s">
        <v>4675</v>
      </c>
      <c r="G2744" t="s">
        <v>4676</v>
      </c>
      <c r="H2744">
        <v>2.0859999999999999</v>
      </c>
      <c r="I2744" t="s">
        <v>12</v>
      </c>
    </row>
    <row r="2745" spans="1:9" x14ac:dyDescent="0.3">
      <c r="A2745">
        <v>6</v>
      </c>
      <c r="B2745">
        <v>1</v>
      </c>
      <c r="C2745">
        <v>1</v>
      </c>
      <c r="D2745">
        <v>4</v>
      </c>
      <c r="E2745" t="s">
        <v>9</v>
      </c>
      <c r="F2745" t="s">
        <v>4677</v>
      </c>
      <c r="G2745" t="s">
        <v>4678</v>
      </c>
      <c r="H2745">
        <v>4.5679999999999996</v>
      </c>
      <c r="I2745" t="s">
        <v>12</v>
      </c>
    </row>
    <row r="2746" spans="1:9" x14ac:dyDescent="0.3">
      <c r="A2746">
        <v>6</v>
      </c>
      <c r="B2746">
        <v>1</v>
      </c>
      <c r="C2746">
        <v>1</v>
      </c>
      <c r="D2746">
        <v>5</v>
      </c>
      <c r="E2746" t="s">
        <v>9</v>
      </c>
      <c r="F2746" t="s">
        <v>4679</v>
      </c>
      <c r="G2746" t="s">
        <v>4680</v>
      </c>
      <c r="H2746">
        <v>3.069</v>
      </c>
      <c r="I2746" t="s">
        <v>12</v>
      </c>
    </row>
    <row r="2747" spans="1:9" x14ac:dyDescent="0.3">
      <c r="A2747">
        <v>6</v>
      </c>
      <c r="B2747">
        <v>1</v>
      </c>
      <c r="C2747">
        <v>1</v>
      </c>
      <c r="D2747">
        <v>7</v>
      </c>
      <c r="E2747" t="s">
        <v>9</v>
      </c>
      <c r="F2747" t="s">
        <v>4681</v>
      </c>
      <c r="G2747" t="s">
        <v>4682</v>
      </c>
      <c r="H2747">
        <v>4.2640000000000002</v>
      </c>
      <c r="I2747" t="s">
        <v>12</v>
      </c>
    </row>
    <row r="2748" spans="1:9" x14ac:dyDescent="0.3">
      <c r="A2748">
        <v>6</v>
      </c>
      <c r="B2748">
        <v>1</v>
      </c>
      <c r="C2748">
        <v>1</v>
      </c>
      <c r="D2748">
        <v>7</v>
      </c>
      <c r="E2748" t="s">
        <v>9</v>
      </c>
      <c r="F2748" t="s">
        <v>4683</v>
      </c>
      <c r="G2748" t="s">
        <v>4684</v>
      </c>
      <c r="H2748">
        <v>3.504</v>
      </c>
      <c r="I2748" t="s">
        <v>12</v>
      </c>
    </row>
    <row r="2749" spans="1:9" x14ac:dyDescent="0.3">
      <c r="A2749">
        <v>6</v>
      </c>
      <c r="B2749">
        <v>1</v>
      </c>
      <c r="C2749">
        <v>1</v>
      </c>
      <c r="D2749">
        <v>7</v>
      </c>
      <c r="E2749" t="s">
        <v>22</v>
      </c>
      <c r="F2749" t="s">
        <v>4685</v>
      </c>
      <c r="G2749" t="s">
        <v>4686</v>
      </c>
      <c r="H2749">
        <v>4.3010000000000002</v>
      </c>
      <c r="I2749" t="s">
        <v>21</v>
      </c>
    </row>
    <row r="2750" spans="1:9" x14ac:dyDescent="0.3">
      <c r="A2750">
        <v>6</v>
      </c>
      <c r="B2750">
        <v>1</v>
      </c>
      <c r="C2750">
        <v>1</v>
      </c>
      <c r="D2750">
        <v>7</v>
      </c>
      <c r="E2750" t="s">
        <v>22</v>
      </c>
      <c r="F2750" t="s">
        <v>4687</v>
      </c>
      <c r="G2750" t="s">
        <v>4688</v>
      </c>
      <c r="H2750">
        <v>3.1019999999999999</v>
      </c>
      <c r="I2750" t="s">
        <v>21</v>
      </c>
    </row>
    <row r="2751" spans="1:9" x14ac:dyDescent="0.3">
      <c r="A2751">
        <v>6</v>
      </c>
      <c r="B2751">
        <v>1</v>
      </c>
      <c r="C2751">
        <v>1</v>
      </c>
      <c r="D2751">
        <v>7</v>
      </c>
      <c r="E2751" t="s">
        <v>19</v>
      </c>
      <c r="F2751" t="s">
        <v>4689</v>
      </c>
      <c r="I2751" t="s">
        <v>34</v>
      </c>
    </row>
    <row r="2752" spans="1:9" x14ac:dyDescent="0.3">
      <c r="A2752">
        <v>6</v>
      </c>
      <c r="B2752">
        <v>1</v>
      </c>
      <c r="C2752">
        <v>1</v>
      </c>
      <c r="D2752">
        <v>7</v>
      </c>
      <c r="E2752" t="s">
        <v>9</v>
      </c>
      <c r="F2752" t="s">
        <v>4690</v>
      </c>
      <c r="G2752" t="s">
        <v>4691</v>
      </c>
      <c r="H2752">
        <v>5.5330000000000004</v>
      </c>
      <c r="I2752" t="s">
        <v>12</v>
      </c>
    </row>
    <row r="2753" spans="1:9" x14ac:dyDescent="0.3">
      <c r="A2753">
        <v>6</v>
      </c>
      <c r="B2753">
        <v>1</v>
      </c>
      <c r="C2753">
        <v>1</v>
      </c>
      <c r="D2753">
        <v>7</v>
      </c>
      <c r="E2753" t="s">
        <v>9</v>
      </c>
      <c r="F2753" t="s">
        <v>4692</v>
      </c>
      <c r="G2753" t="s">
        <v>4693</v>
      </c>
      <c r="H2753">
        <v>3.8010000000000002</v>
      </c>
      <c r="I2753" t="s">
        <v>12</v>
      </c>
    </row>
    <row r="2754" spans="1:9" x14ac:dyDescent="0.3">
      <c r="A2754">
        <v>6</v>
      </c>
      <c r="B2754">
        <v>1</v>
      </c>
      <c r="C2754">
        <v>1</v>
      </c>
      <c r="D2754">
        <v>8</v>
      </c>
      <c r="E2754" t="s">
        <v>9</v>
      </c>
      <c r="F2754" t="s">
        <v>4694</v>
      </c>
      <c r="G2754" t="s">
        <v>4695</v>
      </c>
      <c r="H2754">
        <v>2.2000000000000002</v>
      </c>
      <c r="I2754" t="s">
        <v>12</v>
      </c>
    </row>
    <row r="2755" spans="1:9" x14ac:dyDescent="0.3">
      <c r="A2755">
        <v>6</v>
      </c>
      <c r="B2755">
        <v>1</v>
      </c>
      <c r="C2755">
        <v>1</v>
      </c>
      <c r="D2755">
        <v>8</v>
      </c>
      <c r="E2755" t="s">
        <v>9</v>
      </c>
      <c r="F2755" t="s">
        <v>4696</v>
      </c>
      <c r="G2755" t="s">
        <v>4697</v>
      </c>
      <c r="H2755">
        <v>6.5350000000000001</v>
      </c>
      <c r="I2755" t="s">
        <v>12</v>
      </c>
    </row>
    <row r="2756" spans="1:9" x14ac:dyDescent="0.3">
      <c r="A2756">
        <v>6</v>
      </c>
      <c r="B2756">
        <v>1</v>
      </c>
      <c r="C2756">
        <v>1</v>
      </c>
      <c r="D2756">
        <v>8</v>
      </c>
      <c r="E2756" t="s">
        <v>9</v>
      </c>
      <c r="F2756" t="s">
        <v>4698</v>
      </c>
      <c r="G2756" t="s">
        <v>4699</v>
      </c>
      <c r="H2756">
        <v>5.37</v>
      </c>
      <c r="I2756" t="s">
        <v>12</v>
      </c>
    </row>
    <row r="2757" spans="1:9" x14ac:dyDescent="0.3">
      <c r="A2757">
        <v>6</v>
      </c>
      <c r="B2757">
        <v>1</v>
      </c>
      <c r="C2757">
        <v>1</v>
      </c>
      <c r="D2757">
        <v>8</v>
      </c>
      <c r="E2757" t="s">
        <v>19</v>
      </c>
      <c r="F2757" t="s">
        <v>4700</v>
      </c>
      <c r="I2757" t="s">
        <v>21</v>
      </c>
    </row>
    <row r="2758" spans="1:9" x14ac:dyDescent="0.3">
      <c r="A2758">
        <v>6</v>
      </c>
      <c r="B2758">
        <v>1</v>
      </c>
      <c r="C2758">
        <v>1</v>
      </c>
      <c r="D2758">
        <v>8</v>
      </c>
      <c r="E2758" t="s">
        <v>9</v>
      </c>
      <c r="F2758" t="s">
        <v>4701</v>
      </c>
      <c r="G2758" t="s">
        <v>4702</v>
      </c>
      <c r="H2758">
        <v>5.367</v>
      </c>
      <c r="I2758" t="s">
        <v>12</v>
      </c>
    </row>
    <row r="2759" spans="1:9" x14ac:dyDescent="0.3">
      <c r="A2759">
        <v>6</v>
      </c>
      <c r="B2759">
        <v>1</v>
      </c>
      <c r="C2759">
        <v>1</v>
      </c>
      <c r="D2759">
        <v>8</v>
      </c>
      <c r="E2759" t="s">
        <v>22</v>
      </c>
      <c r="F2759" t="s">
        <v>4703</v>
      </c>
      <c r="G2759" t="s">
        <v>4704</v>
      </c>
      <c r="H2759">
        <v>3.9329999999999998</v>
      </c>
      <c r="I2759" t="s">
        <v>21</v>
      </c>
    </row>
    <row r="2760" spans="1:9" x14ac:dyDescent="0.3">
      <c r="A2760">
        <v>6</v>
      </c>
      <c r="B2760">
        <v>1</v>
      </c>
      <c r="C2760">
        <v>1</v>
      </c>
      <c r="D2760">
        <v>8</v>
      </c>
      <c r="E2760" t="s">
        <v>19</v>
      </c>
      <c r="F2760" t="s">
        <v>4705</v>
      </c>
      <c r="I2760" t="s">
        <v>34</v>
      </c>
    </row>
    <row r="2761" spans="1:9" x14ac:dyDescent="0.3">
      <c r="A2761">
        <v>6</v>
      </c>
      <c r="B2761">
        <v>1</v>
      </c>
      <c r="C2761">
        <v>1</v>
      </c>
      <c r="D2761">
        <v>8</v>
      </c>
      <c r="E2761" t="s">
        <v>19</v>
      </c>
      <c r="F2761" t="s">
        <v>4706</v>
      </c>
      <c r="I2761" t="s">
        <v>21</v>
      </c>
    </row>
    <row r="2762" spans="1:9" x14ac:dyDescent="0.3">
      <c r="A2762">
        <v>6</v>
      </c>
      <c r="B2762">
        <v>1</v>
      </c>
      <c r="C2762">
        <v>1</v>
      </c>
      <c r="D2762">
        <v>9</v>
      </c>
      <c r="E2762" t="s">
        <v>22</v>
      </c>
      <c r="F2762" t="s">
        <v>4707</v>
      </c>
      <c r="G2762" t="s">
        <v>4708</v>
      </c>
      <c r="H2762">
        <v>2.472</v>
      </c>
      <c r="I2762" t="s">
        <v>21</v>
      </c>
    </row>
    <row r="2763" spans="1:9" x14ac:dyDescent="0.3">
      <c r="A2763">
        <v>6</v>
      </c>
      <c r="B2763">
        <v>1</v>
      </c>
      <c r="C2763">
        <v>1</v>
      </c>
      <c r="D2763">
        <v>9</v>
      </c>
      <c r="E2763" t="s">
        <v>9</v>
      </c>
      <c r="F2763" t="s">
        <v>4709</v>
      </c>
      <c r="G2763" t="s">
        <v>4710</v>
      </c>
      <c r="H2763">
        <v>4.2690000000000001</v>
      </c>
      <c r="I2763" t="s">
        <v>12</v>
      </c>
    </row>
    <row r="2764" spans="1:9" x14ac:dyDescent="0.3">
      <c r="A2764">
        <v>6</v>
      </c>
      <c r="B2764">
        <v>1</v>
      </c>
      <c r="C2764">
        <v>1</v>
      </c>
      <c r="D2764">
        <v>9</v>
      </c>
      <c r="E2764" t="s">
        <v>9</v>
      </c>
      <c r="F2764" t="s">
        <v>4711</v>
      </c>
      <c r="G2764" t="s">
        <v>4712</v>
      </c>
      <c r="H2764">
        <v>4.9039999999999999</v>
      </c>
      <c r="I2764" t="s">
        <v>12</v>
      </c>
    </row>
    <row r="2765" spans="1:9" x14ac:dyDescent="0.3">
      <c r="A2765">
        <v>6</v>
      </c>
      <c r="B2765">
        <v>1</v>
      </c>
      <c r="C2765">
        <v>1</v>
      </c>
      <c r="D2765">
        <v>9</v>
      </c>
      <c r="E2765" t="s">
        <v>9</v>
      </c>
      <c r="F2765" t="s">
        <v>4713</v>
      </c>
      <c r="G2765" t="s">
        <v>4714</v>
      </c>
      <c r="H2765">
        <v>6.27</v>
      </c>
      <c r="I2765" t="s">
        <v>12</v>
      </c>
    </row>
    <row r="2766" spans="1:9" x14ac:dyDescent="0.3">
      <c r="A2766">
        <v>6</v>
      </c>
      <c r="B2766">
        <v>2</v>
      </c>
      <c r="C2766">
        <v>1</v>
      </c>
      <c r="D2766">
        <v>1</v>
      </c>
      <c r="E2766" t="s">
        <v>22</v>
      </c>
      <c r="F2766" t="s">
        <v>4715</v>
      </c>
      <c r="G2766" t="s">
        <v>4716</v>
      </c>
      <c r="H2766">
        <v>6.734</v>
      </c>
      <c r="I2766" t="s">
        <v>21</v>
      </c>
    </row>
    <row r="2767" spans="1:9" x14ac:dyDescent="0.3">
      <c r="A2767">
        <v>6</v>
      </c>
      <c r="B2767">
        <v>2</v>
      </c>
      <c r="C2767">
        <v>1</v>
      </c>
      <c r="D2767">
        <v>1</v>
      </c>
      <c r="E2767" t="s">
        <v>22</v>
      </c>
      <c r="F2767" t="s">
        <v>4717</v>
      </c>
      <c r="G2767" t="s">
        <v>4718</v>
      </c>
      <c r="H2767">
        <v>4.468</v>
      </c>
      <c r="I2767" t="s">
        <v>21</v>
      </c>
    </row>
    <row r="2768" spans="1:9" x14ac:dyDescent="0.3">
      <c r="A2768">
        <v>6</v>
      </c>
      <c r="B2768">
        <v>2</v>
      </c>
      <c r="C2768">
        <v>1</v>
      </c>
      <c r="D2768">
        <v>1</v>
      </c>
      <c r="E2768" t="s">
        <v>9</v>
      </c>
      <c r="F2768" t="s">
        <v>4719</v>
      </c>
      <c r="G2768" t="s">
        <v>4720</v>
      </c>
      <c r="H2768">
        <v>3.9340000000000002</v>
      </c>
      <c r="I2768" t="s">
        <v>12</v>
      </c>
    </row>
    <row r="2769" spans="1:9" x14ac:dyDescent="0.3">
      <c r="A2769">
        <v>6</v>
      </c>
      <c r="B2769">
        <v>2</v>
      </c>
      <c r="C2769">
        <v>1</v>
      </c>
      <c r="D2769">
        <v>1</v>
      </c>
      <c r="E2769" t="s">
        <v>19</v>
      </c>
      <c r="F2769" t="s">
        <v>4721</v>
      </c>
      <c r="I2769" t="s">
        <v>21</v>
      </c>
    </row>
    <row r="2770" spans="1:9" x14ac:dyDescent="0.3">
      <c r="A2770">
        <v>6</v>
      </c>
      <c r="B2770">
        <v>2</v>
      </c>
      <c r="C2770">
        <v>1</v>
      </c>
      <c r="D2770">
        <v>1</v>
      </c>
      <c r="E2770" t="s">
        <v>9</v>
      </c>
      <c r="F2770" t="s">
        <v>4722</v>
      </c>
      <c r="G2770" t="s">
        <v>4723</v>
      </c>
      <c r="H2770">
        <v>2.57</v>
      </c>
      <c r="I2770" t="s">
        <v>12</v>
      </c>
    </row>
    <row r="2771" spans="1:9" x14ac:dyDescent="0.3">
      <c r="A2771">
        <v>6</v>
      </c>
      <c r="B2771">
        <v>2</v>
      </c>
      <c r="C2771">
        <v>1</v>
      </c>
      <c r="D2771">
        <v>1</v>
      </c>
      <c r="E2771" t="s">
        <v>9</v>
      </c>
      <c r="F2771" t="s">
        <v>4724</v>
      </c>
      <c r="G2771" t="s">
        <v>4725</v>
      </c>
      <c r="H2771">
        <v>2.3679999999999999</v>
      </c>
      <c r="I2771" t="s">
        <v>12</v>
      </c>
    </row>
    <row r="2772" spans="1:9" x14ac:dyDescent="0.3">
      <c r="A2772">
        <v>6</v>
      </c>
      <c r="B2772">
        <v>2</v>
      </c>
      <c r="C2772">
        <v>1</v>
      </c>
      <c r="D2772">
        <v>1</v>
      </c>
      <c r="E2772" t="s">
        <v>9</v>
      </c>
      <c r="F2772" t="s">
        <v>4726</v>
      </c>
      <c r="G2772" t="s">
        <v>4727</v>
      </c>
      <c r="H2772">
        <v>2.7669999999999999</v>
      </c>
      <c r="I2772" t="s">
        <v>12</v>
      </c>
    </row>
    <row r="2773" spans="1:9" x14ac:dyDescent="0.3">
      <c r="A2773">
        <v>6</v>
      </c>
      <c r="B2773">
        <v>2</v>
      </c>
      <c r="C2773">
        <v>1</v>
      </c>
      <c r="D2773">
        <v>1</v>
      </c>
      <c r="E2773" t="s">
        <v>19</v>
      </c>
      <c r="F2773" t="s">
        <v>4728</v>
      </c>
      <c r="I2773" t="s">
        <v>21</v>
      </c>
    </row>
    <row r="2774" spans="1:9" x14ac:dyDescent="0.3">
      <c r="A2774">
        <v>6</v>
      </c>
      <c r="B2774">
        <v>2</v>
      </c>
      <c r="C2774">
        <v>1</v>
      </c>
      <c r="D2774">
        <v>2</v>
      </c>
      <c r="E2774" t="s">
        <v>22</v>
      </c>
      <c r="F2774" t="s">
        <v>4729</v>
      </c>
      <c r="G2774" t="s">
        <v>4730</v>
      </c>
      <c r="H2774">
        <v>4.6859999999999999</v>
      </c>
      <c r="I2774" t="s">
        <v>21</v>
      </c>
    </row>
    <row r="2775" spans="1:9" x14ac:dyDescent="0.3">
      <c r="A2775">
        <v>6</v>
      </c>
      <c r="B2775">
        <v>2</v>
      </c>
      <c r="C2775">
        <v>1</v>
      </c>
      <c r="D2775">
        <v>2</v>
      </c>
      <c r="E2775" t="s">
        <v>22</v>
      </c>
      <c r="F2775" t="s">
        <v>4731</v>
      </c>
      <c r="G2775" t="s">
        <v>4732</v>
      </c>
      <c r="H2775">
        <v>7.9009999999999998</v>
      </c>
      <c r="I2775" t="s">
        <v>21</v>
      </c>
    </row>
    <row r="2776" spans="1:9" x14ac:dyDescent="0.3">
      <c r="A2776">
        <v>6</v>
      </c>
      <c r="B2776">
        <v>2</v>
      </c>
      <c r="C2776">
        <v>1</v>
      </c>
      <c r="D2776">
        <v>2</v>
      </c>
      <c r="E2776" t="s">
        <v>9</v>
      </c>
      <c r="F2776" t="s">
        <v>4733</v>
      </c>
      <c r="G2776" t="s">
        <v>4734</v>
      </c>
      <c r="H2776">
        <v>2.036</v>
      </c>
      <c r="I2776" t="s">
        <v>12</v>
      </c>
    </row>
    <row r="2777" spans="1:9" x14ac:dyDescent="0.3">
      <c r="A2777">
        <v>6</v>
      </c>
      <c r="B2777">
        <v>2</v>
      </c>
      <c r="C2777">
        <v>1</v>
      </c>
      <c r="D2777">
        <v>2</v>
      </c>
      <c r="E2777" t="s">
        <v>19</v>
      </c>
      <c r="F2777" t="s">
        <v>4735</v>
      </c>
      <c r="I2777" t="s">
        <v>34</v>
      </c>
    </row>
    <row r="2778" spans="1:9" x14ac:dyDescent="0.3">
      <c r="A2778">
        <v>6</v>
      </c>
      <c r="B2778">
        <v>2</v>
      </c>
      <c r="C2778">
        <v>1</v>
      </c>
      <c r="D2778">
        <v>3</v>
      </c>
      <c r="E2778" t="s">
        <v>22</v>
      </c>
      <c r="F2778" t="s">
        <v>4736</v>
      </c>
      <c r="G2778" t="s">
        <v>4737</v>
      </c>
      <c r="H2778">
        <v>2.7370000000000001</v>
      </c>
      <c r="I2778" t="s">
        <v>21</v>
      </c>
    </row>
    <row r="2779" spans="1:9" x14ac:dyDescent="0.3">
      <c r="A2779">
        <v>6</v>
      </c>
      <c r="B2779">
        <v>2</v>
      </c>
      <c r="C2779">
        <v>1</v>
      </c>
      <c r="D2779">
        <v>3</v>
      </c>
      <c r="E2779" t="s">
        <v>22</v>
      </c>
      <c r="F2779" t="s">
        <v>4738</v>
      </c>
      <c r="G2779" t="s">
        <v>4739</v>
      </c>
      <c r="H2779">
        <v>2.8340000000000001</v>
      </c>
      <c r="I2779" t="s">
        <v>21</v>
      </c>
    </row>
    <row r="2780" spans="1:9" x14ac:dyDescent="0.3">
      <c r="A2780">
        <v>6</v>
      </c>
      <c r="B2780">
        <v>2</v>
      </c>
      <c r="C2780">
        <v>1</v>
      </c>
      <c r="D2780">
        <v>3</v>
      </c>
      <c r="E2780" t="s">
        <v>9</v>
      </c>
      <c r="F2780" t="s">
        <v>4740</v>
      </c>
      <c r="G2780" t="s">
        <v>4741</v>
      </c>
      <c r="H2780">
        <v>2.665</v>
      </c>
      <c r="I2780" t="s">
        <v>12</v>
      </c>
    </row>
    <row r="2781" spans="1:9" x14ac:dyDescent="0.3">
      <c r="A2781">
        <v>6</v>
      </c>
      <c r="B2781">
        <v>2</v>
      </c>
      <c r="C2781">
        <v>1</v>
      </c>
      <c r="D2781">
        <v>3</v>
      </c>
      <c r="E2781" t="s">
        <v>19</v>
      </c>
      <c r="F2781" t="s">
        <v>4742</v>
      </c>
      <c r="I2781" t="s">
        <v>21</v>
      </c>
    </row>
    <row r="2782" spans="1:9" x14ac:dyDescent="0.3">
      <c r="A2782">
        <v>6</v>
      </c>
      <c r="B2782">
        <v>2</v>
      </c>
      <c r="C2782">
        <v>1</v>
      </c>
      <c r="D2782">
        <v>3</v>
      </c>
      <c r="E2782" t="s">
        <v>9</v>
      </c>
      <c r="F2782" t="s">
        <v>4743</v>
      </c>
      <c r="G2782" t="s">
        <v>4744</v>
      </c>
      <c r="H2782">
        <v>4.4009999999999998</v>
      </c>
      <c r="I2782" t="s">
        <v>12</v>
      </c>
    </row>
    <row r="2783" spans="1:9" x14ac:dyDescent="0.3">
      <c r="A2783">
        <v>6</v>
      </c>
      <c r="B2783">
        <v>2</v>
      </c>
      <c r="C2783">
        <v>1</v>
      </c>
      <c r="D2783">
        <v>3</v>
      </c>
      <c r="E2783" t="s">
        <v>9</v>
      </c>
      <c r="F2783" t="s">
        <v>4745</v>
      </c>
      <c r="G2783" t="s">
        <v>4746</v>
      </c>
      <c r="H2783">
        <v>2.77</v>
      </c>
      <c r="I2783" t="s">
        <v>12</v>
      </c>
    </row>
    <row r="2784" spans="1:9" x14ac:dyDescent="0.3">
      <c r="A2784">
        <v>6</v>
      </c>
      <c r="B2784">
        <v>2</v>
      </c>
      <c r="C2784">
        <v>1</v>
      </c>
      <c r="D2784">
        <v>3</v>
      </c>
      <c r="E2784" t="s">
        <v>9</v>
      </c>
      <c r="F2784" t="s">
        <v>4747</v>
      </c>
      <c r="G2784" t="s">
        <v>4748</v>
      </c>
      <c r="H2784">
        <v>1.5680000000000001</v>
      </c>
      <c r="I2784" t="s">
        <v>12</v>
      </c>
    </row>
    <row r="2785" spans="1:9" x14ac:dyDescent="0.3">
      <c r="A2785">
        <v>6</v>
      </c>
      <c r="B2785">
        <v>2</v>
      </c>
      <c r="C2785">
        <v>1</v>
      </c>
      <c r="D2785">
        <v>3</v>
      </c>
      <c r="E2785" t="s">
        <v>19</v>
      </c>
      <c r="F2785" t="s">
        <v>4749</v>
      </c>
      <c r="I2785" t="s">
        <v>21</v>
      </c>
    </row>
    <row r="2786" spans="1:9" x14ac:dyDescent="0.3">
      <c r="A2786">
        <v>6</v>
      </c>
      <c r="B2786">
        <v>2</v>
      </c>
      <c r="C2786">
        <v>2</v>
      </c>
      <c r="D2786">
        <v>1</v>
      </c>
      <c r="E2786" t="s">
        <v>9</v>
      </c>
      <c r="F2786" t="s">
        <v>4750</v>
      </c>
      <c r="G2786" t="s">
        <v>4751</v>
      </c>
      <c r="H2786">
        <v>3.7349999999999999</v>
      </c>
      <c r="I2786" t="s">
        <v>12</v>
      </c>
    </row>
    <row r="2787" spans="1:9" x14ac:dyDescent="0.3">
      <c r="A2787">
        <v>6</v>
      </c>
      <c r="B2787">
        <v>2</v>
      </c>
      <c r="C2787">
        <v>2</v>
      </c>
      <c r="D2787">
        <v>1</v>
      </c>
      <c r="E2787" t="s">
        <v>22</v>
      </c>
      <c r="F2787" t="s">
        <v>4752</v>
      </c>
      <c r="G2787" t="s">
        <v>4753</v>
      </c>
      <c r="H2787">
        <v>1.635</v>
      </c>
      <c r="I2787" t="s">
        <v>21</v>
      </c>
    </row>
    <row r="2788" spans="1:9" x14ac:dyDescent="0.3">
      <c r="A2788">
        <v>6</v>
      </c>
      <c r="B2788">
        <v>2</v>
      </c>
      <c r="C2788">
        <v>2</v>
      </c>
      <c r="D2788">
        <v>1</v>
      </c>
      <c r="E2788" t="s">
        <v>22</v>
      </c>
      <c r="F2788" t="s">
        <v>4754</v>
      </c>
      <c r="G2788" t="s">
        <v>4755</v>
      </c>
      <c r="H2788">
        <v>1.3029999999999999</v>
      </c>
      <c r="I2788" t="s">
        <v>21</v>
      </c>
    </row>
    <row r="2789" spans="1:9" x14ac:dyDescent="0.3">
      <c r="A2789">
        <v>6</v>
      </c>
      <c r="B2789">
        <v>2</v>
      </c>
      <c r="C2789">
        <v>2</v>
      </c>
      <c r="D2789">
        <v>1</v>
      </c>
      <c r="E2789" t="s">
        <v>9</v>
      </c>
      <c r="F2789" t="s">
        <v>5382</v>
      </c>
      <c r="H2789" t="s">
        <v>81</v>
      </c>
      <c r="I2789" t="s">
        <v>34</v>
      </c>
    </row>
    <row r="2790" spans="1:9" x14ac:dyDescent="0.3">
      <c r="A2790">
        <v>6</v>
      </c>
      <c r="B2790">
        <v>3</v>
      </c>
      <c r="C2790">
        <v>1</v>
      </c>
      <c r="D2790">
        <v>1</v>
      </c>
      <c r="E2790" t="s">
        <v>22</v>
      </c>
      <c r="F2790" t="s">
        <v>4756</v>
      </c>
      <c r="G2790" t="s">
        <v>4757</v>
      </c>
      <c r="H2790">
        <v>2.073</v>
      </c>
      <c r="I2790" t="s">
        <v>21</v>
      </c>
    </row>
    <row r="2791" spans="1:9" x14ac:dyDescent="0.3">
      <c r="A2791">
        <v>6</v>
      </c>
      <c r="B2791">
        <v>3</v>
      </c>
      <c r="C2791">
        <v>1</v>
      </c>
      <c r="D2791">
        <v>1</v>
      </c>
      <c r="E2791" t="s">
        <v>9</v>
      </c>
      <c r="F2791" t="s">
        <v>4758</v>
      </c>
      <c r="G2791" t="s">
        <v>4759</v>
      </c>
      <c r="H2791">
        <v>3.2330000000000001</v>
      </c>
      <c r="I2791" t="s">
        <v>12</v>
      </c>
    </row>
    <row r="2792" spans="1:9" x14ac:dyDescent="0.3">
      <c r="A2792">
        <v>6</v>
      </c>
      <c r="B2792">
        <v>3</v>
      </c>
      <c r="C2792">
        <v>1</v>
      </c>
      <c r="D2792">
        <v>1</v>
      </c>
      <c r="E2792" t="s">
        <v>9</v>
      </c>
      <c r="F2792" t="s">
        <v>4760</v>
      </c>
      <c r="G2792" t="s">
        <v>4761</v>
      </c>
      <c r="H2792">
        <v>2.766</v>
      </c>
      <c r="I2792" t="s">
        <v>12</v>
      </c>
    </row>
    <row r="2793" spans="1:9" x14ac:dyDescent="0.3">
      <c r="A2793">
        <v>6</v>
      </c>
      <c r="B2793">
        <v>3</v>
      </c>
      <c r="C2793">
        <v>1</v>
      </c>
      <c r="D2793">
        <v>1</v>
      </c>
      <c r="E2793" t="s">
        <v>22</v>
      </c>
      <c r="F2793" t="s">
        <v>4762</v>
      </c>
      <c r="G2793" t="s">
        <v>4763</v>
      </c>
      <c r="H2793">
        <v>2.6680000000000001</v>
      </c>
      <c r="I2793" t="s">
        <v>21</v>
      </c>
    </row>
    <row r="2794" spans="1:9" x14ac:dyDescent="0.3">
      <c r="A2794">
        <v>6</v>
      </c>
      <c r="B2794">
        <v>3</v>
      </c>
      <c r="C2794">
        <v>1</v>
      </c>
      <c r="D2794">
        <v>1</v>
      </c>
      <c r="E2794" t="s">
        <v>9</v>
      </c>
      <c r="F2794" t="s">
        <v>4764</v>
      </c>
      <c r="G2794" t="s">
        <v>4765</v>
      </c>
      <c r="H2794">
        <v>3.4350000000000001</v>
      </c>
      <c r="I2794" t="s">
        <v>12</v>
      </c>
    </row>
    <row r="2795" spans="1:9" x14ac:dyDescent="0.3">
      <c r="A2795">
        <v>6</v>
      </c>
      <c r="B2795">
        <v>3</v>
      </c>
      <c r="C2795">
        <v>1</v>
      </c>
      <c r="D2795">
        <v>1</v>
      </c>
      <c r="E2795" t="s">
        <v>19</v>
      </c>
      <c r="F2795" t="s">
        <v>4766</v>
      </c>
      <c r="I2795" t="s">
        <v>21</v>
      </c>
    </row>
    <row r="2796" spans="1:9" x14ac:dyDescent="0.3">
      <c r="A2796">
        <v>6</v>
      </c>
      <c r="B2796">
        <v>3</v>
      </c>
      <c r="C2796">
        <v>1</v>
      </c>
      <c r="D2796">
        <v>1</v>
      </c>
      <c r="E2796" t="s">
        <v>9</v>
      </c>
      <c r="F2796" t="s">
        <v>4767</v>
      </c>
      <c r="G2796" t="s">
        <v>4768</v>
      </c>
      <c r="H2796">
        <v>2.1680000000000001</v>
      </c>
      <c r="I2796" t="s">
        <v>12</v>
      </c>
    </row>
    <row r="2797" spans="1:9" x14ac:dyDescent="0.3">
      <c r="A2797">
        <v>6</v>
      </c>
      <c r="B2797">
        <v>3</v>
      </c>
      <c r="C2797">
        <v>1</v>
      </c>
      <c r="D2797">
        <v>1</v>
      </c>
      <c r="E2797" t="s">
        <v>19</v>
      </c>
      <c r="F2797" t="s">
        <v>4769</v>
      </c>
      <c r="I2797" t="s">
        <v>21</v>
      </c>
    </row>
    <row r="2798" spans="1:9" x14ac:dyDescent="0.3">
      <c r="A2798">
        <v>6</v>
      </c>
      <c r="B2798">
        <v>3</v>
      </c>
      <c r="C2798">
        <v>1</v>
      </c>
      <c r="D2798">
        <v>2</v>
      </c>
      <c r="E2798" t="s">
        <v>22</v>
      </c>
      <c r="F2798" t="s">
        <v>4770</v>
      </c>
      <c r="G2798" t="s">
        <v>4771</v>
      </c>
      <c r="H2798">
        <v>1.369</v>
      </c>
      <c r="I2798" t="s">
        <v>21</v>
      </c>
    </row>
    <row r="2799" spans="1:9" x14ac:dyDescent="0.3">
      <c r="A2799">
        <v>6</v>
      </c>
      <c r="B2799">
        <v>3</v>
      </c>
      <c r="C2799">
        <v>1</v>
      </c>
      <c r="D2799">
        <v>2</v>
      </c>
      <c r="E2799" t="s">
        <v>9</v>
      </c>
      <c r="F2799" t="s">
        <v>4772</v>
      </c>
      <c r="G2799" t="s">
        <v>4773</v>
      </c>
      <c r="H2799">
        <v>2.569</v>
      </c>
      <c r="I2799" t="s">
        <v>12</v>
      </c>
    </row>
    <row r="2800" spans="1:9" x14ac:dyDescent="0.3">
      <c r="A2800">
        <v>6</v>
      </c>
      <c r="B2800">
        <v>3</v>
      </c>
      <c r="C2800">
        <v>1</v>
      </c>
      <c r="D2800">
        <v>2</v>
      </c>
      <c r="E2800" t="s">
        <v>9</v>
      </c>
      <c r="F2800" t="s">
        <v>4774</v>
      </c>
      <c r="G2800" t="s">
        <v>4775</v>
      </c>
      <c r="H2800">
        <v>3.2360000000000002</v>
      </c>
      <c r="I2800" t="s">
        <v>12</v>
      </c>
    </row>
    <row r="2801" spans="1:9" x14ac:dyDescent="0.3">
      <c r="A2801">
        <v>6</v>
      </c>
      <c r="B2801">
        <v>3</v>
      </c>
      <c r="C2801">
        <v>1</v>
      </c>
      <c r="D2801">
        <v>2</v>
      </c>
      <c r="E2801" t="s">
        <v>22</v>
      </c>
      <c r="F2801" t="s">
        <v>4776</v>
      </c>
      <c r="G2801" t="s">
        <v>4777</v>
      </c>
      <c r="H2801">
        <v>4.37</v>
      </c>
      <c r="I2801" t="s">
        <v>21</v>
      </c>
    </row>
    <row r="2802" spans="1:9" x14ac:dyDescent="0.3">
      <c r="A2802">
        <v>6</v>
      </c>
      <c r="B2802">
        <v>3</v>
      </c>
      <c r="C2802">
        <v>1</v>
      </c>
      <c r="D2802">
        <v>2</v>
      </c>
      <c r="E2802" t="s">
        <v>19</v>
      </c>
      <c r="F2802" t="s">
        <v>4778</v>
      </c>
      <c r="I2802" t="s">
        <v>34</v>
      </c>
    </row>
    <row r="2803" spans="1:9" x14ac:dyDescent="0.3">
      <c r="A2803">
        <v>6</v>
      </c>
      <c r="B2803">
        <v>3</v>
      </c>
      <c r="C2803">
        <v>2</v>
      </c>
      <c r="D2803">
        <v>1</v>
      </c>
      <c r="E2803" t="s">
        <v>9</v>
      </c>
      <c r="F2803" t="s">
        <v>4779</v>
      </c>
      <c r="G2803" t="s">
        <v>4780</v>
      </c>
      <c r="H2803">
        <v>4.1390000000000002</v>
      </c>
      <c r="I2803" t="s">
        <v>12</v>
      </c>
    </row>
    <row r="2804" spans="1:9" x14ac:dyDescent="0.3">
      <c r="A2804">
        <v>6</v>
      </c>
      <c r="B2804">
        <v>3</v>
      </c>
      <c r="C2804">
        <v>2</v>
      </c>
      <c r="D2804">
        <v>2</v>
      </c>
      <c r="E2804" t="s">
        <v>9</v>
      </c>
      <c r="F2804" t="s">
        <v>4781</v>
      </c>
      <c r="G2804" t="s">
        <v>4782</v>
      </c>
      <c r="H2804">
        <v>4.0030000000000001</v>
      </c>
      <c r="I2804" t="s">
        <v>12</v>
      </c>
    </row>
    <row r="2805" spans="1:9" x14ac:dyDescent="0.3">
      <c r="A2805">
        <v>6</v>
      </c>
      <c r="B2805">
        <v>3</v>
      </c>
      <c r="C2805">
        <v>2</v>
      </c>
      <c r="D2805">
        <v>2</v>
      </c>
      <c r="E2805" t="s">
        <v>19</v>
      </c>
      <c r="F2805" t="s">
        <v>4783</v>
      </c>
      <c r="I2805" t="s">
        <v>21</v>
      </c>
    </row>
    <row r="2806" spans="1:9" x14ac:dyDescent="0.3">
      <c r="A2806">
        <v>6</v>
      </c>
      <c r="B2806">
        <v>3</v>
      </c>
      <c r="C2806">
        <v>2</v>
      </c>
      <c r="D2806">
        <v>2</v>
      </c>
      <c r="E2806" t="s">
        <v>22</v>
      </c>
      <c r="F2806" t="s">
        <v>4784</v>
      </c>
      <c r="G2806" t="s">
        <v>4785</v>
      </c>
      <c r="H2806">
        <v>2.234</v>
      </c>
      <c r="I2806" t="s">
        <v>21</v>
      </c>
    </row>
    <row r="2807" spans="1:9" x14ac:dyDescent="0.3">
      <c r="A2807">
        <v>6</v>
      </c>
      <c r="B2807">
        <v>3</v>
      </c>
      <c r="C2807">
        <v>2</v>
      </c>
      <c r="D2807">
        <v>2</v>
      </c>
      <c r="E2807" t="s">
        <v>22</v>
      </c>
      <c r="F2807" t="s">
        <v>4786</v>
      </c>
      <c r="G2807" t="s">
        <v>4787</v>
      </c>
      <c r="H2807">
        <v>1.4350000000000001</v>
      </c>
      <c r="I2807" t="s">
        <v>21</v>
      </c>
    </row>
    <row r="2808" spans="1:9" x14ac:dyDescent="0.3">
      <c r="A2808">
        <v>6</v>
      </c>
      <c r="B2808">
        <v>3</v>
      </c>
      <c r="C2808">
        <v>2</v>
      </c>
      <c r="D2808">
        <v>2</v>
      </c>
      <c r="E2808" t="s">
        <v>9</v>
      </c>
      <c r="F2808" t="s">
        <v>4788</v>
      </c>
      <c r="G2808" t="s">
        <v>4789</v>
      </c>
      <c r="H2808">
        <v>3.0630000000000002</v>
      </c>
      <c r="I2808" t="s">
        <v>12</v>
      </c>
    </row>
    <row r="2809" spans="1:9" x14ac:dyDescent="0.3">
      <c r="A2809">
        <v>6</v>
      </c>
      <c r="B2809">
        <v>3</v>
      </c>
      <c r="C2809">
        <v>2</v>
      </c>
      <c r="D2809">
        <v>2</v>
      </c>
      <c r="E2809" t="s">
        <v>9</v>
      </c>
      <c r="F2809" t="s">
        <v>4790</v>
      </c>
      <c r="G2809" t="s">
        <v>4791</v>
      </c>
      <c r="H2809">
        <v>4.4009999999999998</v>
      </c>
      <c r="I2809" t="s">
        <v>12</v>
      </c>
    </row>
    <row r="2810" spans="1:9" x14ac:dyDescent="0.3">
      <c r="A2810">
        <v>6</v>
      </c>
      <c r="B2810">
        <v>3</v>
      </c>
      <c r="C2810">
        <v>2</v>
      </c>
      <c r="D2810">
        <v>2</v>
      </c>
      <c r="E2810" t="s">
        <v>9</v>
      </c>
      <c r="F2810" t="s">
        <v>4792</v>
      </c>
      <c r="G2810" t="s">
        <v>4793</v>
      </c>
      <c r="H2810">
        <v>2.8690000000000002</v>
      </c>
      <c r="I2810" t="s">
        <v>12</v>
      </c>
    </row>
    <row r="2811" spans="1:9" x14ac:dyDescent="0.3">
      <c r="A2811">
        <v>6</v>
      </c>
      <c r="B2811">
        <v>3</v>
      </c>
      <c r="C2811">
        <v>2</v>
      </c>
      <c r="D2811">
        <v>2</v>
      </c>
      <c r="E2811" t="s">
        <v>19</v>
      </c>
      <c r="F2811" t="s">
        <v>4794</v>
      </c>
      <c r="I2811" t="s">
        <v>21</v>
      </c>
    </row>
    <row r="2812" spans="1:9" x14ac:dyDescent="0.3">
      <c r="A2812">
        <v>6</v>
      </c>
      <c r="B2812">
        <v>3</v>
      </c>
      <c r="C2812">
        <v>3</v>
      </c>
      <c r="D2812">
        <v>1</v>
      </c>
      <c r="E2812" t="s">
        <v>22</v>
      </c>
      <c r="F2812" t="s">
        <v>4795</v>
      </c>
      <c r="G2812" t="s">
        <v>4796</v>
      </c>
      <c r="H2812">
        <v>1.6040000000000001</v>
      </c>
      <c r="I2812" t="s">
        <v>21</v>
      </c>
    </row>
    <row r="2813" spans="1:9" x14ac:dyDescent="0.3">
      <c r="A2813">
        <v>6</v>
      </c>
      <c r="B2813">
        <v>3</v>
      </c>
      <c r="C2813">
        <v>3</v>
      </c>
      <c r="D2813">
        <v>1</v>
      </c>
      <c r="E2813" t="s">
        <v>22</v>
      </c>
      <c r="F2813" t="s">
        <v>4797</v>
      </c>
      <c r="G2813" t="s">
        <v>4798</v>
      </c>
      <c r="H2813">
        <v>3.036</v>
      </c>
      <c r="I2813" t="s">
        <v>21</v>
      </c>
    </row>
    <row r="2814" spans="1:9" x14ac:dyDescent="0.3">
      <c r="A2814">
        <v>6</v>
      </c>
      <c r="B2814">
        <v>3</v>
      </c>
      <c r="C2814">
        <v>3</v>
      </c>
      <c r="D2814">
        <v>1</v>
      </c>
      <c r="E2814" t="s">
        <v>19</v>
      </c>
      <c r="F2814" t="s">
        <v>4799</v>
      </c>
      <c r="I2814" t="s">
        <v>21</v>
      </c>
    </row>
    <row r="2815" spans="1:9" x14ac:dyDescent="0.3">
      <c r="A2815">
        <v>6</v>
      </c>
      <c r="B2815">
        <v>3</v>
      </c>
      <c r="C2815">
        <v>3</v>
      </c>
      <c r="D2815">
        <v>1</v>
      </c>
      <c r="E2815" t="s">
        <v>9</v>
      </c>
      <c r="F2815" t="s">
        <v>4800</v>
      </c>
      <c r="G2815" t="s">
        <v>4801</v>
      </c>
      <c r="H2815">
        <v>3.1349999999999998</v>
      </c>
      <c r="I2815" t="s">
        <v>12</v>
      </c>
    </row>
    <row r="2816" spans="1:9" x14ac:dyDescent="0.3">
      <c r="A2816">
        <v>6</v>
      </c>
      <c r="B2816">
        <v>3</v>
      </c>
      <c r="C2816">
        <v>3</v>
      </c>
      <c r="D2816">
        <v>1</v>
      </c>
      <c r="E2816" t="s">
        <v>9</v>
      </c>
      <c r="F2816" t="s">
        <v>4802</v>
      </c>
      <c r="G2816" t="s">
        <v>4803</v>
      </c>
      <c r="H2816">
        <v>2.6339999999999999</v>
      </c>
      <c r="I2816" t="s">
        <v>12</v>
      </c>
    </row>
    <row r="2817" spans="1:9" x14ac:dyDescent="0.3">
      <c r="A2817">
        <v>6</v>
      </c>
      <c r="B2817">
        <v>3</v>
      </c>
      <c r="C2817">
        <v>3</v>
      </c>
      <c r="D2817">
        <v>1</v>
      </c>
      <c r="E2817" t="s">
        <v>19</v>
      </c>
      <c r="F2817" t="s">
        <v>4804</v>
      </c>
      <c r="I2817" t="s">
        <v>21</v>
      </c>
    </row>
    <row r="2818" spans="1:9" x14ac:dyDescent="0.3">
      <c r="A2818">
        <v>6</v>
      </c>
      <c r="B2818">
        <v>3</v>
      </c>
      <c r="C2818">
        <v>3</v>
      </c>
      <c r="D2818">
        <v>1</v>
      </c>
      <c r="E2818" t="s">
        <v>9</v>
      </c>
      <c r="F2818" t="s">
        <v>4805</v>
      </c>
      <c r="G2818" t="s">
        <v>4806</v>
      </c>
      <c r="H2818">
        <v>3.0350000000000001</v>
      </c>
      <c r="I2818" t="s">
        <v>12</v>
      </c>
    </row>
    <row r="2819" spans="1:9" x14ac:dyDescent="0.3">
      <c r="A2819">
        <v>6</v>
      </c>
      <c r="B2819">
        <v>3</v>
      </c>
      <c r="C2819">
        <v>3</v>
      </c>
      <c r="D2819">
        <v>1</v>
      </c>
      <c r="E2819" t="s">
        <v>9</v>
      </c>
      <c r="F2819" t="s">
        <v>4807</v>
      </c>
      <c r="G2819" t="s">
        <v>4808</v>
      </c>
      <c r="H2819">
        <v>1.67</v>
      </c>
      <c r="I2819" t="s">
        <v>12</v>
      </c>
    </row>
    <row r="2820" spans="1:9" x14ac:dyDescent="0.3">
      <c r="A2820">
        <v>6</v>
      </c>
      <c r="B2820">
        <v>3</v>
      </c>
      <c r="C2820">
        <v>1</v>
      </c>
      <c r="D2820">
        <v>1</v>
      </c>
      <c r="E2820" t="s">
        <v>22</v>
      </c>
      <c r="F2820" t="s">
        <v>4809</v>
      </c>
      <c r="G2820" t="s">
        <v>4810</v>
      </c>
      <c r="H2820">
        <v>1.627</v>
      </c>
      <c r="I2820" t="s">
        <v>21</v>
      </c>
    </row>
    <row r="2821" spans="1:9" x14ac:dyDescent="0.3">
      <c r="A2821">
        <v>6</v>
      </c>
      <c r="B2821">
        <v>3</v>
      </c>
      <c r="C2821">
        <v>1</v>
      </c>
      <c r="D2821">
        <v>1</v>
      </c>
      <c r="E2821" t="s">
        <v>22</v>
      </c>
      <c r="F2821" t="s">
        <v>4811</v>
      </c>
      <c r="G2821" t="s">
        <v>4812</v>
      </c>
      <c r="H2821">
        <v>2.27</v>
      </c>
      <c r="I2821" t="s">
        <v>21</v>
      </c>
    </row>
    <row r="2822" spans="1:9" x14ac:dyDescent="0.3">
      <c r="A2822">
        <v>6</v>
      </c>
      <c r="B2822">
        <v>3</v>
      </c>
      <c r="C2822">
        <v>1</v>
      </c>
      <c r="D2822">
        <v>1</v>
      </c>
      <c r="E2822" t="s">
        <v>19</v>
      </c>
      <c r="F2822" t="s">
        <v>4813</v>
      </c>
      <c r="I2822" t="s">
        <v>21</v>
      </c>
    </row>
    <row r="2823" spans="1:9" x14ac:dyDescent="0.3">
      <c r="A2823">
        <v>6</v>
      </c>
      <c r="B2823">
        <v>3</v>
      </c>
      <c r="C2823">
        <v>1</v>
      </c>
      <c r="D2823">
        <v>1</v>
      </c>
      <c r="E2823" t="s">
        <v>9</v>
      </c>
      <c r="F2823" t="s">
        <v>4814</v>
      </c>
      <c r="G2823" t="s">
        <v>4815</v>
      </c>
      <c r="H2823">
        <v>2.6680000000000001</v>
      </c>
      <c r="I2823" t="s">
        <v>12</v>
      </c>
    </row>
    <row r="2824" spans="1:9" x14ac:dyDescent="0.3">
      <c r="A2824">
        <v>6</v>
      </c>
      <c r="B2824">
        <v>3</v>
      </c>
      <c r="C2824">
        <v>1</v>
      </c>
      <c r="D2824">
        <v>1</v>
      </c>
      <c r="E2824" t="s">
        <v>9</v>
      </c>
      <c r="F2824" t="s">
        <v>4816</v>
      </c>
      <c r="G2824" t="s">
        <v>4817</v>
      </c>
      <c r="H2824">
        <v>1.2989999999999999</v>
      </c>
      <c r="I2824" t="s">
        <v>12</v>
      </c>
    </row>
    <row r="2825" spans="1:9" x14ac:dyDescent="0.3">
      <c r="A2825">
        <v>6</v>
      </c>
      <c r="B2825">
        <v>3</v>
      </c>
      <c r="C2825">
        <v>1</v>
      </c>
      <c r="D2825">
        <v>1</v>
      </c>
      <c r="E2825" t="s">
        <v>19</v>
      </c>
      <c r="F2825" t="s">
        <v>4818</v>
      </c>
      <c r="I2825" t="s">
        <v>21</v>
      </c>
    </row>
    <row r="2826" spans="1:9" x14ac:dyDescent="0.3">
      <c r="A2826">
        <v>6</v>
      </c>
      <c r="B2826">
        <v>3</v>
      </c>
      <c r="C2826">
        <v>1</v>
      </c>
      <c r="D2826">
        <v>1</v>
      </c>
      <c r="E2826" t="s">
        <v>9</v>
      </c>
      <c r="F2826" t="s">
        <v>4819</v>
      </c>
      <c r="G2826" t="s">
        <v>4820</v>
      </c>
      <c r="H2826">
        <v>1.901</v>
      </c>
      <c r="I2826" t="s">
        <v>12</v>
      </c>
    </row>
    <row r="2827" spans="1:9" x14ac:dyDescent="0.3">
      <c r="A2827">
        <v>6</v>
      </c>
      <c r="B2827">
        <v>3</v>
      </c>
      <c r="C2827">
        <v>1</v>
      </c>
      <c r="D2827">
        <v>1</v>
      </c>
      <c r="E2827" t="s">
        <v>9</v>
      </c>
      <c r="F2827" t="s">
        <v>4821</v>
      </c>
      <c r="G2827" t="s">
        <v>4822</v>
      </c>
      <c r="H2827">
        <v>5.2</v>
      </c>
      <c r="I2827" t="s">
        <v>12</v>
      </c>
    </row>
    <row r="2828" spans="1:9" x14ac:dyDescent="0.3">
      <c r="A2828">
        <v>6</v>
      </c>
      <c r="B2828">
        <v>3</v>
      </c>
      <c r="C2828">
        <v>3</v>
      </c>
      <c r="D2828">
        <v>2</v>
      </c>
      <c r="E2828" t="s">
        <v>22</v>
      </c>
      <c r="F2828" t="s">
        <v>4823</v>
      </c>
      <c r="G2828" t="s">
        <v>4824</v>
      </c>
      <c r="H2828">
        <v>1.2869999999999999</v>
      </c>
      <c r="I2828" t="s">
        <v>21</v>
      </c>
    </row>
    <row r="2829" spans="1:9" x14ac:dyDescent="0.3">
      <c r="A2829">
        <v>6</v>
      </c>
      <c r="B2829">
        <v>3</v>
      </c>
      <c r="C2829">
        <v>3</v>
      </c>
      <c r="D2829">
        <v>2</v>
      </c>
      <c r="E2829" t="s">
        <v>22</v>
      </c>
      <c r="F2829" t="s">
        <v>4825</v>
      </c>
      <c r="G2829" t="s">
        <v>4826</v>
      </c>
      <c r="H2829">
        <v>1.8340000000000001</v>
      </c>
      <c r="I2829" t="s">
        <v>21</v>
      </c>
    </row>
    <row r="2830" spans="1:9" x14ac:dyDescent="0.3">
      <c r="A2830">
        <v>6</v>
      </c>
      <c r="B2830">
        <v>3</v>
      </c>
      <c r="C2830">
        <v>3</v>
      </c>
      <c r="D2830">
        <v>2</v>
      </c>
      <c r="E2830" t="s">
        <v>19</v>
      </c>
      <c r="F2830" t="s">
        <v>4827</v>
      </c>
      <c r="I2830" t="s">
        <v>21</v>
      </c>
    </row>
    <row r="2831" spans="1:9" x14ac:dyDescent="0.3">
      <c r="A2831">
        <v>6</v>
      </c>
      <c r="B2831">
        <v>3</v>
      </c>
      <c r="C2831">
        <v>3</v>
      </c>
      <c r="D2831">
        <v>2</v>
      </c>
      <c r="E2831" t="s">
        <v>9</v>
      </c>
      <c r="F2831" t="s">
        <v>4828</v>
      </c>
      <c r="G2831" t="s">
        <v>4829</v>
      </c>
      <c r="H2831">
        <v>2.57</v>
      </c>
      <c r="I2831" t="s">
        <v>12</v>
      </c>
    </row>
    <row r="2832" spans="1:9" x14ac:dyDescent="0.3">
      <c r="A2832">
        <v>6</v>
      </c>
      <c r="B2832">
        <v>3</v>
      </c>
      <c r="C2832">
        <v>3</v>
      </c>
      <c r="D2832">
        <v>2</v>
      </c>
      <c r="E2832" t="s">
        <v>9</v>
      </c>
      <c r="F2832" t="s">
        <v>4830</v>
      </c>
      <c r="G2832" t="s">
        <v>4831</v>
      </c>
      <c r="H2832">
        <v>1.734</v>
      </c>
      <c r="I2832" t="s">
        <v>12</v>
      </c>
    </row>
    <row r="2833" spans="1:9" x14ac:dyDescent="0.3">
      <c r="A2833">
        <v>6</v>
      </c>
      <c r="B2833">
        <v>3</v>
      </c>
      <c r="C2833">
        <v>3</v>
      </c>
      <c r="D2833">
        <v>2</v>
      </c>
      <c r="E2833" t="s">
        <v>19</v>
      </c>
      <c r="F2833" t="s">
        <v>4832</v>
      </c>
      <c r="I2833" t="s">
        <v>21</v>
      </c>
    </row>
    <row r="2834" spans="1:9" x14ac:dyDescent="0.3">
      <c r="A2834">
        <v>6</v>
      </c>
      <c r="B2834">
        <v>3</v>
      </c>
      <c r="C2834">
        <v>3</v>
      </c>
      <c r="D2834">
        <v>2</v>
      </c>
      <c r="E2834" t="s">
        <v>9</v>
      </c>
      <c r="F2834" t="s">
        <v>4833</v>
      </c>
      <c r="G2834" t="s">
        <v>4834</v>
      </c>
      <c r="H2834">
        <v>2.6</v>
      </c>
      <c r="I2834" t="s">
        <v>12</v>
      </c>
    </row>
    <row r="2835" spans="1:9" x14ac:dyDescent="0.3">
      <c r="A2835">
        <v>6</v>
      </c>
      <c r="B2835">
        <v>3</v>
      </c>
      <c r="C2835">
        <v>3</v>
      </c>
      <c r="D2835">
        <v>2</v>
      </c>
      <c r="E2835" t="s">
        <v>9</v>
      </c>
      <c r="F2835" t="s">
        <v>4835</v>
      </c>
      <c r="G2835" t="s">
        <v>4836</v>
      </c>
      <c r="H2835">
        <v>1.7010000000000001</v>
      </c>
      <c r="I2835" t="s">
        <v>12</v>
      </c>
    </row>
    <row r="2836" spans="1:9" x14ac:dyDescent="0.3">
      <c r="A2836">
        <v>6</v>
      </c>
      <c r="B2836">
        <v>3</v>
      </c>
      <c r="C2836">
        <v>3</v>
      </c>
      <c r="D2836">
        <v>3</v>
      </c>
      <c r="E2836" t="s">
        <v>22</v>
      </c>
      <c r="F2836" t="s">
        <v>4837</v>
      </c>
      <c r="G2836" t="s">
        <v>4838</v>
      </c>
      <c r="H2836">
        <v>1.468</v>
      </c>
      <c r="I2836" t="s">
        <v>21</v>
      </c>
    </row>
    <row r="2837" spans="1:9" x14ac:dyDescent="0.3">
      <c r="A2837">
        <v>6</v>
      </c>
      <c r="B2837">
        <v>3</v>
      </c>
      <c r="C2837">
        <v>3</v>
      </c>
      <c r="D2837">
        <v>3</v>
      </c>
      <c r="E2837" t="s">
        <v>22</v>
      </c>
      <c r="F2837" t="s">
        <v>4839</v>
      </c>
      <c r="G2837" t="s">
        <v>4840</v>
      </c>
      <c r="H2837">
        <v>2.5339999999999998</v>
      </c>
      <c r="I2837" t="s">
        <v>21</v>
      </c>
    </row>
    <row r="2838" spans="1:9" x14ac:dyDescent="0.3">
      <c r="A2838">
        <v>6</v>
      </c>
      <c r="B2838">
        <v>3</v>
      </c>
      <c r="C2838">
        <v>3</v>
      </c>
      <c r="D2838">
        <v>3</v>
      </c>
      <c r="E2838" t="s">
        <v>19</v>
      </c>
      <c r="F2838" t="s">
        <v>4841</v>
      </c>
      <c r="I2838" t="s">
        <v>21</v>
      </c>
    </row>
    <row r="2839" spans="1:9" x14ac:dyDescent="0.3">
      <c r="A2839">
        <v>6</v>
      </c>
      <c r="B2839">
        <v>3</v>
      </c>
      <c r="C2839">
        <v>3</v>
      </c>
      <c r="D2839">
        <v>3</v>
      </c>
      <c r="E2839" t="s">
        <v>9</v>
      </c>
      <c r="F2839" t="s">
        <v>4842</v>
      </c>
      <c r="G2839" t="s">
        <v>4843</v>
      </c>
      <c r="H2839">
        <v>4.2370000000000001</v>
      </c>
      <c r="I2839" t="s">
        <v>12</v>
      </c>
    </row>
    <row r="2840" spans="1:9" x14ac:dyDescent="0.3">
      <c r="A2840">
        <v>6</v>
      </c>
      <c r="B2840">
        <v>3</v>
      </c>
      <c r="C2840">
        <v>3</v>
      </c>
      <c r="D2840">
        <v>3</v>
      </c>
      <c r="E2840" t="s">
        <v>9</v>
      </c>
      <c r="F2840" t="s">
        <v>4844</v>
      </c>
      <c r="G2840" t="s">
        <v>4845</v>
      </c>
      <c r="H2840">
        <v>3.4670000000000001</v>
      </c>
      <c r="I2840" t="s">
        <v>12</v>
      </c>
    </row>
    <row r="2841" spans="1:9" x14ac:dyDescent="0.3">
      <c r="A2841">
        <v>6</v>
      </c>
      <c r="B2841">
        <v>3</v>
      </c>
      <c r="C2841">
        <v>3</v>
      </c>
      <c r="D2841">
        <v>3</v>
      </c>
      <c r="E2841" t="s">
        <v>9</v>
      </c>
      <c r="F2841" t="s">
        <v>4846</v>
      </c>
      <c r="G2841" t="s">
        <v>4847</v>
      </c>
      <c r="H2841">
        <v>2.734</v>
      </c>
      <c r="I2841" t="s">
        <v>12</v>
      </c>
    </row>
    <row r="2842" spans="1:9" x14ac:dyDescent="0.3">
      <c r="A2842">
        <v>6</v>
      </c>
      <c r="B2842">
        <v>3</v>
      </c>
      <c r="C2842">
        <v>3</v>
      </c>
      <c r="D2842">
        <v>3</v>
      </c>
      <c r="E2842" t="s">
        <v>9</v>
      </c>
      <c r="F2842" t="s">
        <v>4848</v>
      </c>
      <c r="G2842" t="s">
        <v>4849</v>
      </c>
      <c r="H2842">
        <v>2.3660000000000001</v>
      </c>
      <c r="I2842" t="s">
        <v>12</v>
      </c>
    </row>
    <row r="2843" spans="1:9" x14ac:dyDescent="0.3">
      <c r="A2843">
        <v>6</v>
      </c>
      <c r="B2843">
        <v>3</v>
      </c>
      <c r="C2843">
        <v>3</v>
      </c>
      <c r="D2843">
        <v>3</v>
      </c>
      <c r="E2843" t="s">
        <v>19</v>
      </c>
      <c r="F2843" t="s">
        <v>4850</v>
      </c>
      <c r="I2843" t="s">
        <v>21</v>
      </c>
    </row>
    <row r="2844" spans="1:9" x14ac:dyDescent="0.3">
      <c r="A2844">
        <v>7</v>
      </c>
      <c r="B2844">
        <v>1</v>
      </c>
      <c r="C2844">
        <v>1</v>
      </c>
      <c r="D2844">
        <v>1</v>
      </c>
      <c r="E2844" t="s">
        <v>9</v>
      </c>
      <c r="F2844" t="s">
        <v>4851</v>
      </c>
      <c r="G2844" t="s">
        <v>4852</v>
      </c>
      <c r="H2844">
        <v>6.5590000000000002</v>
      </c>
      <c r="I2844" t="s">
        <v>12</v>
      </c>
    </row>
    <row r="2845" spans="1:9" x14ac:dyDescent="0.3">
      <c r="A2845">
        <v>7</v>
      </c>
      <c r="B2845">
        <v>1</v>
      </c>
      <c r="C2845">
        <v>1</v>
      </c>
      <c r="D2845">
        <v>2</v>
      </c>
      <c r="E2845" t="s">
        <v>9</v>
      </c>
      <c r="F2845" t="s">
        <v>4853</v>
      </c>
      <c r="G2845" t="s">
        <v>4854</v>
      </c>
      <c r="H2845">
        <v>3.085</v>
      </c>
      <c r="I2845" t="s">
        <v>12</v>
      </c>
    </row>
    <row r="2846" spans="1:9" x14ac:dyDescent="0.3">
      <c r="A2846">
        <v>7</v>
      </c>
      <c r="B2846">
        <v>1</v>
      </c>
      <c r="C2846">
        <v>2</v>
      </c>
      <c r="D2846">
        <v>1</v>
      </c>
      <c r="E2846" t="s">
        <v>9</v>
      </c>
      <c r="F2846" t="s">
        <v>4855</v>
      </c>
      <c r="G2846" t="s">
        <v>4856</v>
      </c>
      <c r="H2846">
        <v>3.819</v>
      </c>
      <c r="I2846" t="s">
        <v>12</v>
      </c>
    </row>
    <row r="2847" spans="1:9" x14ac:dyDescent="0.3">
      <c r="A2847">
        <v>7</v>
      </c>
      <c r="B2847">
        <v>1</v>
      </c>
      <c r="C2847">
        <v>2</v>
      </c>
      <c r="D2847">
        <v>1</v>
      </c>
      <c r="E2847" t="s">
        <v>9</v>
      </c>
      <c r="F2847" t="s">
        <v>4857</v>
      </c>
      <c r="G2847" t="s">
        <v>4858</v>
      </c>
      <c r="H2847">
        <v>3.867</v>
      </c>
      <c r="I2847" t="s">
        <v>12</v>
      </c>
    </row>
    <row r="2848" spans="1:9" x14ac:dyDescent="0.3">
      <c r="A2848">
        <v>7</v>
      </c>
      <c r="B2848">
        <v>1</v>
      </c>
      <c r="C2848">
        <v>2</v>
      </c>
      <c r="D2848">
        <v>2</v>
      </c>
      <c r="E2848" t="s">
        <v>9</v>
      </c>
      <c r="F2848" t="s">
        <v>4859</v>
      </c>
      <c r="G2848" t="s">
        <v>4860</v>
      </c>
      <c r="H2848">
        <v>4.2859999999999996</v>
      </c>
      <c r="I2848" t="s">
        <v>12</v>
      </c>
    </row>
    <row r="2849" spans="1:9" x14ac:dyDescent="0.3">
      <c r="A2849">
        <v>7</v>
      </c>
      <c r="B2849">
        <v>1</v>
      </c>
      <c r="C2849">
        <v>3</v>
      </c>
      <c r="D2849">
        <v>1</v>
      </c>
      <c r="E2849" t="s">
        <v>22</v>
      </c>
      <c r="F2849" t="s">
        <v>4861</v>
      </c>
      <c r="G2849" t="s">
        <v>4862</v>
      </c>
      <c r="H2849">
        <v>3.786</v>
      </c>
      <c r="I2849" t="s">
        <v>21</v>
      </c>
    </row>
    <row r="2850" spans="1:9" x14ac:dyDescent="0.3">
      <c r="A2850">
        <v>7</v>
      </c>
      <c r="B2850">
        <v>1</v>
      </c>
      <c r="C2850">
        <v>3</v>
      </c>
      <c r="D2850">
        <v>1</v>
      </c>
      <c r="E2850" t="s">
        <v>22</v>
      </c>
      <c r="F2850" t="s">
        <v>4863</v>
      </c>
      <c r="H2850" t="s">
        <v>81</v>
      </c>
      <c r="I2850" t="s">
        <v>34</v>
      </c>
    </row>
    <row r="2851" spans="1:9" x14ac:dyDescent="0.3">
      <c r="A2851">
        <v>7</v>
      </c>
      <c r="B2851">
        <v>1</v>
      </c>
      <c r="C2851">
        <v>3</v>
      </c>
      <c r="D2851">
        <v>1</v>
      </c>
      <c r="E2851" t="s">
        <v>9</v>
      </c>
      <c r="F2851" t="s">
        <v>4864</v>
      </c>
      <c r="G2851" t="s">
        <v>4865</v>
      </c>
      <c r="H2851">
        <v>3.5670000000000002</v>
      </c>
      <c r="I2851" t="s">
        <v>12</v>
      </c>
    </row>
    <row r="2852" spans="1:9" x14ac:dyDescent="0.3">
      <c r="A2852">
        <v>7</v>
      </c>
      <c r="B2852">
        <v>1</v>
      </c>
      <c r="C2852">
        <v>3</v>
      </c>
      <c r="D2852">
        <v>1</v>
      </c>
      <c r="E2852" t="s">
        <v>9</v>
      </c>
      <c r="F2852" t="s">
        <v>4866</v>
      </c>
      <c r="G2852" t="s">
        <v>4867</v>
      </c>
      <c r="H2852">
        <v>6.6</v>
      </c>
      <c r="I2852" t="s">
        <v>12</v>
      </c>
    </row>
    <row r="2853" spans="1:9" x14ac:dyDescent="0.3">
      <c r="A2853">
        <v>7</v>
      </c>
      <c r="B2853">
        <v>1</v>
      </c>
      <c r="C2853">
        <v>3</v>
      </c>
      <c r="D2853">
        <v>1</v>
      </c>
      <c r="E2853" t="s">
        <v>9</v>
      </c>
      <c r="F2853" t="s">
        <v>4868</v>
      </c>
      <c r="G2853" t="s">
        <v>4869</v>
      </c>
      <c r="H2853">
        <v>5.3659999999999997</v>
      </c>
      <c r="I2853" t="s">
        <v>12</v>
      </c>
    </row>
    <row r="2854" spans="1:9" x14ac:dyDescent="0.3">
      <c r="A2854">
        <v>7</v>
      </c>
      <c r="B2854">
        <v>1</v>
      </c>
      <c r="C2854">
        <v>3</v>
      </c>
      <c r="D2854">
        <v>1</v>
      </c>
      <c r="E2854" t="s">
        <v>9</v>
      </c>
      <c r="F2854" t="s">
        <v>4870</v>
      </c>
      <c r="G2854" t="s">
        <v>4871</v>
      </c>
      <c r="H2854">
        <v>4.2</v>
      </c>
      <c r="I2854" t="s">
        <v>12</v>
      </c>
    </row>
    <row r="2855" spans="1:9" x14ac:dyDescent="0.3">
      <c r="A2855">
        <v>7</v>
      </c>
      <c r="B2855">
        <v>1</v>
      </c>
      <c r="C2855">
        <v>3</v>
      </c>
      <c r="D2855">
        <v>1</v>
      </c>
      <c r="E2855" t="s">
        <v>19</v>
      </c>
      <c r="F2855" t="s">
        <v>4872</v>
      </c>
      <c r="I2855" t="s">
        <v>21</v>
      </c>
    </row>
    <row r="2856" spans="1:9" x14ac:dyDescent="0.3">
      <c r="A2856">
        <v>7</v>
      </c>
      <c r="B2856">
        <v>3</v>
      </c>
      <c r="C2856">
        <v>1</v>
      </c>
      <c r="D2856">
        <v>1</v>
      </c>
      <c r="E2856" t="s">
        <v>22</v>
      </c>
      <c r="F2856" t="s">
        <v>4873</v>
      </c>
      <c r="G2856" t="s">
        <v>4874</v>
      </c>
      <c r="H2856">
        <v>3.6859999999999999</v>
      </c>
      <c r="I2856" t="s">
        <v>21</v>
      </c>
    </row>
    <row r="2857" spans="1:9" x14ac:dyDescent="0.3">
      <c r="A2857">
        <v>7</v>
      </c>
      <c r="B2857">
        <v>3</v>
      </c>
      <c r="C2857">
        <v>1</v>
      </c>
      <c r="D2857">
        <v>1</v>
      </c>
      <c r="E2857" t="s">
        <v>22</v>
      </c>
      <c r="F2857" t="s">
        <v>4875</v>
      </c>
      <c r="G2857" t="s">
        <v>4876</v>
      </c>
      <c r="H2857">
        <v>3.7679999999999998</v>
      </c>
      <c r="I2857" t="s">
        <v>21</v>
      </c>
    </row>
    <row r="2858" spans="1:9" x14ac:dyDescent="0.3">
      <c r="A2858">
        <v>7</v>
      </c>
      <c r="B2858">
        <v>3</v>
      </c>
      <c r="C2858">
        <v>1</v>
      </c>
      <c r="D2858">
        <v>1</v>
      </c>
      <c r="E2858" t="s">
        <v>19</v>
      </c>
      <c r="F2858" t="s">
        <v>4877</v>
      </c>
      <c r="I2858" t="s">
        <v>21</v>
      </c>
    </row>
    <row r="2859" spans="1:9" x14ac:dyDescent="0.3">
      <c r="A2859">
        <v>7</v>
      </c>
      <c r="B2859">
        <v>3</v>
      </c>
      <c r="C2859">
        <v>1</v>
      </c>
      <c r="D2859">
        <v>1</v>
      </c>
      <c r="E2859" t="s">
        <v>9</v>
      </c>
      <c r="F2859" t="s">
        <v>4878</v>
      </c>
      <c r="G2859" t="s">
        <v>4879</v>
      </c>
      <c r="H2859">
        <v>5.22</v>
      </c>
      <c r="I2859" t="s">
        <v>12</v>
      </c>
    </row>
    <row r="2860" spans="1:9" x14ac:dyDescent="0.3">
      <c r="A2860">
        <v>7</v>
      </c>
      <c r="B2860">
        <v>3</v>
      </c>
      <c r="C2860">
        <v>1</v>
      </c>
      <c r="D2860">
        <v>2</v>
      </c>
      <c r="E2860" t="s">
        <v>22</v>
      </c>
      <c r="F2860" t="s">
        <v>4880</v>
      </c>
      <c r="G2860" t="s">
        <v>4881</v>
      </c>
      <c r="H2860">
        <v>3.2519999999999998</v>
      </c>
      <c r="I2860" t="s">
        <v>21</v>
      </c>
    </row>
    <row r="2861" spans="1:9" x14ac:dyDescent="0.3">
      <c r="A2861">
        <v>7</v>
      </c>
      <c r="B2861">
        <v>3</v>
      </c>
      <c r="C2861">
        <v>1</v>
      </c>
      <c r="D2861">
        <v>2</v>
      </c>
      <c r="E2861" t="s">
        <v>22</v>
      </c>
      <c r="F2861" t="s">
        <v>4882</v>
      </c>
      <c r="G2861" t="s">
        <v>4883</v>
      </c>
      <c r="H2861">
        <v>1.333</v>
      </c>
      <c r="I2861" t="s">
        <v>21</v>
      </c>
    </row>
    <row r="2862" spans="1:9" x14ac:dyDescent="0.3">
      <c r="A2862">
        <v>7</v>
      </c>
      <c r="B2862">
        <v>3</v>
      </c>
      <c r="C2862">
        <v>1</v>
      </c>
      <c r="D2862">
        <v>2</v>
      </c>
      <c r="E2862" t="s">
        <v>9</v>
      </c>
      <c r="F2862" t="s">
        <v>4884</v>
      </c>
      <c r="G2862" t="s">
        <v>4885</v>
      </c>
      <c r="H2862">
        <v>9.8010000000000002</v>
      </c>
      <c r="I2862" t="s">
        <v>12</v>
      </c>
    </row>
    <row r="2863" spans="1:9" x14ac:dyDescent="0.3">
      <c r="A2863">
        <v>7</v>
      </c>
      <c r="B2863">
        <v>3</v>
      </c>
      <c r="C2863">
        <v>1</v>
      </c>
      <c r="D2863">
        <v>2</v>
      </c>
      <c r="E2863" t="s">
        <v>9</v>
      </c>
      <c r="F2863" t="s">
        <v>4886</v>
      </c>
      <c r="G2863" t="s">
        <v>4887</v>
      </c>
      <c r="H2863">
        <v>2.2519999999999998</v>
      </c>
      <c r="I2863" t="s">
        <v>12</v>
      </c>
    </row>
    <row r="2864" spans="1:9" x14ac:dyDescent="0.3">
      <c r="A2864">
        <v>7</v>
      </c>
      <c r="B2864">
        <v>3</v>
      </c>
      <c r="C2864">
        <v>1</v>
      </c>
      <c r="D2864">
        <v>2</v>
      </c>
      <c r="E2864" t="s">
        <v>19</v>
      </c>
      <c r="F2864" t="s">
        <v>4888</v>
      </c>
      <c r="I2864" t="s">
        <v>21</v>
      </c>
    </row>
    <row r="2865" spans="1:9" x14ac:dyDescent="0.3">
      <c r="A2865">
        <v>7</v>
      </c>
      <c r="B2865">
        <v>3</v>
      </c>
      <c r="C2865">
        <v>1</v>
      </c>
      <c r="D2865">
        <v>3</v>
      </c>
      <c r="E2865" t="s">
        <v>22</v>
      </c>
      <c r="F2865" t="s">
        <v>4889</v>
      </c>
      <c r="G2865" t="s">
        <v>4890</v>
      </c>
      <c r="H2865">
        <v>2.5529999999999999</v>
      </c>
      <c r="I2865" t="s">
        <v>21</v>
      </c>
    </row>
    <row r="2866" spans="1:9" x14ac:dyDescent="0.3">
      <c r="A2866">
        <v>7</v>
      </c>
      <c r="B2866">
        <v>3</v>
      </c>
      <c r="C2866">
        <v>1</v>
      </c>
      <c r="D2866">
        <v>3</v>
      </c>
      <c r="E2866" t="s">
        <v>22</v>
      </c>
      <c r="F2866" t="s">
        <v>4891</v>
      </c>
      <c r="G2866" t="s">
        <v>4892</v>
      </c>
      <c r="H2866">
        <v>2.867</v>
      </c>
      <c r="I2866" t="s">
        <v>21</v>
      </c>
    </row>
    <row r="2867" spans="1:9" x14ac:dyDescent="0.3">
      <c r="A2867">
        <v>7</v>
      </c>
      <c r="B2867">
        <v>3</v>
      </c>
      <c r="C2867">
        <v>1</v>
      </c>
      <c r="D2867">
        <v>3</v>
      </c>
      <c r="E2867" t="s">
        <v>9</v>
      </c>
      <c r="F2867" t="s">
        <v>4893</v>
      </c>
      <c r="G2867" t="s">
        <v>4894</v>
      </c>
      <c r="H2867">
        <v>1.919</v>
      </c>
      <c r="I2867" t="s">
        <v>12</v>
      </c>
    </row>
    <row r="2868" spans="1:9" x14ac:dyDescent="0.3">
      <c r="A2868">
        <v>7</v>
      </c>
      <c r="B2868">
        <v>3</v>
      </c>
      <c r="C2868">
        <v>1</v>
      </c>
      <c r="D2868">
        <v>3</v>
      </c>
      <c r="E2868" t="s">
        <v>19</v>
      </c>
      <c r="F2868" t="s">
        <v>4895</v>
      </c>
      <c r="I2868" t="s">
        <v>34</v>
      </c>
    </row>
    <row r="2869" spans="1:9" x14ac:dyDescent="0.3">
      <c r="A2869">
        <v>7</v>
      </c>
      <c r="B2869">
        <v>3</v>
      </c>
      <c r="C2869">
        <v>1</v>
      </c>
      <c r="D2869">
        <v>3</v>
      </c>
      <c r="E2869" t="s">
        <v>9</v>
      </c>
      <c r="F2869" t="s">
        <v>4896</v>
      </c>
      <c r="G2869" t="s">
        <v>4897</v>
      </c>
      <c r="H2869">
        <v>2.2999999999999998</v>
      </c>
      <c r="I2869" t="s">
        <v>12</v>
      </c>
    </row>
    <row r="2870" spans="1:9" x14ac:dyDescent="0.3">
      <c r="A2870">
        <v>7</v>
      </c>
      <c r="B2870">
        <v>3</v>
      </c>
      <c r="C2870">
        <v>1</v>
      </c>
      <c r="D2870">
        <v>4</v>
      </c>
      <c r="E2870" t="s">
        <v>9</v>
      </c>
      <c r="F2870" t="s">
        <v>4898</v>
      </c>
      <c r="G2870" t="s">
        <v>4899</v>
      </c>
      <c r="H2870">
        <v>4.1859999999999999</v>
      </c>
      <c r="I2870" t="s">
        <v>12</v>
      </c>
    </row>
    <row r="2871" spans="1:9" x14ac:dyDescent="0.3">
      <c r="A2871">
        <v>7</v>
      </c>
      <c r="B2871">
        <v>3</v>
      </c>
      <c r="C2871">
        <v>1</v>
      </c>
      <c r="D2871">
        <v>4</v>
      </c>
      <c r="E2871" t="s">
        <v>9</v>
      </c>
      <c r="F2871" t="s">
        <v>4900</v>
      </c>
      <c r="G2871" t="s">
        <v>4901</v>
      </c>
      <c r="H2871">
        <v>1.718</v>
      </c>
      <c r="I2871" t="s">
        <v>12</v>
      </c>
    </row>
    <row r="2872" spans="1:9" x14ac:dyDescent="0.3">
      <c r="A2872">
        <v>7</v>
      </c>
      <c r="B2872">
        <v>3</v>
      </c>
      <c r="C2872">
        <v>1</v>
      </c>
      <c r="D2872">
        <v>4</v>
      </c>
      <c r="E2872" t="s">
        <v>22</v>
      </c>
      <c r="F2872" t="s">
        <v>4902</v>
      </c>
      <c r="G2872" t="s">
        <v>4903</v>
      </c>
      <c r="H2872">
        <v>1.734</v>
      </c>
      <c r="I2872" t="s">
        <v>21</v>
      </c>
    </row>
    <row r="2873" spans="1:9" x14ac:dyDescent="0.3">
      <c r="A2873">
        <v>7</v>
      </c>
      <c r="B2873">
        <v>3</v>
      </c>
      <c r="C2873">
        <v>1</v>
      </c>
      <c r="D2873">
        <v>4</v>
      </c>
      <c r="E2873" t="s">
        <v>22</v>
      </c>
      <c r="F2873" t="s">
        <v>4904</v>
      </c>
      <c r="G2873" t="s">
        <v>4905</v>
      </c>
      <c r="H2873">
        <v>5.3010000000000002</v>
      </c>
      <c r="I2873" t="s">
        <v>34</v>
      </c>
    </row>
    <row r="2874" spans="1:9" x14ac:dyDescent="0.3">
      <c r="A2874">
        <v>7</v>
      </c>
      <c r="B2874">
        <v>3</v>
      </c>
      <c r="C2874">
        <v>1</v>
      </c>
      <c r="D2874">
        <v>4</v>
      </c>
      <c r="E2874" t="s">
        <v>19</v>
      </c>
      <c r="F2874" t="s">
        <v>4906</v>
      </c>
      <c r="I2874" t="s">
        <v>34</v>
      </c>
    </row>
    <row r="2875" spans="1:9" x14ac:dyDescent="0.3">
      <c r="A2875">
        <v>7</v>
      </c>
      <c r="B2875">
        <v>3</v>
      </c>
      <c r="C2875">
        <v>1</v>
      </c>
      <c r="D2875">
        <v>5</v>
      </c>
      <c r="E2875" t="s">
        <v>9</v>
      </c>
      <c r="F2875" t="s">
        <v>4907</v>
      </c>
      <c r="G2875" t="s">
        <v>4908</v>
      </c>
      <c r="H2875">
        <v>2.1520000000000001</v>
      </c>
      <c r="I2875" t="s">
        <v>12</v>
      </c>
    </row>
    <row r="2876" spans="1:9" x14ac:dyDescent="0.3">
      <c r="A2876">
        <v>7</v>
      </c>
      <c r="B2876">
        <v>3</v>
      </c>
      <c r="C2876">
        <v>1</v>
      </c>
      <c r="D2876">
        <v>5</v>
      </c>
      <c r="E2876" t="s">
        <v>9</v>
      </c>
      <c r="F2876" t="s">
        <v>4909</v>
      </c>
      <c r="G2876" t="s">
        <v>4910</v>
      </c>
      <c r="H2876">
        <v>2.5190000000000001</v>
      </c>
      <c r="I2876" t="s">
        <v>12</v>
      </c>
    </row>
    <row r="2877" spans="1:9" x14ac:dyDescent="0.3">
      <c r="A2877">
        <v>7</v>
      </c>
      <c r="B2877">
        <v>3</v>
      </c>
      <c r="C2877">
        <v>1</v>
      </c>
      <c r="D2877">
        <v>5</v>
      </c>
      <c r="E2877" t="s">
        <v>22</v>
      </c>
      <c r="F2877" t="s">
        <v>4911</v>
      </c>
      <c r="G2877" t="s">
        <v>4912</v>
      </c>
      <c r="H2877">
        <v>1.034</v>
      </c>
      <c r="I2877" t="s">
        <v>21</v>
      </c>
    </row>
    <row r="2878" spans="1:9" x14ac:dyDescent="0.3">
      <c r="A2878">
        <v>7</v>
      </c>
      <c r="B2878">
        <v>3</v>
      </c>
      <c r="C2878">
        <v>1</v>
      </c>
      <c r="D2878">
        <v>5</v>
      </c>
      <c r="E2878" t="s">
        <v>22</v>
      </c>
      <c r="F2878" t="s">
        <v>4913</v>
      </c>
      <c r="G2878" t="s">
        <v>4914</v>
      </c>
      <c r="H2878">
        <v>5.601</v>
      </c>
      <c r="I2878" t="s">
        <v>21</v>
      </c>
    </row>
    <row r="2879" spans="1:9" x14ac:dyDescent="0.3">
      <c r="A2879">
        <v>7</v>
      </c>
      <c r="B2879">
        <v>3</v>
      </c>
      <c r="C2879">
        <v>1</v>
      </c>
      <c r="D2879">
        <v>5</v>
      </c>
      <c r="E2879" t="s">
        <v>19</v>
      </c>
      <c r="F2879" t="s">
        <v>4915</v>
      </c>
      <c r="I2879" t="s">
        <v>21</v>
      </c>
    </row>
    <row r="2880" spans="1:9" x14ac:dyDescent="0.3">
      <c r="A2880">
        <v>7</v>
      </c>
      <c r="B2880">
        <v>3</v>
      </c>
      <c r="C2880">
        <v>1</v>
      </c>
      <c r="D2880">
        <v>6</v>
      </c>
      <c r="E2880" t="s">
        <v>9</v>
      </c>
      <c r="F2880" t="s">
        <v>4916</v>
      </c>
      <c r="G2880" t="s">
        <v>4917</v>
      </c>
      <c r="H2880">
        <v>1.952</v>
      </c>
      <c r="I2880" t="s">
        <v>12</v>
      </c>
    </row>
    <row r="2881" spans="1:9" x14ac:dyDescent="0.3">
      <c r="A2881">
        <v>7</v>
      </c>
      <c r="B2881">
        <v>3</v>
      </c>
      <c r="C2881">
        <v>1</v>
      </c>
      <c r="D2881">
        <v>6</v>
      </c>
      <c r="E2881" t="s">
        <v>9</v>
      </c>
      <c r="F2881" t="s">
        <v>4918</v>
      </c>
      <c r="G2881" t="s">
        <v>4919</v>
      </c>
      <c r="H2881">
        <v>1.9730000000000001</v>
      </c>
      <c r="I2881" t="s">
        <v>12</v>
      </c>
    </row>
    <row r="2882" spans="1:9" x14ac:dyDescent="0.3">
      <c r="A2882">
        <v>7</v>
      </c>
      <c r="B2882">
        <v>3</v>
      </c>
      <c r="C2882">
        <v>1</v>
      </c>
      <c r="D2882">
        <v>6</v>
      </c>
      <c r="E2882" t="s">
        <v>22</v>
      </c>
      <c r="F2882" t="s">
        <v>4920</v>
      </c>
      <c r="G2882" t="s">
        <v>4921</v>
      </c>
      <c r="H2882">
        <v>1.8</v>
      </c>
      <c r="I2882" t="s">
        <v>21</v>
      </c>
    </row>
    <row r="2883" spans="1:9" x14ac:dyDescent="0.3">
      <c r="A2883">
        <v>7</v>
      </c>
      <c r="B2883">
        <v>3</v>
      </c>
      <c r="C2883">
        <v>1</v>
      </c>
      <c r="D2883">
        <v>6</v>
      </c>
      <c r="E2883" t="s">
        <v>22</v>
      </c>
      <c r="F2883" t="s">
        <v>4922</v>
      </c>
      <c r="G2883" t="s">
        <v>4923</v>
      </c>
      <c r="H2883">
        <v>2.4009999999999998</v>
      </c>
      <c r="I2883" t="s">
        <v>21</v>
      </c>
    </row>
    <row r="2884" spans="1:9" x14ac:dyDescent="0.3">
      <c r="A2884">
        <v>7</v>
      </c>
      <c r="B2884">
        <v>3</v>
      </c>
      <c r="C2884">
        <v>1</v>
      </c>
      <c r="D2884">
        <v>6</v>
      </c>
      <c r="E2884" t="s">
        <v>19</v>
      </c>
      <c r="F2884" t="s">
        <v>4924</v>
      </c>
      <c r="I2884" t="s">
        <v>21</v>
      </c>
    </row>
    <row r="2885" spans="1:9" x14ac:dyDescent="0.3">
      <c r="A2885">
        <v>7</v>
      </c>
      <c r="B2885">
        <v>3</v>
      </c>
      <c r="C2885">
        <v>1</v>
      </c>
      <c r="D2885">
        <v>6</v>
      </c>
      <c r="E2885" t="s">
        <v>19</v>
      </c>
      <c r="F2885" t="s">
        <v>4925</v>
      </c>
      <c r="I2885" t="s">
        <v>21</v>
      </c>
    </row>
    <row r="2886" spans="1:9" x14ac:dyDescent="0.3">
      <c r="A2886">
        <v>7</v>
      </c>
      <c r="B2886">
        <v>3</v>
      </c>
      <c r="C2886">
        <v>1</v>
      </c>
      <c r="D2886">
        <v>7</v>
      </c>
      <c r="E2886" t="s">
        <v>22</v>
      </c>
      <c r="F2886" t="s">
        <v>4926</v>
      </c>
      <c r="G2886" t="s">
        <v>4927</v>
      </c>
      <c r="H2886">
        <v>3.891</v>
      </c>
      <c r="I2886" t="s">
        <v>21</v>
      </c>
    </row>
    <row r="2887" spans="1:9" x14ac:dyDescent="0.3">
      <c r="A2887">
        <v>7</v>
      </c>
      <c r="B2887">
        <v>3</v>
      </c>
      <c r="C2887">
        <v>1</v>
      </c>
      <c r="D2887">
        <v>7</v>
      </c>
      <c r="E2887" t="s">
        <v>9</v>
      </c>
      <c r="F2887" t="s">
        <v>4928</v>
      </c>
      <c r="G2887" t="s">
        <v>4929</v>
      </c>
      <c r="H2887">
        <v>2.6669999999999998</v>
      </c>
      <c r="I2887" t="s">
        <v>12</v>
      </c>
    </row>
    <row r="2888" spans="1:9" x14ac:dyDescent="0.3">
      <c r="A2888">
        <v>7</v>
      </c>
      <c r="B2888">
        <v>3</v>
      </c>
      <c r="C2888">
        <v>1</v>
      </c>
      <c r="D2888">
        <v>7</v>
      </c>
      <c r="E2888" t="s">
        <v>9</v>
      </c>
      <c r="F2888" t="s">
        <v>4930</v>
      </c>
      <c r="G2888" t="s">
        <v>4931</v>
      </c>
      <c r="H2888">
        <v>4.0860000000000003</v>
      </c>
      <c r="I2888" t="s">
        <v>12</v>
      </c>
    </row>
    <row r="2889" spans="1:9" x14ac:dyDescent="0.3">
      <c r="A2889">
        <v>7</v>
      </c>
      <c r="B2889">
        <v>3</v>
      </c>
      <c r="C2889">
        <v>1</v>
      </c>
      <c r="D2889">
        <v>7</v>
      </c>
      <c r="E2889" t="s">
        <v>19</v>
      </c>
      <c r="F2889" t="s">
        <v>4932</v>
      </c>
      <c r="I2889" t="s">
        <v>21</v>
      </c>
    </row>
    <row r="2890" spans="1:9" x14ac:dyDescent="0.3">
      <c r="A2890">
        <v>7</v>
      </c>
      <c r="B2890">
        <v>3</v>
      </c>
      <c r="C2890">
        <v>1</v>
      </c>
      <c r="D2890">
        <v>7</v>
      </c>
      <c r="E2890" t="s">
        <v>22</v>
      </c>
      <c r="F2890" t="s">
        <v>4933</v>
      </c>
      <c r="G2890" t="s">
        <v>4934</v>
      </c>
      <c r="H2890">
        <v>3.0680000000000001</v>
      </c>
      <c r="I2890" t="s">
        <v>21</v>
      </c>
    </row>
    <row r="2891" spans="1:9" x14ac:dyDescent="0.3">
      <c r="A2891">
        <v>7</v>
      </c>
      <c r="B2891">
        <v>3</v>
      </c>
      <c r="C2891">
        <v>1</v>
      </c>
      <c r="D2891">
        <v>7</v>
      </c>
      <c r="E2891" t="s">
        <v>19</v>
      </c>
      <c r="F2891" t="s">
        <v>4935</v>
      </c>
      <c r="I2891" t="s">
        <v>34</v>
      </c>
    </row>
    <row r="2892" spans="1:9" x14ac:dyDescent="0.3">
      <c r="A2892">
        <v>7</v>
      </c>
      <c r="B2892">
        <v>3</v>
      </c>
      <c r="C2892">
        <v>1</v>
      </c>
      <c r="D2892">
        <v>7</v>
      </c>
      <c r="E2892" t="s">
        <v>19</v>
      </c>
      <c r="F2892" t="s">
        <v>4936</v>
      </c>
      <c r="I2892" t="s">
        <v>34</v>
      </c>
    </row>
    <row r="2893" spans="1:9" x14ac:dyDescent="0.3">
      <c r="A2893">
        <v>7</v>
      </c>
      <c r="B2893">
        <v>3</v>
      </c>
      <c r="C2893">
        <v>1</v>
      </c>
      <c r="D2893">
        <v>7</v>
      </c>
      <c r="E2893" t="s">
        <v>19</v>
      </c>
      <c r="F2893" t="s">
        <v>4937</v>
      </c>
      <c r="I2893" t="s">
        <v>21</v>
      </c>
    </row>
    <row r="2894" spans="1:9" x14ac:dyDescent="0.3">
      <c r="A2894">
        <v>7</v>
      </c>
      <c r="B2894">
        <v>3</v>
      </c>
      <c r="C2894">
        <v>1</v>
      </c>
      <c r="D2894">
        <v>7</v>
      </c>
      <c r="E2894" t="s">
        <v>19</v>
      </c>
      <c r="F2894" t="s">
        <v>4938</v>
      </c>
      <c r="I2894" t="s">
        <v>34</v>
      </c>
    </row>
    <row r="2895" spans="1:9" x14ac:dyDescent="0.3">
      <c r="A2895">
        <v>7</v>
      </c>
      <c r="B2895">
        <v>3</v>
      </c>
      <c r="C2895">
        <v>1</v>
      </c>
      <c r="D2895">
        <v>7</v>
      </c>
      <c r="E2895" t="s">
        <v>19</v>
      </c>
      <c r="F2895" t="s">
        <v>4939</v>
      </c>
      <c r="I2895" t="s">
        <v>34</v>
      </c>
    </row>
    <row r="2896" spans="1:9" x14ac:dyDescent="0.3">
      <c r="A2896">
        <v>7</v>
      </c>
      <c r="B2896">
        <v>3</v>
      </c>
      <c r="C2896">
        <v>1</v>
      </c>
      <c r="D2896">
        <v>7</v>
      </c>
      <c r="E2896" t="s">
        <v>19</v>
      </c>
      <c r="F2896" t="s">
        <v>4940</v>
      </c>
      <c r="I2896" t="s">
        <v>21</v>
      </c>
    </row>
    <row r="2897" spans="1:9" x14ac:dyDescent="0.3">
      <c r="A2897">
        <v>7</v>
      </c>
      <c r="B2897">
        <v>3</v>
      </c>
      <c r="C2897">
        <v>1</v>
      </c>
      <c r="D2897">
        <v>7</v>
      </c>
      <c r="E2897" t="s">
        <v>19</v>
      </c>
      <c r="F2897" t="s">
        <v>4941</v>
      </c>
      <c r="I2897" t="s">
        <v>21</v>
      </c>
    </row>
    <row r="2898" spans="1:9" x14ac:dyDescent="0.3">
      <c r="A2898">
        <v>7</v>
      </c>
      <c r="B2898">
        <v>3</v>
      </c>
      <c r="C2898">
        <v>3</v>
      </c>
      <c r="D2898">
        <v>1</v>
      </c>
      <c r="E2898" t="s">
        <v>9</v>
      </c>
      <c r="F2898" t="s">
        <v>4942</v>
      </c>
      <c r="G2898" t="s">
        <v>4943</v>
      </c>
      <c r="H2898">
        <v>1.9179999999999999</v>
      </c>
      <c r="I2898" t="s">
        <v>12</v>
      </c>
    </row>
    <row r="2899" spans="1:9" x14ac:dyDescent="0.3">
      <c r="A2899">
        <v>7</v>
      </c>
      <c r="B2899">
        <v>3</v>
      </c>
      <c r="C2899">
        <v>3</v>
      </c>
      <c r="D2899">
        <v>1</v>
      </c>
      <c r="E2899" t="s">
        <v>9</v>
      </c>
      <c r="F2899" t="s">
        <v>4944</v>
      </c>
      <c r="G2899" t="s">
        <v>4945</v>
      </c>
      <c r="H2899">
        <v>3.6190000000000002</v>
      </c>
      <c r="I2899" t="s">
        <v>12</v>
      </c>
    </row>
    <row r="2900" spans="1:9" x14ac:dyDescent="0.3">
      <c r="A2900">
        <v>7</v>
      </c>
      <c r="B2900">
        <v>3</v>
      </c>
      <c r="C2900">
        <v>3</v>
      </c>
      <c r="D2900">
        <v>1</v>
      </c>
      <c r="E2900" t="s">
        <v>9</v>
      </c>
      <c r="F2900" t="s">
        <v>4946</v>
      </c>
      <c r="G2900" t="s">
        <v>4947</v>
      </c>
      <c r="H2900">
        <v>1.901</v>
      </c>
      <c r="I2900" t="s">
        <v>12</v>
      </c>
    </row>
    <row r="2901" spans="1:9" x14ac:dyDescent="0.3">
      <c r="A2901">
        <v>7</v>
      </c>
      <c r="B2901">
        <v>3</v>
      </c>
      <c r="C2901">
        <v>3</v>
      </c>
      <c r="D2901">
        <v>1</v>
      </c>
      <c r="E2901" t="s">
        <v>9</v>
      </c>
      <c r="F2901" t="s">
        <v>4948</v>
      </c>
      <c r="G2901" t="s">
        <v>4949</v>
      </c>
      <c r="H2901">
        <v>1.968</v>
      </c>
      <c r="I2901" t="s">
        <v>12</v>
      </c>
    </row>
    <row r="2902" spans="1:9" x14ac:dyDescent="0.3">
      <c r="A2902">
        <v>8</v>
      </c>
      <c r="B2902">
        <v>1</v>
      </c>
      <c r="C2902">
        <v>1</v>
      </c>
      <c r="D2902">
        <v>1</v>
      </c>
      <c r="E2902" t="s">
        <v>9</v>
      </c>
      <c r="F2902" t="s">
        <v>4950</v>
      </c>
      <c r="G2902" t="s">
        <v>4951</v>
      </c>
      <c r="H2902">
        <v>6.7519999999999998</v>
      </c>
      <c r="I2902" t="s">
        <v>12</v>
      </c>
    </row>
    <row r="2903" spans="1:9" x14ac:dyDescent="0.3">
      <c r="A2903">
        <v>8</v>
      </c>
      <c r="B2903">
        <v>1</v>
      </c>
      <c r="C2903">
        <v>1</v>
      </c>
      <c r="D2903">
        <v>2</v>
      </c>
      <c r="E2903" t="s">
        <v>9</v>
      </c>
      <c r="F2903" t="s">
        <v>4952</v>
      </c>
      <c r="G2903" t="s">
        <v>4953</v>
      </c>
      <c r="H2903">
        <v>5.9530000000000003</v>
      </c>
      <c r="I2903" t="s">
        <v>12</v>
      </c>
    </row>
    <row r="2904" spans="1:9" x14ac:dyDescent="0.3">
      <c r="A2904">
        <v>8</v>
      </c>
      <c r="B2904">
        <v>1</v>
      </c>
      <c r="C2904">
        <v>1</v>
      </c>
      <c r="D2904">
        <v>3</v>
      </c>
      <c r="E2904" t="s">
        <v>9</v>
      </c>
      <c r="F2904" t="s">
        <v>4954</v>
      </c>
      <c r="G2904" t="s">
        <v>4955</v>
      </c>
      <c r="H2904">
        <v>3.0169999999999999</v>
      </c>
      <c r="I2904" t="s">
        <v>12</v>
      </c>
    </row>
    <row r="2905" spans="1:9" x14ac:dyDescent="0.3">
      <c r="A2905">
        <v>8</v>
      </c>
      <c r="B2905">
        <v>1</v>
      </c>
      <c r="C2905">
        <v>2</v>
      </c>
      <c r="D2905">
        <v>1</v>
      </c>
      <c r="E2905" t="s">
        <v>9</v>
      </c>
      <c r="F2905" t="s">
        <v>4956</v>
      </c>
      <c r="G2905" t="s">
        <v>4957</v>
      </c>
      <c r="H2905">
        <v>4.7859999999999996</v>
      </c>
      <c r="I2905" t="s">
        <v>12</v>
      </c>
    </row>
    <row r="2906" spans="1:9" x14ac:dyDescent="0.3">
      <c r="A2906">
        <v>8</v>
      </c>
      <c r="B2906">
        <v>1</v>
      </c>
      <c r="C2906">
        <v>2</v>
      </c>
      <c r="D2906">
        <v>1</v>
      </c>
      <c r="E2906" t="s">
        <v>9</v>
      </c>
      <c r="F2906" t="s">
        <v>4958</v>
      </c>
      <c r="G2906" t="s">
        <v>4959</v>
      </c>
      <c r="H2906">
        <v>4.867</v>
      </c>
      <c r="I2906" t="s">
        <v>12</v>
      </c>
    </row>
    <row r="2907" spans="1:9" x14ac:dyDescent="0.3">
      <c r="A2907">
        <v>8</v>
      </c>
      <c r="B2907">
        <v>1</v>
      </c>
      <c r="C2907">
        <v>2</v>
      </c>
      <c r="D2907">
        <v>2</v>
      </c>
      <c r="E2907" t="s">
        <v>9</v>
      </c>
      <c r="F2907" t="s">
        <v>4960</v>
      </c>
      <c r="G2907" t="s">
        <v>4961</v>
      </c>
      <c r="H2907">
        <v>2.6520000000000001</v>
      </c>
      <c r="I2907" t="s">
        <v>12</v>
      </c>
    </row>
    <row r="2908" spans="1:9" x14ac:dyDescent="0.3">
      <c r="A2908">
        <v>8</v>
      </c>
      <c r="B2908">
        <v>1</v>
      </c>
      <c r="C2908">
        <v>2</v>
      </c>
      <c r="D2908">
        <v>2</v>
      </c>
      <c r="E2908" t="s">
        <v>9</v>
      </c>
      <c r="F2908" t="s">
        <v>4962</v>
      </c>
      <c r="G2908" t="s">
        <v>4963</v>
      </c>
      <c r="H2908">
        <v>2.4849999999999999</v>
      </c>
      <c r="I2908" t="s">
        <v>12</v>
      </c>
    </row>
    <row r="2909" spans="1:9" x14ac:dyDescent="0.3">
      <c r="A2909">
        <v>8</v>
      </c>
      <c r="B2909">
        <v>2</v>
      </c>
      <c r="C2909">
        <v>1</v>
      </c>
      <c r="D2909">
        <v>1</v>
      </c>
      <c r="E2909" t="s">
        <v>9</v>
      </c>
      <c r="F2909" t="s">
        <v>4964</v>
      </c>
      <c r="G2909" t="s">
        <v>4965</v>
      </c>
      <c r="H2909">
        <v>2.887</v>
      </c>
      <c r="I2909" t="s">
        <v>12</v>
      </c>
    </row>
    <row r="2910" spans="1:9" x14ac:dyDescent="0.3">
      <c r="A2910">
        <v>8</v>
      </c>
      <c r="B2910">
        <v>2</v>
      </c>
      <c r="C2910">
        <v>1</v>
      </c>
      <c r="D2910">
        <v>2</v>
      </c>
      <c r="E2910" t="s">
        <v>9</v>
      </c>
      <c r="F2910" t="s">
        <v>4966</v>
      </c>
      <c r="G2910" t="s">
        <v>4967</v>
      </c>
      <c r="H2910">
        <v>3.286</v>
      </c>
      <c r="I2910" t="s">
        <v>12</v>
      </c>
    </row>
    <row r="2911" spans="1:9" x14ac:dyDescent="0.3">
      <c r="A2911">
        <v>8</v>
      </c>
      <c r="B2911">
        <v>2</v>
      </c>
      <c r="C2911">
        <v>1</v>
      </c>
      <c r="D2911">
        <v>3</v>
      </c>
      <c r="E2911" t="s">
        <v>9</v>
      </c>
      <c r="F2911" t="s">
        <v>4968</v>
      </c>
      <c r="G2911" t="s">
        <v>4969</v>
      </c>
      <c r="H2911">
        <v>7.42</v>
      </c>
      <c r="I2911" t="s">
        <v>12</v>
      </c>
    </row>
    <row r="2912" spans="1:9" x14ac:dyDescent="0.3">
      <c r="A2912">
        <v>8</v>
      </c>
      <c r="B2912">
        <v>2</v>
      </c>
      <c r="C2912">
        <v>1</v>
      </c>
      <c r="D2912">
        <v>3</v>
      </c>
      <c r="E2912" t="s">
        <v>9</v>
      </c>
      <c r="F2912" t="s">
        <v>4970</v>
      </c>
      <c r="G2912" t="s">
        <v>4971</v>
      </c>
      <c r="H2912">
        <v>2.919</v>
      </c>
      <c r="I2912" t="s">
        <v>12</v>
      </c>
    </row>
    <row r="2913" spans="1:9" x14ac:dyDescent="0.3">
      <c r="A2913">
        <v>8</v>
      </c>
      <c r="B2913">
        <v>2</v>
      </c>
      <c r="C2913">
        <v>1</v>
      </c>
      <c r="D2913">
        <v>3</v>
      </c>
      <c r="E2913" t="s">
        <v>9</v>
      </c>
      <c r="F2913" t="s">
        <v>4972</v>
      </c>
      <c r="G2913" t="s">
        <v>4973</v>
      </c>
      <c r="H2913">
        <v>2.5009999999999999</v>
      </c>
      <c r="I2913" t="s">
        <v>12</v>
      </c>
    </row>
    <row r="2914" spans="1:9" x14ac:dyDescent="0.3">
      <c r="A2914">
        <v>8</v>
      </c>
      <c r="B2914">
        <v>2</v>
      </c>
      <c r="C2914">
        <v>1</v>
      </c>
      <c r="D2914">
        <v>3</v>
      </c>
      <c r="E2914" t="s">
        <v>9</v>
      </c>
      <c r="F2914" t="s">
        <v>4974</v>
      </c>
      <c r="G2914" t="s">
        <v>4975</v>
      </c>
      <c r="H2914">
        <v>3.0329999999999999</v>
      </c>
      <c r="I2914" t="s">
        <v>12</v>
      </c>
    </row>
    <row r="2915" spans="1:9" x14ac:dyDescent="0.3">
      <c r="A2915">
        <v>8</v>
      </c>
      <c r="B2915">
        <v>2</v>
      </c>
      <c r="C2915">
        <v>1</v>
      </c>
      <c r="D2915">
        <v>3</v>
      </c>
      <c r="E2915" t="s">
        <v>22</v>
      </c>
      <c r="F2915" t="s">
        <v>4976</v>
      </c>
      <c r="G2915" t="s">
        <v>4977</v>
      </c>
      <c r="H2915">
        <v>2.0339999999999998</v>
      </c>
      <c r="I2915" t="s">
        <v>21</v>
      </c>
    </row>
    <row r="2916" spans="1:9" x14ac:dyDescent="0.3">
      <c r="A2916">
        <v>8</v>
      </c>
      <c r="B2916">
        <v>2</v>
      </c>
      <c r="C2916">
        <v>1</v>
      </c>
      <c r="D2916">
        <v>3</v>
      </c>
      <c r="E2916" t="s">
        <v>19</v>
      </c>
      <c r="F2916" t="s">
        <v>4978</v>
      </c>
      <c r="I2916" t="s">
        <v>34</v>
      </c>
    </row>
    <row r="2917" spans="1:9" x14ac:dyDescent="0.3">
      <c r="A2917">
        <v>8</v>
      </c>
      <c r="B2917">
        <v>2</v>
      </c>
      <c r="C2917">
        <v>1</v>
      </c>
      <c r="D2917">
        <v>5</v>
      </c>
      <c r="E2917" t="s">
        <v>22</v>
      </c>
      <c r="F2917" t="s">
        <v>4979</v>
      </c>
      <c r="G2917" t="s">
        <v>4980</v>
      </c>
      <c r="H2917">
        <v>5.6189999999999998</v>
      </c>
      <c r="I2917" t="s">
        <v>21</v>
      </c>
    </row>
    <row r="2918" spans="1:9" x14ac:dyDescent="0.3">
      <c r="A2918">
        <v>8</v>
      </c>
      <c r="B2918">
        <v>2</v>
      </c>
      <c r="C2918">
        <v>1</v>
      </c>
      <c r="D2918">
        <v>6</v>
      </c>
      <c r="E2918" t="s">
        <v>22</v>
      </c>
      <c r="F2918" t="s">
        <v>4981</v>
      </c>
      <c r="G2918" t="s">
        <v>4982</v>
      </c>
      <c r="H2918">
        <v>1.72</v>
      </c>
      <c r="I2918" t="s">
        <v>21</v>
      </c>
    </row>
    <row r="2919" spans="1:9" x14ac:dyDescent="0.3">
      <c r="A2919">
        <v>8</v>
      </c>
      <c r="B2919">
        <v>2</v>
      </c>
      <c r="C2919">
        <v>1</v>
      </c>
      <c r="D2919">
        <v>6</v>
      </c>
      <c r="E2919" t="s">
        <v>9</v>
      </c>
      <c r="F2919" t="s">
        <v>4983</v>
      </c>
      <c r="G2919" t="s">
        <v>4984</v>
      </c>
      <c r="H2919">
        <v>2.5</v>
      </c>
      <c r="I2919" t="s">
        <v>12</v>
      </c>
    </row>
    <row r="2920" spans="1:9" x14ac:dyDescent="0.3">
      <c r="A2920">
        <v>8</v>
      </c>
      <c r="B2920">
        <v>2</v>
      </c>
      <c r="C2920">
        <v>1</v>
      </c>
      <c r="D2920">
        <v>6</v>
      </c>
      <c r="E2920" t="s">
        <v>9</v>
      </c>
      <c r="F2920" t="s">
        <v>4985</v>
      </c>
      <c r="G2920" t="s">
        <v>4986</v>
      </c>
      <c r="H2920">
        <v>1.601</v>
      </c>
      <c r="I2920" t="s">
        <v>12</v>
      </c>
    </row>
    <row r="2921" spans="1:9" x14ac:dyDescent="0.3">
      <c r="A2921">
        <v>8</v>
      </c>
      <c r="B2921">
        <v>2</v>
      </c>
      <c r="C2921">
        <v>1</v>
      </c>
      <c r="D2921">
        <v>6</v>
      </c>
      <c r="E2921" t="s">
        <v>9</v>
      </c>
      <c r="F2921" t="s">
        <v>4987</v>
      </c>
      <c r="G2921" t="s">
        <v>4988</v>
      </c>
      <c r="H2921">
        <v>3.8010000000000002</v>
      </c>
      <c r="I2921" t="s">
        <v>12</v>
      </c>
    </row>
    <row r="2922" spans="1:9" x14ac:dyDescent="0.3">
      <c r="A2922">
        <v>8</v>
      </c>
      <c r="B2922">
        <v>2</v>
      </c>
      <c r="C2922">
        <v>1</v>
      </c>
      <c r="D2922">
        <v>6</v>
      </c>
      <c r="E2922" t="s">
        <v>9</v>
      </c>
      <c r="F2922" t="s">
        <v>4989</v>
      </c>
      <c r="G2922" t="s">
        <v>4990</v>
      </c>
      <c r="H2922">
        <v>2.101</v>
      </c>
      <c r="I2922" t="s">
        <v>12</v>
      </c>
    </row>
    <row r="2923" spans="1:9" x14ac:dyDescent="0.3">
      <c r="A2923">
        <v>8</v>
      </c>
      <c r="B2923">
        <v>2</v>
      </c>
      <c r="C2923">
        <v>1</v>
      </c>
      <c r="D2923">
        <v>6</v>
      </c>
      <c r="E2923" t="s">
        <v>19</v>
      </c>
      <c r="F2923" t="s">
        <v>4991</v>
      </c>
      <c r="I2923" t="s">
        <v>21</v>
      </c>
    </row>
    <row r="2924" spans="1:9" x14ac:dyDescent="0.3">
      <c r="A2924">
        <v>8</v>
      </c>
      <c r="B2924">
        <v>2</v>
      </c>
      <c r="C2924">
        <v>1</v>
      </c>
      <c r="D2924">
        <v>7</v>
      </c>
      <c r="E2924" t="s">
        <v>22</v>
      </c>
      <c r="F2924" t="s">
        <v>4992</v>
      </c>
      <c r="G2924" t="s">
        <v>4993</v>
      </c>
      <c r="H2924">
        <v>1.92</v>
      </c>
      <c r="I2924" t="s">
        <v>21</v>
      </c>
    </row>
    <row r="2925" spans="1:9" x14ac:dyDescent="0.3">
      <c r="A2925">
        <v>8</v>
      </c>
      <c r="B2925">
        <v>2</v>
      </c>
      <c r="C2925">
        <v>1</v>
      </c>
      <c r="D2925">
        <v>7</v>
      </c>
      <c r="E2925" t="s">
        <v>9</v>
      </c>
      <c r="F2925" t="s">
        <v>4994</v>
      </c>
      <c r="G2925" t="s">
        <v>4995</v>
      </c>
      <c r="H2925">
        <v>2.0339999999999998</v>
      </c>
      <c r="I2925" t="s">
        <v>12</v>
      </c>
    </row>
    <row r="2926" spans="1:9" x14ac:dyDescent="0.3">
      <c r="A2926">
        <v>8</v>
      </c>
      <c r="B2926">
        <v>2</v>
      </c>
      <c r="C2926">
        <v>1</v>
      </c>
      <c r="D2926">
        <v>7</v>
      </c>
      <c r="E2926" t="s">
        <v>9</v>
      </c>
      <c r="F2926" t="s">
        <v>4996</v>
      </c>
      <c r="G2926" t="s">
        <v>4997</v>
      </c>
      <c r="H2926">
        <v>3.8010000000000002</v>
      </c>
      <c r="I2926" t="s">
        <v>12</v>
      </c>
    </row>
    <row r="2927" spans="1:9" x14ac:dyDescent="0.3">
      <c r="A2927">
        <v>8</v>
      </c>
      <c r="B2927">
        <v>3</v>
      </c>
      <c r="C2927">
        <v>1</v>
      </c>
      <c r="D2927">
        <v>1</v>
      </c>
      <c r="E2927" t="s">
        <v>22</v>
      </c>
      <c r="F2927" t="s">
        <v>4998</v>
      </c>
      <c r="G2927" t="s">
        <v>4999</v>
      </c>
      <c r="H2927">
        <v>2.387</v>
      </c>
      <c r="I2927" t="s">
        <v>21</v>
      </c>
    </row>
    <row r="2928" spans="1:9" x14ac:dyDescent="0.3">
      <c r="A2928">
        <v>8</v>
      </c>
      <c r="B2928">
        <v>3</v>
      </c>
      <c r="C2928">
        <v>1</v>
      </c>
      <c r="D2928">
        <v>1</v>
      </c>
      <c r="E2928" t="s">
        <v>9</v>
      </c>
      <c r="F2928" t="s">
        <v>5000</v>
      </c>
      <c r="G2928" t="s">
        <v>5001</v>
      </c>
      <c r="H2928">
        <v>4.9669999999999996</v>
      </c>
      <c r="I2928" t="s">
        <v>12</v>
      </c>
    </row>
    <row r="2929" spans="1:9" x14ac:dyDescent="0.3">
      <c r="A2929">
        <v>8</v>
      </c>
      <c r="B2929">
        <v>3</v>
      </c>
      <c r="C2929">
        <v>1</v>
      </c>
      <c r="D2929">
        <v>1</v>
      </c>
      <c r="E2929" t="s">
        <v>9</v>
      </c>
      <c r="F2929" t="s">
        <v>5002</v>
      </c>
      <c r="G2929" t="s">
        <v>5003</v>
      </c>
      <c r="H2929">
        <v>2.2010000000000001</v>
      </c>
      <c r="I2929" t="s">
        <v>12</v>
      </c>
    </row>
    <row r="2930" spans="1:9" x14ac:dyDescent="0.3">
      <c r="A2930">
        <v>8</v>
      </c>
      <c r="B2930">
        <v>3</v>
      </c>
      <c r="C2930">
        <v>1</v>
      </c>
      <c r="D2930">
        <v>1</v>
      </c>
      <c r="E2930" t="s">
        <v>9</v>
      </c>
      <c r="F2930" t="s">
        <v>5004</v>
      </c>
      <c r="G2930" t="s">
        <v>5005</v>
      </c>
      <c r="H2930">
        <v>2.867</v>
      </c>
      <c r="I2930" t="s">
        <v>12</v>
      </c>
    </row>
    <row r="2931" spans="1:9" x14ac:dyDescent="0.3">
      <c r="A2931">
        <v>8</v>
      </c>
      <c r="B2931">
        <v>3</v>
      </c>
      <c r="C2931">
        <v>1</v>
      </c>
      <c r="D2931">
        <v>1</v>
      </c>
      <c r="E2931" t="s">
        <v>9</v>
      </c>
      <c r="F2931" t="s">
        <v>5006</v>
      </c>
      <c r="G2931" t="s">
        <v>5007</v>
      </c>
      <c r="H2931">
        <v>2.0680000000000001</v>
      </c>
      <c r="I2931" t="s">
        <v>12</v>
      </c>
    </row>
    <row r="2932" spans="1:9" x14ac:dyDescent="0.3">
      <c r="A2932">
        <v>8</v>
      </c>
      <c r="B2932">
        <v>3</v>
      </c>
      <c r="C2932">
        <v>1</v>
      </c>
      <c r="D2932">
        <v>1</v>
      </c>
      <c r="E2932" t="s">
        <v>19</v>
      </c>
      <c r="F2932" t="s">
        <v>5008</v>
      </c>
      <c r="I2932" t="s">
        <v>21</v>
      </c>
    </row>
    <row r="2933" spans="1:9" x14ac:dyDescent="0.3">
      <c r="A2933">
        <v>8</v>
      </c>
      <c r="B2933">
        <v>3</v>
      </c>
      <c r="C2933">
        <v>1</v>
      </c>
      <c r="D2933">
        <v>2</v>
      </c>
      <c r="E2933" t="s">
        <v>22</v>
      </c>
      <c r="F2933" t="s">
        <v>5009</v>
      </c>
      <c r="G2933" t="s">
        <v>5010</v>
      </c>
      <c r="H2933">
        <v>2.1869999999999998</v>
      </c>
      <c r="I2933" t="s">
        <v>21</v>
      </c>
    </row>
    <row r="2934" spans="1:9" x14ac:dyDescent="0.3">
      <c r="A2934">
        <v>8</v>
      </c>
      <c r="B2934">
        <v>3</v>
      </c>
      <c r="C2934">
        <v>1</v>
      </c>
      <c r="D2934">
        <v>2</v>
      </c>
      <c r="E2934" t="s">
        <v>9</v>
      </c>
      <c r="F2934" t="s">
        <v>5011</v>
      </c>
      <c r="G2934" t="s">
        <v>5012</v>
      </c>
      <c r="H2934">
        <v>2.367</v>
      </c>
      <c r="I2934" t="s">
        <v>12</v>
      </c>
    </row>
    <row r="2935" spans="1:9" x14ac:dyDescent="0.3">
      <c r="A2935">
        <v>8</v>
      </c>
      <c r="B2935">
        <v>3</v>
      </c>
      <c r="C2935">
        <v>1</v>
      </c>
      <c r="D2935">
        <v>2</v>
      </c>
      <c r="E2935" t="s">
        <v>9</v>
      </c>
      <c r="F2935" t="s">
        <v>5013</v>
      </c>
      <c r="G2935" t="s">
        <v>5014</v>
      </c>
      <c r="H2935">
        <v>1.8680000000000001</v>
      </c>
      <c r="I2935" t="s">
        <v>12</v>
      </c>
    </row>
    <row r="2936" spans="1:9" x14ac:dyDescent="0.3">
      <c r="A2936">
        <v>8</v>
      </c>
      <c r="B2936">
        <v>3</v>
      </c>
      <c r="C2936">
        <v>1</v>
      </c>
      <c r="D2936">
        <v>2</v>
      </c>
      <c r="E2936" t="s">
        <v>9</v>
      </c>
      <c r="F2936" t="s">
        <v>5015</v>
      </c>
      <c r="G2936" t="s">
        <v>5016</v>
      </c>
      <c r="H2936">
        <v>1.734</v>
      </c>
      <c r="I2936" t="s">
        <v>12</v>
      </c>
    </row>
    <row r="2937" spans="1:9" x14ac:dyDescent="0.3">
      <c r="A2937">
        <v>8</v>
      </c>
      <c r="B2937">
        <v>3</v>
      </c>
      <c r="C2937">
        <v>1</v>
      </c>
      <c r="D2937">
        <v>2</v>
      </c>
      <c r="E2937" t="s">
        <v>9</v>
      </c>
      <c r="F2937" t="s">
        <v>5017</v>
      </c>
      <c r="G2937" t="s">
        <v>5018</v>
      </c>
      <c r="H2937">
        <v>1.968</v>
      </c>
      <c r="I2937" t="s">
        <v>12</v>
      </c>
    </row>
    <row r="2938" spans="1:9" x14ac:dyDescent="0.3">
      <c r="A2938">
        <v>8</v>
      </c>
      <c r="B2938">
        <v>3</v>
      </c>
      <c r="C2938">
        <v>1</v>
      </c>
      <c r="D2938">
        <v>2</v>
      </c>
      <c r="E2938" t="s">
        <v>22</v>
      </c>
      <c r="F2938" t="s">
        <v>5019</v>
      </c>
      <c r="G2938" t="s">
        <v>5020</v>
      </c>
      <c r="H2938">
        <v>2.3330000000000002</v>
      </c>
      <c r="I2938" t="s">
        <v>21</v>
      </c>
    </row>
    <row r="2939" spans="1:9" x14ac:dyDescent="0.3">
      <c r="A2939">
        <v>8</v>
      </c>
      <c r="B2939">
        <v>3</v>
      </c>
      <c r="C2939">
        <v>1</v>
      </c>
      <c r="D2939">
        <v>2</v>
      </c>
      <c r="E2939" t="s">
        <v>19</v>
      </c>
      <c r="F2939" t="s">
        <v>5021</v>
      </c>
      <c r="I2939" t="s">
        <v>34</v>
      </c>
    </row>
    <row r="2940" spans="1:9" x14ac:dyDescent="0.3">
      <c r="A2940">
        <v>8</v>
      </c>
      <c r="B2940">
        <v>3</v>
      </c>
      <c r="C2940">
        <v>1</v>
      </c>
      <c r="D2940">
        <v>3</v>
      </c>
      <c r="E2940" t="s">
        <v>22</v>
      </c>
      <c r="F2940" t="s">
        <v>5022</v>
      </c>
      <c r="G2940" t="s">
        <v>5023</v>
      </c>
      <c r="H2940">
        <v>1.4530000000000001</v>
      </c>
      <c r="I2940" t="s">
        <v>21</v>
      </c>
    </row>
    <row r="2941" spans="1:9" x14ac:dyDescent="0.3">
      <c r="A2941">
        <v>8</v>
      </c>
      <c r="B2941">
        <v>3</v>
      </c>
      <c r="C2941">
        <v>1</v>
      </c>
      <c r="D2941">
        <v>3</v>
      </c>
      <c r="E2941" t="s">
        <v>9</v>
      </c>
      <c r="F2941" t="s">
        <v>5024</v>
      </c>
      <c r="G2941" t="s">
        <v>5025</v>
      </c>
      <c r="H2941">
        <v>2.133</v>
      </c>
      <c r="I2941" t="s">
        <v>12</v>
      </c>
    </row>
    <row r="2942" spans="1:9" x14ac:dyDescent="0.3">
      <c r="A2942">
        <v>8</v>
      </c>
      <c r="B2942">
        <v>3</v>
      </c>
      <c r="C2942">
        <v>1</v>
      </c>
      <c r="D2942">
        <v>3</v>
      </c>
      <c r="E2942" t="s">
        <v>9</v>
      </c>
      <c r="F2942" t="s">
        <v>5026</v>
      </c>
      <c r="G2942" t="s">
        <v>5027</v>
      </c>
      <c r="H2942">
        <v>1.8</v>
      </c>
      <c r="I2942" t="s">
        <v>12</v>
      </c>
    </row>
    <row r="2943" spans="1:9" x14ac:dyDescent="0.3">
      <c r="A2943">
        <v>8</v>
      </c>
      <c r="B2943">
        <v>3</v>
      </c>
      <c r="C2943">
        <v>1</v>
      </c>
      <c r="D2943">
        <v>3</v>
      </c>
      <c r="E2943" t="s">
        <v>9</v>
      </c>
      <c r="F2943" t="s">
        <v>5028</v>
      </c>
      <c r="G2943" t="s">
        <v>5029</v>
      </c>
      <c r="H2943">
        <v>4.7</v>
      </c>
      <c r="I2943" t="s">
        <v>12</v>
      </c>
    </row>
    <row r="2944" spans="1:9" x14ac:dyDescent="0.3">
      <c r="A2944">
        <v>8</v>
      </c>
      <c r="B2944">
        <v>3</v>
      </c>
      <c r="C2944">
        <v>1</v>
      </c>
      <c r="D2944">
        <v>3</v>
      </c>
      <c r="E2944" t="s">
        <v>9</v>
      </c>
      <c r="F2944" t="s">
        <v>5030</v>
      </c>
      <c r="G2944" t="s">
        <v>5031</v>
      </c>
      <c r="H2944">
        <v>4.367</v>
      </c>
      <c r="I2944" t="s">
        <v>12</v>
      </c>
    </row>
    <row r="2945" spans="1:9" x14ac:dyDescent="0.3">
      <c r="A2945">
        <v>8</v>
      </c>
      <c r="B2945">
        <v>3</v>
      </c>
      <c r="C2945">
        <v>1</v>
      </c>
      <c r="D2945">
        <v>3</v>
      </c>
      <c r="E2945" t="s">
        <v>19</v>
      </c>
      <c r="F2945" t="s">
        <v>5032</v>
      </c>
      <c r="I2945" t="s">
        <v>21</v>
      </c>
    </row>
    <row r="2946" spans="1:9" x14ac:dyDescent="0.3">
      <c r="A2946">
        <v>8</v>
      </c>
      <c r="B2946">
        <v>3</v>
      </c>
      <c r="C2946">
        <v>1</v>
      </c>
      <c r="D2946">
        <v>4</v>
      </c>
      <c r="E2946" t="s">
        <v>22</v>
      </c>
      <c r="F2946" t="s">
        <v>5033</v>
      </c>
      <c r="G2946" t="s">
        <v>5034</v>
      </c>
      <c r="H2946">
        <v>1.1200000000000001</v>
      </c>
      <c r="I2946" t="s">
        <v>21</v>
      </c>
    </row>
    <row r="2947" spans="1:9" x14ac:dyDescent="0.3">
      <c r="A2947">
        <v>8</v>
      </c>
      <c r="B2947">
        <v>3</v>
      </c>
      <c r="C2947">
        <v>1</v>
      </c>
      <c r="D2947">
        <v>4</v>
      </c>
      <c r="E2947" t="s">
        <v>22</v>
      </c>
      <c r="F2947" t="s">
        <v>5035</v>
      </c>
      <c r="G2947" t="s">
        <v>5036</v>
      </c>
      <c r="H2947">
        <v>2.1339999999999999</v>
      </c>
      <c r="I2947" t="s">
        <v>21</v>
      </c>
    </row>
    <row r="2948" spans="1:9" x14ac:dyDescent="0.3">
      <c r="A2948">
        <v>8</v>
      </c>
      <c r="B2948">
        <v>3</v>
      </c>
      <c r="C2948">
        <v>1</v>
      </c>
      <c r="D2948">
        <v>4</v>
      </c>
      <c r="E2948" t="s">
        <v>9</v>
      </c>
      <c r="F2948" t="s">
        <v>5037</v>
      </c>
      <c r="G2948" t="s">
        <v>5038</v>
      </c>
      <c r="H2948">
        <v>2.4350000000000001</v>
      </c>
      <c r="I2948" t="s">
        <v>12</v>
      </c>
    </row>
    <row r="2949" spans="1:9" x14ac:dyDescent="0.3">
      <c r="A2949">
        <v>8</v>
      </c>
      <c r="B2949">
        <v>3</v>
      </c>
      <c r="C2949">
        <v>1</v>
      </c>
      <c r="D2949">
        <v>4</v>
      </c>
      <c r="E2949" t="s">
        <v>9</v>
      </c>
      <c r="F2949" t="s">
        <v>5039</v>
      </c>
      <c r="G2949" t="s">
        <v>5040</v>
      </c>
      <c r="H2949">
        <v>2.5</v>
      </c>
      <c r="I2949" t="s">
        <v>12</v>
      </c>
    </row>
    <row r="2950" spans="1:9" x14ac:dyDescent="0.3">
      <c r="A2950">
        <v>8</v>
      </c>
      <c r="B2950">
        <v>3</v>
      </c>
      <c r="C2950">
        <v>1</v>
      </c>
      <c r="D2950">
        <v>4</v>
      </c>
      <c r="E2950" t="s">
        <v>9</v>
      </c>
      <c r="F2950" t="s">
        <v>5041</v>
      </c>
      <c r="G2950" t="s">
        <v>5042</v>
      </c>
      <c r="H2950">
        <v>3.0680000000000001</v>
      </c>
      <c r="I2950" t="s">
        <v>12</v>
      </c>
    </row>
    <row r="2951" spans="1:9" x14ac:dyDescent="0.3">
      <c r="A2951">
        <v>8</v>
      </c>
      <c r="B2951">
        <v>3</v>
      </c>
      <c r="C2951">
        <v>1</v>
      </c>
      <c r="D2951">
        <v>4</v>
      </c>
      <c r="E2951" t="s">
        <v>9</v>
      </c>
      <c r="F2951" t="s">
        <v>5043</v>
      </c>
      <c r="G2951" t="s">
        <v>5044</v>
      </c>
      <c r="H2951">
        <v>4.3010000000000002</v>
      </c>
      <c r="I2951" t="s">
        <v>12</v>
      </c>
    </row>
    <row r="2952" spans="1:9" x14ac:dyDescent="0.3">
      <c r="A2952">
        <v>8</v>
      </c>
      <c r="B2952">
        <v>3</v>
      </c>
      <c r="C2952">
        <v>1</v>
      </c>
      <c r="D2952">
        <v>4</v>
      </c>
      <c r="E2952" t="s">
        <v>19</v>
      </c>
      <c r="F2952" t="s">
        <v>5045</v>
      </c>
      <c r="I2952" t="s">
        <v>21</v>
      </c>
    </row>
    <row r="2953" spans="1:9" x14ac:dyDescent="0.3">
      <c r="A2953">
        <v>8</v>
      </c>
      <c r="B2953">
        <v>3</v>
      </c>
      <c r="C2953">
        <v>1</v>
      </c>
      <c r="D2953">
        <v>5</v>
      </c>
      <c r="E2953" t="s">
        <v>22</v>
      </c>
      <c r="F2953" t="s">
        <v>5046</v>
      </c>
      <c r="G2953" t="s">
        <v>5047</v>
      </c>
      <c r="H2953">
        <v>1.4850000000000001</v>
      </c>
      <c r="I2953" t="s">
        <v>21</v>
      </c>
    </row>
    <row r="2954" spans="1:9" x14ac:dyDescent="0.3">
      <c r="A2954">
        <v>8</v>
      </c>
      <c r="B2954">
        <v>3</v>
      </c>
      <c r="C2954">
        <v>1</v>
      </c>
      <c r="D2954">
        <v>5</v>
      </c>
      <c r="E2954" t="s">
        <v>22</v>
      </c>
      <c r="F2954" t="s">
        <v>5048</v>
      </c>
      <c r="G2954" t="s">
        <v>5049</v>
      </c>
      <c r="H2954">
        <v>3.7010000000000001</v>
      </c>
      <c r="I2954" t="s">
        <v>21</v>
      </c>
    </row>
    <row r="2955" spans="1:9" x14ac:dyDescent="0.3">
      <c r="A2955">
        <v>8</v>
      </c>
      <c r="B2955">
        <v>3</v>
      </c>
      <c r="C2955">
        <v>1</v>
      </c>
      <c r="D2955">
        <v>5</v>
      </c>
      <c r="E2955" t="s">
        <v>9</v>
      </c>
      <c r="F2955" t="s">
        <v>5050</v>
      </c>
      <c r="G2955" t="s">
        <v>5051</v>
      </c>
      <c r="H2955">
        <v>1.9670000000000001</v>
      </c>
      <c r="I2955" t="s">
        <v>12</v>
      </c>
    </row>
    <row r="2956" spans="1:9" x14ac:dyDescent="0.3">
      <c r="A2956">
        <v>8</v>
      </c>
      <c r="B2956">
        <v>3</v>
      </c>
      <c r="C2956">
        <v>1</v>
      </c>
      <c r="D2956">
        <v>5</v>
      </c>
      <c r="E2956" t="s">
        <v>9</v>
      </c>
      <c r="F2956" t="s">
        <v>5052</v>
      </c>
      <c r="G2956" t="s">
        <v>5053</v>
      </c>
      <c r="H2956">
        <v>2.7669999999999999</v>
      </c>
      <c r="I2956" t="s">
        <v>12</v>
      </c>
    </row>
    <row r="2957" spans="1:9" x14ac:dyDescent="0.3">
      <c r="A2957">
        <v>8</v>
      </c>
      <c r="B2957">
        <v>3</v>
      </c>
      <c r="C2957">
        <v>1</v>
      </c>
      <c r="D2957">
        <v>5</v>
      </c>
      <c r="E2957" t="s">
        <v>9</v>
      </c>
      <c r="F2957" t="s">
        <v>5054</v>
      </c>
      <c r="G2957" t="s">
        <v>5055</v>
      </c>
      <c r="H2957">
        <v>2.7679999999999998</v>
      </c>
      <c r="I2957" t="s">
        <v>12</v>
      </c>
    </row>
    <row r="2958" spans="1:9" x14ac:dyDescent="0.3">
      <c r="A2958">
        <v>8</v>
      </c>
      <c r="B2958">
        <v>3</v>
      </c>
      <c r="C2958">
        <v>1</v>
      </c>
      <c r="D2958">
        <v>5</v>
      </c>
      <c r="E2958" t="s">
        <v>19</v>
      </c>
      <c r="F2958" t="s">
        <v>5056</v>
      </c>
      <c r="I2958" t="s">
        <v>34</v>
      </c>
    </row>
    <row r="2959" spans="1:9" x14ac:dyDescent="0.3">
      <c r="A2959">
        <v>8</v>
      </c>
      <c r="B2959">
        <v>3</v>
      </c>
      <c r="C2959">
        <v>1</v>
      </c>
      <c r="D2959">
        <v>5</v>
      </c>
      <c r="E2959" t="s">
        <v>9</v>
      </c>
      <c r="F2959" t="s">
        <v>5057</v>
      </c>
      <c r="G2959" t="s">
        <v>5058</v>
      </c>
      <c r="H2959">
        <v>7.2350000000000003</v>
      </c>
      <c r="I2959" t="s">
        <v>12</v>
      </c>
    </row>
    <row r="2960" spans="1:9" x14ac:dyDescent="0.3">
      <c r="A2960">
        <v>8</v>
      </c>
      <c r="B2960">
        <v>3</v>
      </c>
      <c r="C2960">
        <v>1</v>
      </c>
      <c r="D2960">
        <v>5</v>
      </c>
      <c r="E2960" t="s">
        <v>19</v>
      </c>
      <c r="F2960" t="s">
        <v>5059</v>
      </c>
      <c r="I2960" t="s">
        <v>21</v>
      </c>
    </row>
    <row r="2961" spans="1:9" x14ac:dyDescent="0.3">
      <c r="A2961">
        <v>8</v>
      </c>
      <c r="B2961">
        <v>3</v>
      </c>
      <c r="C2961">
        <v>1</v>
      </c>
      <c r="D2961">
        <v>6</v>
      </c>
      <c r="E2961" t="s">
        <v>9</v>
      </c>
      <c r="F2961" t="s">
        <v>5060</v>
      </c>
      <c r="G2961" t="s">
        <v>5061</v>
      </c>
      <c r="H2961">
        <v>2.5859999999999999</v>
      </c>
      <c r="I2961" t="s">
        <v>12</v>
      </c>
    </row>
    <row r="2962" spans="1:9" x14ac:dyDescent="0.3">
      <c r="A2962">
        <v>8</v>
      </c>
      <c r="B2962">
        <v>3</v>
      </c>
      <c r="C2962">
        <v>1</v>
      </c>
      <c r="D2962">
        <v>6</v>
      </c>
      <c r="E2962" t="s">
        <v>9</v>
      </c>
      <c r="F2962" t="s">
        <v>5062</v>
      </c>
      <c r="G2962" t="s">
        <v>5063</v>
      </c>
      <c r="H2962">
        <v>2.202</v>
      </c>
      <c r="I2962" t="s">
        <v>12</v>
      </c>
    </row>
    <row r="2963" spans="1:9" x14ac:dyDescent="0.3">
      <c r="A2963">
        <v>8</v>
      </c>
      <c r="B2963">
        <v>3</v>
      </c>
      <c r="C2963">
        <v>1</v>
      </c>
      <c r="D2963">
        <v>6</v>
      </c>
      <c r="E2963" t="s">
        <v>9</v>
      </c>
      <c r="F2963" t="s">
        <v>5064</v>
      </c>
      <c r="G2963" t="s">
        <v>5065</v>
      </c>
      <c r="H2963">
        <v>1.9019999999999999</v>
      </c>
      <c r="I2963" t="s">
        <v>12</v>
      </c>
    </row>
    <row r="2964" spans="1:9" x14ac:dyDescent="0.3">
      <c r="A2964">
        <v>8</v>
      </c>
      <c r="B2964">
        <v>3</v>
      </c>
      <c r="C2964">
        <v>1</v>
      </c>
      <c r="D2964">
        <v>6</v>
      </c>
      <c r="E2964" t="s">
        <v>9</v>
      </c>
      <c r="F2964" t="s">
        <v>5066</v>
      </c>
      <c r="G2964" t="s">
        <v>5067</v>
      </c>
      <c r="H2964">
        <v>2.2949999999999999</v>
      </c>
      <c r="I2964" t="s">
        <v>12</v>
      </c>
    </row>
    <row r="2965" spans="1:9" x14ac:dyDescent="0.3">
      <c r="A2965">
        <v>8</v>
      </c>
      <c r="B2965">
        <v>3</v>
      </c>
      <c r="C2965">
        <v>1</v>
      </c>
      <c r="D2965">
        <v>6</v>
      </c>
      <c r="E2965" t="s">
        <v>19</v>
      </c>
      <c r="F2965" t="s">
        <v>5068</v>
      </c>
      <c r="I2965" t="s">
        <v>21</v>
      </c>
    </row>
    <row r="2966" spans="1:9" x14ac:dyDescent="0.3">
      <c r="A2966">
        <v>8</v>
      </c>
      <c r="B2966">
        <v>3</v>
      </c>
      <c r="C2966">
        <v>1</v>
      </c>
      <c r="D2966">
        <v>6</v>
      </c>
      <c r="E2966" t="s">
        <v>19</v>
      </c>
      <c r="F2966" t="s">
        <v>5069</v>
      </c>
      <c r="I2966" t="s">
        <v>21</v>
      </c>
    </row>
    <row r="2967" spans="1:9" x14ac:dyDescent="0.3">
      <c r="A2967">
        <v>8</v>
      </c>
      <c r="B2967">
        <v>3</v>
      </c>
      <c r="C2967">
        <v>1</v>
      </c>
      <c r="D2967">
        <v>6</v>
      </c>
      <c r="E2967" t="s">
        <v>22</v>
      </c>
      <c r="F2967" t="s">
        <v>5070</v>
      </c>
      <c r="G2967" t="s">
        <v>5071</v>
      </c>
      <c r="H2967">
        <v>1.268</v>
      </c>
      <c r="I2967" t="s">
        <v>21</v>
      </c>
    </row>
    <row r="2968" spans="1:9" x14ac:dyDescent="0.3">
      <c r="A2968">
        <v>8</v>
      </c>
      <c r="B2968">
        <v>3</v>
      </c>
      <c r="C2968">
        <v>1</v>
      </c>
      <c r="D2968">
        <v>8</v>
      </c>
      <c r="E2968" t="s">
        <v>22</v>
      </c>
      <c r="F2968" t="s">
        <v>5072</v>
      </c>
      <c r="G2968" t="s">
        <v>5073</v>
      </c>
      <c r="H2968">
        <v>3.286</v>
      </c>
      <c r="I2968" t="s">
        <v>21</v>
      </c>
    </row>
    <row r="2969" spans="1:9" x14ac:dyDescent="0.3">
      <c r="A2969">
        <v>8</v>
      </c>
      <c r="B2969">
        <v>3</v>
      </c>
      <c r="C2969">
        <v>1</v>
      </c>
      <c r="D2969">
        <v>8</v>
      </c>
      <c r="E2969" t="s">
        <v>9</v>
      </c>
      <c r="F2969" t="s">
        <v>5074</v>
      </c>
      <c r="G2969" t="s">
        <v>5075</v>
      </c>
      <c r="H2969">
        <v>4.0350000000000001</v>
      </c>
      <c r="I2969" t="s">
        <v>12</v>
      </c>
    </row>
    <row r="2970" spans="1:9" x14ac:dyDescent="0.3">
      <c r="A2970">
        <v>8</v>
      </c>
      <c r="B2970">
        <v>3</v>
      </c>
      <c r="C2970">
        <v>1</v>
      </c>
      <c r="D2970">
        <v>8</v>
      </c>
      <c r="E2970" t="s">
        <v>9</v>
      </c>
      <c r="F2970" t="s">
        <v>5076</v>
      </c>
      <c r="G2970" t="s">
        <v>5077</v>
      </c>
      <c r="H2970">
        <v>3.5350000000000001</v>
      </c>
      <c r="I2970" t="s">
        <v>12</v>
      </c>
    </row>
    <row r="2971" spans="1:9" x14ac:dyDescent="0.3">
      <c r="A2971">
        <v>8</v>
      </c>
      <c r="B2971">
        <v>3</v>
      </c>
      <c r="C2971">
        <v>1</v>
      </c>
      <c r="D2971">
        <v>8</v>
      </c>
      <c r="E2971" t="s">
        <v>9</v>
      </c>
      <c r="F2971" t="s">
        <v>5078</v>
      </c>
      <c r="G2971" t="s">
        <v>5079</v>
      </c>
      <c r="H2971">
        <v>2.3679999999999999</v>
      </c>
      <c r="I2971" t="s">
        <v>12</v>
      </c>
    </row>
    <row r="2972" spans="1:9" x14ac:dyDescent="0.3">
      <c r="A2972">
        <v>8</v>
      </c>
      <c r="B2972">
        <v>3</v>
      </c>
      <c r="C2972">
        <v>1</v>
      </c>
      <c r="D2972">
        <v>8</v>
      </c>
      <c r="E2972" t="s">
        <v>9</v>
      </c>
      <c r="F2972" t="s">
        <v>5080</v>
      </c>
      <c r="G2972" t="s">
        <v>5081</v>
      </c>
      <c r="H2972">
        <v>1.9339999999999999</v>
      </c>
      <c r="I2972" t="s">
        <v>12</v>
      </c>
    </row>
    <row r="2973" spans="1:9" x14ac:dyDescent="0.3">
      <c r="A2973">
        <v>8</v>
      </c>
      <c r="B2973">
        <v>3</v>
      </c>
      <c r="C2973">
        <v>1</v>
      </c>
      <c r="D2973">
        <v>8</v>
      </c>
      <c r="E2973" t="s">
        <v>19</v>
      </c>
      <c r="F2973" t="s">
        <v>5082</v>
      </c>
      <c r="I2973" t="s">
        <v>34</v>
      </c>
    </row>
    <row r="2974" spans="1:9" x14ac:dyDescent="0.3">
      <c r="A2974">
        <v>8</v>
      </c>
      <c r="B2974">
        <v>3</v>
      </c>
      <c r="C2974">
        <v>1</v>
      </c>
      <c r="D2974">
        <v>9</v>
      </c>
      <c r="E2974" t="s">
        <v>22</v>
      </c>
      <c r="F2974" t="s">
        <v>5083</v>
      </c>
      <c r="G2974" t="s">
        <v>5084</v>
      </c>
      <c r="H2974">
        <v>3.1520000000000001</v>
      </c>
      <c r="I2974" t="s">
        <v>21</v>
      </c>
    </row>
    <row r="2975" spans="1:9" x14ac:dyDescent="0.3">
      <c r="A2975">
        <v>8</v>
      </c>
      <c r="B2975">
        <v>3</v>
      </c>
      <c r="C2975">
        <v>1</v>
      </c>
      <c r="D2975">
        <v>9</v>
      </c>
      <c r="E2975" t="s">
        <v>9</v>
      </c>
      <c r="F2975" t="s">
        <v>5085</v>
      </c>
      <c r="G2975" t="s">
        <v>5086</v>
      </c>
      <c r="H2975">
        <v>1.7350000000000001</v>
      </c>
      <c r="I2975" t="s">
        <v>12</v>
      </c>
    </row>
    <row r="2976" spans="1:9" x14ac:dyDescent="0.3">
      <c r="A2976">
        <v>8</v>
      </c>
      <c r="B2976">
        <v>3</v>
      </c>
      <c r="C2976">
        <v>1</v>
      </c>
      <c r="D2976">
        <v>9</v>
      </c>
      <c r="E2976" t="s">
        <v>9</v>
      </c>
      <c r="F2976" t="s">
        <v>5087</v>
      </c>
      <c r="G2976" t="s">
        <v>5088</v>
      </c>
      <c r="H2976">
        <v>2.7</v>
      </c>
      <c r="I2976" t="s">
        <v>12</v>
      </c>
    </row>
    <row r="2977" spans="1:9" x14ac:dyDescent="0.3">
      <c r="A2977">
        <v>8</v>
      </c>
      <c r="B2977">
        <v>3</v>
      </c>
      <c r="C2977">
        <v>1</v>
      </c>
      <c r="D2977">
        <v>9</v>
      </c>
      <c r="E2977" t="s">
        <v>9</v>
      </c>
      <c r="F2977" t="s">
        <v>5089</v>
      </c>
      <c r="G2977" t="s">
        <v>5090</v>
      </c>
      <c r="H2977">
        <v>2.4350000000000001</v>
      </c>
      <c r="I2977" t="s">
        <v>12</v>
      </c>
    </row>
    <row r="2978" spans="1:9" x14ac:dyDescent="0.3">
      <c r="A2978">
        <v>8</v>
      </c>
      <c r="B2978">
        <v>3</v>
      </c>
      <c r="C2978">
        <v>1</v>
      </c>
      <c r="D2978">
        <v>9</v>
      </c>
      <c r="E2978" t="s">
        <v>19</v>
      </c>
      <c r="F2978" t="s">
        <v>5091</v>
      </c>
      <c r="I2978" t="s">
        <v>34</v>
      </c>
    </row>
    <row r="2979" spans="1:9" x14ac:dyDescent="0.3">
      <c r="A2979">
        <v>8</v>
      </c>
      <c r="B2979">
        <v>3</v>
      </c>
      <c r="C2979">
        <v>1</v>
      </c>
      <c r="D2979">
        <v>10</v>
      </c>
      <c r="E2979" t="s">
        <v>22</v>
      </c>
      <c r="F2979" t="s">
        <v>5092</v>
      </c>
      <c r="G2979" t="s">
        <v>5093</v>
      </c>
      <c r="H2979">
        <v>2.7869999999999999</v>
      </c>
      <c r="I2979" t="s">
        <v>21</v>
      </c>
    </row>
    <row r="2980" spans="1:9" x14ac:dyDescent="0.3">
      <c r="A2980">
        <v>8</v>
      </c>
      <c r="B2980">
        <v>3</v>
      </c>
      <c r="C2980">
        <v>1</v>
      </c>
      <c r="D2980">
        <v>10</v>
      </c>
      <c r="E2980" t="s">
        <v>9</v>
      </c>
      <c r="F2980" t="s">
        <v>5094</v>
      </c>
      <c r="G2980" t="s">
        <v>5095</v>
      </c>
      <c r="H2980">
        <v>1.901</v>
      </c>
      <c r="I2980" t="s">
        <v>12</v>
      </c>
    </row>
    <row r="2981" spans="1:9" x14ac:dyDescent="0.3">
      <c r="A2981">
        <v>8</v>
      </c>
      <c r="B2981">
        <v>3</v>
      </c>
      <c r="C2981">
        <v>1</v>
      </c>
      <c r="D2981">
        <v>10</v>
      </c>
      <c r="E2981" t="s">
        <v>9</v>
      </c>
      <c r="F2981" t="s">
        <v>5096</v>
      </c>
      <c r="G2981" t="s">
        <v>5097</v>
      </c>
      <c r="H2981">
        <v>3.0680000000000001</v>
      </c>
      <c r="I2981" t="s">
        <v>12</v>
      </c>
    </row>
    <row r="2982" spans="1:9" x14ac:dyDescent="0.3">
      <c r="A2982">
        <v>8</v>
      </c>
      <c r="B2982">
        <v>3</v>
      </c>
      <c r="C2982">
        <v>1</v>
      </c>
      <c r="D2982">
        <v>10</v>
      </c>
      <c r="E2982" t="s">
        <v>19</v>
      </c>
      <c r="F2982" t="s">
        <v>5098</v>
      </c>
      <c r="I2982" t="s">
        <v>21</v>
      </c>
    </row>
    <row r="2983" spans="1:9" x14ac:dyDescent="0.3">
      <c r="A2983">
        <v>8</v>
      </c>
      <c r="B2983">
        <v>3</v>
      </c>
      <c r="C2983">
        <v>1</v>
      </c>
      <c r="D2983">
        <v>10</v>
      </c>
      <c r="E2983" t="s">
        <v>9</v>
      </c>
      <c r="F2983" t="s">
        <v>5099</v>
      </c>
      <c r="H2983" t="s">
        <v>81</v>
      </c>
      <c r="I2983" t="s">
        <v>34</v>
      </c>
    </row>
    <row r="2984" spans="1:9" x14ac:dyDescent="0.3">
      <c r="A2984">
        <v>8</v>
      </c>
      <c r="B2984">
        <v>3</v>
      </c>
      <c r="C2984">
        <v>1</v>
      </c>
      <c r="D2984">
        <v>10</v>
      </c>
      <c r="E2984" t="s">
        <v>9</v>
      </c>
      <c r="F2984" t="s">
        <v>5100</v>
      </c>
      <c r="H2984" t="s">
        <v>81</v>
      </c>
      <c r="I2984" t="s">
        <v>34</v>
      </c>
    </row>
    <row r="2985" spans="1:9" x14ac:dyDescent="0.3">
      <c r="A2985">
        <v>8</v>
      </c>
      <c r="B2985">
        <v>3</v>
      </c>
      <c r="C2985">
        <v>1</v>
      </c>
      <c r="D2985">
        <v>10</v>
      </c>
      <c r="E2985" t="s">
        <v>19</v>
      </c>
      <c r="F2985" t="s">
        <v>5101</v>
      </c>
      <c r="I2985" t="s">
        <v>34</v>
      </c>
    </row>
    <row r="2986" spans="1:9" x14ac:dyDescent="0.3">
      <c r="A2986">
        <v>8</v>
      </c>
      <c r="B2986">
        <v>3</v>
      </c>
      <c r="C2986">
        <v>1</v>
      </c>
      <c r="D2986">
        <v>11</v>
      </c>
      <c r="E2986" t="s">
        <v>9</v>
      </c>
      <c r="F2986" t="s">
        <v>5102</v>
      </c>
      <c r="G2986" t="s">
        <v>5103</v>
      </c>
      <c r="H2986">
        <v>2.4529999999999998</v>
      </c>
      <c r="I2986" t="s">
        <v>12</v>
      </c>
    </row>
    <row r="2987" spans="1:9" x14ac:dyDescent="0.3">
      <c r="A2987">
        <v>9</v>
      </c>
      <c r="B2987">
        <v>1</v>
      </c>
      <c r="C2987">
        <v>1</v>
      </c>
      <c r="D2987">
        <v>1</v>
      </c>
      <c r="E2987" t="s">
        <v>9</v>
      </c>
      <c r="F2987" t="s">
        <v>5104</v>
      </c>
      <c r="G2987" t="s">
        <v>5105</v>
      </c>
      <c r="H2987">
        <v>4.6529999999999996</v>
      </c>
      <c r="I2987" t="s">
        <v>12</v>
      </c>
    </row>
    <row r="2988" spans="1:9" x14ac:dyDescent="0.3">
      <c r="A2988">
        <v>9</v>
      </c>
      <c r="B2988">
        <v>1</v>
      </c>
      <c r="C2988">
        <v>1</v>
      </c>
      <c r="D2988">
        <v>2</v>
      </c>
      <c r="E2988" t="s">
        <v>22</v>
      </c>
      <c r="F2988" t="s">
        <v>5106</v>
      </c>
      <c r="G2988" t="s">
        <v>5107</v>
      </c>
      <c r="H2988">
        <v>2.12</v>
      </c>
      <c r="I2988" t="s">
        <v>21</v>
      </c>
    </row>
    <row r="2989" spans="1:9" x14ac:dyDescent="0.3">
      <c r="A2989">
        <v>9</v>
      </c>
      <c r="B2989">
        <v>1</v>
      </c>
      <c r="C2989">
        <v>1</v>
      </c>
      <c r="D2989">
        <v>2</v>
      </c>
      <c r="E2989" t="s">
        <v>9</v>
      </c>
      <c r="F2989" t="s">
        <v>5108</v>
      </c>
      <c r="G2989" t="s">
        <v>5109</v>
      </c>
      <c r="H2989">
        <v>3.4340000000000002</v>
      </c>
      <c r="I2989" t="s">
        <v>12</v>
      </c>
    </row>
    <row r="2990" spans="1:9" x14ac:dyDescent="0.3">
      <c r="A2990">
        <v>9</v>
      </c>
      <c r="B2990">
        <v>1</v>
      </c>
      <c r="C2990">
        <v>1</v>
      </c>
      <c r="D2990">
        <v>2</v>
      </c>
      <c r="E2990" t="s">
        <v>9</v>
      </c>
      <c r="F2990" t="s">
        <v>5110</v>
      </c>
      <c r="G2990" t="s">
        <v>5111</v>
      </c>
      <c r="H2990">
        <v>2.1019999999999999</v>
      </c>
      <c r="I2990" t="s">
        <v>12</v>
      </c>
    </row>
    <row r="2991" spans="1:9" x14ac:dyDescent="0.3">
      <c r="A2991">
        <v>9</v>
      </c>
      <c r="B2991">
        <v>1</v>
      </c>
      <c r="C2991">
        <v>1</v>
      </c>
      <c r="D2991">
        <v>2</v>
      </c>
      <c r="E2991" t="s">
        <v>19</v>
      </c>
      <c r="F2991" t="s">
        <v>5112</v>
      </c>
      <c r="I2991" t="s">
        <v>21</v>
      </c>
    </row>
    <row r="2992" spans="1:9" x14ac:dyDescent="0.3">
      <c r="A2992">
        <v>9</v>
      </c>
      <c r="B2992">
        <v>1</v>
      </c>
      <c r="C2992">
        <v>1</v>
      </c>
      <c r="D2992">
        <v>3</v>
      </c>
      <c r="E2992" t="s">
        <v>22</v>
      </c>
      <c r="F2992" t="s">
        <v>5113</v>
      </c>
      <c r="G2992" t="s">
        <v>5114</v>
      </c>
      <c r="H2992">
        <v>2.3860000000000001</v>
      </c>
      <c r="I2992" t="s">
        <v>21</v>
      </c>
    </row>
    <row r="2993" spans="1:9" x14ac:dyDescent="0.3">
      <c r="A2993">
        <v>9</v>
      </c>
      <c r="B2993">
        <v>1</v>
      </c>
      <c r="C2993">
        <v>1</v>
      </c>
      <c r="D2993">
        <v>3</v>
      </c>
      <c r="E2993" t="s">
        <v>9</v>
      </c>
      <c r="F2993" t="s">
        <v>5115</v>
      </c>
      <c r="G2993" t="s">
        <v>5116</v>
      </c>
      <c r="H2993">
        <v>2.734</v>
      </c>
      <c r="I2993" t="s">
        <v>12</v>
      </c>
    </row>
    <row r="2994" spans="1:9" x14ac:dyDescent="0.3">
      <c r="A2994">
        <v>9</v>
      </c>
      <c r="B2994">
        <v>1</v>
      </c>
      <c r="C2994">
        <v>1</v>
      </c>
      <c r="D2994">
        <v>3</v>
      </c>
      <c r="E2994" t="s">
        <v>9</v>
      </c>
      <c r="F2994" t="s">
        <v>5117</v>
      </c>
      <c r="G2994" t="s">
        <v>5118</v>
      </c>
      <c r="H2994">
        <v>2.0670000000000002</v>
      </c>
      <c r="I2994" t="s">
        <v>12</v>
      </c>
    </row>
    <row r="2995" spans="1:9" x14ac:dyDescent="0.3">
      <c r="A2995">
        <v>9</v>
      </c>
      <c r="B2995">
        <v>1</v>
      </c>
      <c r="C2995">
        <v>1</v>
      </c>
      <c r="D2995">
        <v>3</v>
      </c>
      <c r="E2995" t="s">
        <v>9</v>
      </c>
      <c r="F2995" t="s">
        <v>5119</v>
      </c>
      <c r="G2995" t="s">
        <v>5120</v>
      </c>
      <c r="H2995">
        <v>4.0670000000000002</v>
      </c>
      <c r="I2995" t="s">
        <v>12</v>
      </c>
    </row>
    <row r="2996" spans="1:9" x14ac:dyDescent="0.3">
      <c r="A2996">
        <v>9</v>
      </c>
      <c r="B2996">
        <v>1</v>
      </c>
      <c r="C2996">
        <v>1</v>
      </c>
      <c r="D2996">
        <v>3</v>
      </c>
      <c r="E2996" t="s">
        <v>19</v>
      </c>
      <c r="F2996" t="s">
        <v>5121</v>
      </c>
      <c r="I2996" t="s">
        <v>21</v>
      </c>
    </row>
    <row r="2997" spans="1:9" x14ac:dyDescent="0.3">
      <c r="A2997">
        <v>9</v>
      </c>
      <c r="B2997">
        <v>1</v>
      </c>
      <c r="C2997">
        <v>1</v>
      </c>
      <c r="D2997">
        <v>3</v>
      </c>
      <c r="E2997" t="s">
        <v>9</v>
      </c>
      <c r="F2997" t="s">
        <v>5122</v>
      </c>
      <c r="G2997" t="s">
        <v>5123</v>
      </c>
      <c r="H2997">
        <v>2.5670000000000002</v>
      </c>
      <c r="I2997" t="s">
        <v>12</v>
      </c>
    </row>
    <row r="2998" spans="1:9" x14ac:dyDescent="0.3">
      <c r="A2998">
        <v>9</v>
      </c>
      <c r="B2998">
        <v>1</v>
      </c>
      <c r="C2998">
        <v>1</v>
      </c>
      <c r="D2998">
        <v>4</v>
      </c>
      <c r="E2998" t="s">
        <v>9</v>
      </c>
      <c r="F2998" t="s">
        <v>5124</v>
      </c>
      <c r="G2998" t="s">
        <v>5125</v>
      </c>
      <c r="H2998">
        <v>5.4530000000000003</v>
      </c>
      <c r="I2998" t="s">
        <v>12</v>
      </c>
    </row>
    <row r="2999" spans="1:9" x14ac:dyDescent="0.3">
      <c r="A2999">
        <v>9</v>
      </c>
      <c r="B2999">
        <v>1</v>
      </c>
      <c r="C2999">
        <v>1</v>
      </c>
      <c r="D2999">
        <v>4</v>
      </c>
      <c r="E2999" t="s">
        <v>9</v>
      </c>
      <c r="F2999" t="s">
        <v>5126</v>
      </c>
      <c r="G2999" t="s">
        <v>5127</v>
      </c>
      <c r="H2999">
        <v>1.8680000000000001</v>
      </c>
      <c r="I2999" t="s">
        <v>12</v>
      </c>
    </row>
    <row r="3000" spans="1:9" x14ac:dyDescent="0.3">
      <c r="A3000">
        <v>9</v>
      </c>
      <c r="B3000">
        <v>1</v>
      </c>
      <c r="C3000">
        <v>1</v>
      </c>
      <c r="D3000">
        <v>4</v>
      </c>
      <c r="E3000" t="s">
        <v>9</v>
      </c>
      <c r="F3000" t="s">
        <v>5128</v>
      </c>
      <c r="G3000" t="s">
        <v>5129</v>
      </c>
      <c r="H3000">
        <v>1.768</v>
      </c>
      <c r="I3000" t="s">
        <v>12</v>
      </c>
    </row>
    <row r="3001" spans="1:9" x14ac:dyDescent="0.3">
      <c r="A3001">
        <v>9</v>
      </c>
      <c r="B3001">
        <v>1</v>
      </c>
      <c r="C3001">
        <v>1</v>
      </c>
      <c r="D3001">
        <v>4</v>
      </c>
      <c r="E3001" t="s">
        <v>9</v>
      </c>
      <c r="F3001" t="s">
        <v>5130</v>
      </c>
      <c r="G3001" t="s">
        <v>5131</v>
      </c>
      <c r="H3001">
        <v>1.5680000000000001</v>
      </c>
      <c r="I3001" t="s">
        <v>12</v>
      </c>
    </row>
    <row r="3002" spans="1:9" x14ac:dyDescent="0.3">
      <c r="A3002">
        <v>9</v>
      </c>
      <c r="B3002">
        <v>1</v>
      </c>
      <c r="C3002">
        <v>1</v>
      </c>
      <c r="D3002">
        <v>4</v>
      </c>
      <c r="E3002" t="s">
        <v>22</v>
      </c>
      <c r="F3002" t="s">
        <v>5132</v>
      </c>
      <c r="G3002" t="s">
        <v>5133</v>
      </c>
      <c r="H3002">
        <v>2.1669999999999998</v>
      </c>
      <c r="I3002" t="s">
        <v>21</v>
      </c>
    </row>
    <row r="3003" spans="1:9" x14ac:dyDescent="0.3">
      <c r="A3003">
        <v>9</v>
      </c>
      <c r="B3003">
        <v>1</v>
      </c>
      <c r="C3003">
        <v>1</v>
      </c>
      <c r="D3003">
        <v>4</v>
      </c>
      <c r="E3003" t="s">
        <v>19</v>
      </c>
      <c r="F3003" t="s">
        <v>5134</v>
      </c>
      <c r="I3003" t="s">
        <v>34</v>
      </c>
    </row>
    <row r="3004" spans="1:9" x14ac:dyDescent="0.3">
      <c r="A3004">
        <v>9</v>
      </c>
      <c r="B3004">
        <v>1</v>
      </c>
      <c r="C3004">
        <v>1</v>
      </c>
      <c r="D3004">
        <v>5</v>
      </c>
      <c r="E3004" t="s">
        <v>9</v>
      </c>
      <c r="F3004" t="s">
        <v>5135</v>
      </c>
      <c r="G3004" t="s">
        <v>5136</v>
      </c>
      <c r="H3004">
        <v>2.3199999999999998</v>
      </c>
      <c r="I3004" t="s">
        <v>12</v>
      </c>
    </row>
    <row r="3005" spans="1:9" x14ac:dyDescent="0.3">
      <c r="A3005">
        <v>9</v>
      </c>
      <c r="B3005">
        <v>1</v>
      </c>
      <c r="C3005">
        <v>1</v>
      </c>
      <c r="D3005">
        <v>5</v>
      </c>
      <c r="E3005" t="s">
        <v>9</v>
      </c>
      <c r="F3005" t="s">
        <v>5137</v>
      </c>
      <c r="G3005" t="s">
        <v>5138</v>
      </c>
      <c r="H3005">
        <v>2.5680000000000001</v>
      </c>
      <c r="I3005" t="s">
        <v>12</v>
      </c>
    </row>
    <row r="3006" spans="1:9" x14ac:dyDescent="0.3">
      <c r="A3006">
        <v>9</v>
      </c>
      <c r="B3006">
        <v>1</v>
      </c>
      <c r="C3006">
        <v>1</v>
      </c>
      <c r="D3006">
        <v>5</v>
      </c>
      <c r="E3006" t="s">
        <v>22</v>
      </c>
      <c r="F3006" t="s">
        <v>5139</v>
      </c>
      <c r="G3006" t="s">
        <v>5140</v>
      </c>
      <c r="H3006">
        <v>2.9670000000000001</v>
      </c>
      <c r="I3006" t="s">
        <v>21</v>
      </c>
    </row>
    <row r="3007" spans="1:9" x14ac:dyDescent="0.3">
      <c r="A3007">
        <v>9</v>
      </c>
      <c r="B3007">
        <v>1</v>
      </c>
      <c r="C3007">
        <v>1</v>
      </c>
      <c r="D3007">
        <v>5</v>
      </c>
      <c r="E3007" t="s">
        <v>9</v>
      </c>
      <c r="F3007" t="s">
        <v>5141</v>
      </c>
      <c r="G3007" t="s">
        <v>5142</v>
      </c>
      <c r="H3007">
        <v>1.7350000000000001</v>
      </c>
      <c r="I3007" t="s">
        <v>12</v>
      </c>
    </row>
    <row r="3008" spans="1:9" x14ac:dyDescent="0.3">
      <c r="A3008">
        <v>9</v>
      </c>
      <c r="B3008">
        <v>1</v>
      </c>
      <c r="C3008">
        <v>1</v>
      </c>
      <c r="D3008">
        <v>5</v>
      </c>
      <c r="E3008" t="s">
        <v>9</v>
      </c>
      <c r="F3008" t="s">
        <v>5143</v>
      </c>
      <c r="G3008" t="s">
        <v>5144</v>
      </c>
      <c r="H3008">
        <v>7.5010000000000003</v>
      </c>
      <c r="I3008" t="s">
        <v>12</v>
      </c>
    </row>
    <row r="3009" spans="1:9" x14ac:dyDescent="0.3">
      <c r="A3009">
        <v>9</v>
      </c>
      <c r="B3009">
        <v>1</v>
      </c>
      <c r="C3009">
        <v>1</v>
      </c>
      <c r="D3009">
        <v>5</v>
      </c>
      <c r="E3009" t="s">
        <v>19</v>
      </c>
      <c r="F3009" t="s">
        <v>5145</v>
      </c>
      <c r="I3009" t="s">
        <v>21</v>
      </c>
    </row>
    <row r="3010" spans="1:9" x14ac:dyDescent="0.3">
      <c r="A3010">
        <v>9</v>
      </c>
      <c r="B3010">
        <v>1</v>
      </c>
      <c r="C3010">
        <v>1</v>
      </c>
      <c r="D3010">
        <v>6</v>
      </c>
      <c r="E3010" t="s">
        <v>9</v>
      </c>
      <c r="F3010" t="s">
        <v>5146</v>
      </c>
      <c r="G3010" t="s">
        <v>5147</v>
      </c>
      <c r="H3010">
        <v>2.1859999999999999</v>
      </c>
      <c r="I3010" t="s">
        <v>12</v>
      </c>
    </row>
    <row r="3011" spans="1:9" x14ac:dyDescent="0.3">
      <c r="A3011">
        <v>9</v>
      </c>
      <c r="B3011">
        <v>1</v>
      </c>
      <c r="C3011">
        <v>1</v>
      </c>
      <c r="D3011">
        <v>6</v>
      </c>
      <c r="E3011" t="s">
        <v>9</v>
      </c>
      <c r="F3011" t="s">
        <v>5148</v>
      </c>
      <c r="G3011" t="s">
        <v>5149</v>
      </c>
      <c r="H3011">
        <v>2.0339999999999998</v>
      </c>
      <c r="I3011" t="s">
        <v>12</v>
      </c>
    </row>
    <row r="3012" spans="1:9" x14ac:dyDescent="0.3">
      <c r="A3012">
        <v>9</v>
      </c>
      <c r="B3012">
        <v>1</v>
      </c>
      <c r="C3012">
        <v>1</v>
      </c>
      <c r="D3012">
        <v>6</v>
      </c>
      <c r="E3012" t="s">
        <v>22</v>
      </c>
      <c r="F3012" t="s">
        <v>5150</v>
      </c>
      <c r="G3012" t="s">
        <v>5151</v>
      </c>
      <c r="H3012">
        <v>1.768</v>
      </c>
      <c r="I3012" t="s">
        <v>21</v>
      </c>
    </row>
    <row r="3013" spans="1:9" x14ac:dyDescent="0.3">
      <c r="A3013">
        <v>9</v>
      </c>
      <c r="B3013">
        <v>1</v>
      </c>
      <c r="C3013">
        <v>1</v>
      </c>
      <c r="D3013">
        <v>6</v>
      </c>
      <c r="E3013" t="s">
        <v>22</v>
      </c>
      <c r="F3013" t="s">
        <v>5152</v>
      </c>
      <c r="G3013" t="s">
        <v>5153</v>
      </c>
      <c r="H3013">
        <v>1.8009999999999999</v>
      </c>
      <c r="I3013" t="s">
        <v>21</v>
      </c>
    </row>
    <row r="3014" spans="1:9" x14ac:dyDescent="0.3">
      <c r="A3014">
        <v>9</v>
      </c>
      <c r="B3014">
        <v>1</v>
      </c>
      <c r="C3014">
        <v>1</v>
      </c>
      <c r="D3014">
        <v>6</v>
      </c>
      <c r="E3014" t="s">
        <v>19</v>
      </c>
      <c r="F3014" t="s">
        <v>5154</v>
      </c>
      <c r="I3014" t="s">
        <v>21</v>
      </c>
    </row>
    <row r="3015" spans="1:9" x14ac:dyDescent="0.3">
      <c r="A3015">
        <v>9</v>
      </c>
      <c r="B3015">
        <v>1</v>
      </c>
      <c r="C3015">
        <v>1</v>
      </c>
      <c r="D3015">
        <v>6</v>
      </c>
      <c r="E3015" t="s">
        <v>19</v>
      </c>
      <c r="F3015" t="s">
        <v>5155</v>
      </c>
      <c r="I3015" t="s">
        <v>21</v>
      </c>
    </row>
    <row r="3016" spans="1:9" x14ac:dyDescent="0.3">
      <c r="A3016">
        <v>9</v>
      </c>
      <c r="B3016">
        <v>1</v>
      </c>
      <c r="C3016">
        <v>1</v>
      </c>
      <c r="D3016">
        <v>7</v>
      </c>
      <c r="E3016" t="s">
        <v>9</v>
      </c>
      <c r="F3016" t="s">
        <v>5156</v>
      </c>
      <c r="G3016" t="s">
        <v>5157</v>
      </c>
      <c r="H3016">
        <v>2.3860000000000001</v>
      </c>
      <c r="I3016" t="s">
        <v>12</v>
      </c>
    </row>
    <row r="3017" spans="1:9" x14ac:dyDescent="0.3">
      <c r="A3017">
        <v>9</v>
      </c>
      <c r="B3017">
        <v>1</v>
      </c>
      <c r="C3017">
        <v>1</v>
      </c>
      <c r="D3017">
        <v>7</v>
      </c>
      <c r="E3017" t="s">
        <v>22</v>
      </c>
      <c r="F3017" t="s">
        <v>5158</v>
      </c>
      <c r="G3017" t="s">
        <v>5159</v>
      </c>
      <c r="H3017">
        <v>2.7669999999999999</v>
      </c>
      <c r="I3017" t="s">
        <v>21</v>
      </c>
    </row>
    <row r="3018" spans="1:9" x14ac:dyDescent="0.3">
      <c r="A3018">
        <v>9</v>
      </c>
      <c r="B3018">
        <v>1</v>
      </c>
      <c r="C3018">
        <v>1</v>
      </c>
      <c r="D3018">
        <v>7</v>
      </c>
      <c r="E3018" t="s">
        <v>9</v>
      </c>
      <c r="F3018" t="s">
        <v>5160</v>
      </c>
      <c r="G3018" t="s">
        <v>5161</v>
      </c>
      <c r="H3018">
        <v>2.734</v>
      </c>
      <c r="I3018" t="s">
        <v>12</v>
      </c>
    </row>
    <row r="3019" spans="1:9" x14ac:dyDescent="0.3">
      <c r="A3019">
        <v>9</v>
      </c>
      <c r="B3019">
        <v>1</v>
      </c>
      <c r="C3019">
        <v>1</v>
      </c>
      <c r="D3019">
        <v>7</v>
      </c>
      <c r="E3019" t="s">
        <v>9</v>
      </c>
      <c r="F3019" t="s">
        <v>5162</v>
      </c>
      <c r="G3019" t="s">
        <v>5163</v>
      </c>
      <c r="H3019">
        <v>2.234</v>
      </c>
      <c r="I3019" t="s">
        <v>12</v>
      </c>
    </row>
    <row r="3020" spans="1:9" x14ac:dyDescent="0.3">
      <c r="A3020">
        <v>9</v>
      </c>
      <c r="B3020">
        <v>1</v>
      </c>
      <c r="C3020">
        <v>1</v>
      </c>
      <c r="D3020">
        <v>7</v>
      </c>
      <c r="E3020" t="s">
        <v>9</v>
      </c>
      <c r="F3020" t="s">
        <v>5164</v>
      </c>
      <c r="G3020" t="s">
        <v>5165</v>
      </c>
      <c r="H3020">
        <v>2.4340000000000002</v>
      </c>
      <c r="I3020" t="s">
        <v>12</v>
      </c>
    </row>
    <row r="3021" spans="1:9" x14ac:dyDescent="0.3">
      <c r="A3021">
        <v>9</v>
      </c>
      <c r="B3021">
        <v>1</v>
      </c>
      <c r="C3021">
        <v>1</v>
      </c>
      <c r="D3021">
        <v>7</v>
      </c>
      <c r="E3021" t="s">
        <v>19</v>
      </c>
      <c r="F3021" t="s">
        <v>5166</v>
      </c>
      <c r="I3021" t="s">
        <v>21</v>
      </c>
    </row>
    <row r="3022" spans="1:9" x14ac:dyDescent="0.3">
      <c r="A3022">
        <v>9</v>
      </c>
      <c r="B3022">
        <v>1</v>
      </c>
      <c r="C3022">
        <v>1</v>
      </c>
      <c r="D3022">
        <v>7</v>
      </c>
      <c r="E3022" t="s">
        <v>22</v>
      </c>
      <c r="F3022" t="s">
        <v>5167</v>
      </c>
      <c r="G3022" t="s">
        <v>5168</v>
      </c>
      <c r="H3022">
        <v>1.3340000000000001</v>
      </c>
      <c r="I3022" t="s">
        <v>21</v>
      </c>
    </row>
    <row r="3023" spans="1:9" x14ac:dyDescent="0.3">
      <c r="A3023">
        <v>9</v>
      </c>
      <c r="B3023">
        <v>1</v>
      </c>
      <c r="C3023">
        <v>1</v>
      </c>
      <c r="D3023">
        <v>7</v>
      </c>
      <c r="E3023" t="s">
        <v>19</v>
      </c>
      <c r="F3023" t="s">
        <v>5169</v>
      </c>
      <c r="I3023" t="s">
        <v>21</v>
      </c>
    </row>
    <row r="3024" spans="1:9" x14ac:dyDescent="0.3">
      <c r="A3024">
        <v>9</v>
      </c>
      <c r="B3024">
        <v>1</v>
      </c>
      <c r="C3024">
        <v>2</v>
      </c>
      <c r="D3024">
        <v>2</v>
      </c>
      <c r="E3024" t="s">
        <v>9</v>
      </c>
      <c r="F3024" t="s">
        <v>5170</v>
      </c>
      <c r="G3024" t="s">
        <v>5171</v>
      </c>
      <c r="H3024">
        <v>3.3860000000000001</v>
      </c>
      <c r="I3024" t="s">
        <v>12</v>
      </c>
    </row>
    <row r="3025" spans="1:9" x14ac:dyDescent="0.3">
      <c r="A3025">
        <v>9</v>
      </c>
      <c r="B3025">
        <v>1</v>
      </c>
      <c r="C3025">
        <v>2</v>
      </c>
      <c r="D3025">
        <v>2</v>
      </c>
      <c r="E3025" t="s">
        <v>9</v>
      </c>
      <c r="F3025" t="s">
        <v>5172</v>
      </c>
      <c r="G3025" t="s">
        <v>5173</v>
      </c>
      <c r="H3025">
        <v>1.401</v>
      </c>
      <c r="I3025" t="s">
        <v>12</v>
      </c>
    </row>
    <row r="3026" spans="1:9" x14ac:dyDescent="0.3">
      <c r="A3026">
        <v>9</v>
      </c>
      <c r="B3026">
        <v>1</v>
      </c>
      <c r="C3026">
        <v>2</v>
      </c>
      <c r="D3026">
        <v>2</v>
      </c>
      <c r="E3026" t="s">
        <v>9</v>
      </c>
      <c r="F3026" t="s">
        <v>5174</v>
      </c>
      <c r="G3026" t="s">
        <v>5175</v>
      </c>
      <c r="H3026">
        <v>2.8010000000000002</v>
      </c>
      <c r="I3026" t="s">
        <v>12</v>
      </c>
    </row>
    <row r="3027" spans="1:9" x14ac:dyDescent="0.3">
      <c r="A3027">
        <v>9</v>
      </c>
      <c r="B3027">
        <v>1</v>
      </c>
      <c r="C3027">
        <v>2</v>
      </c>
      <c r="D3027">
        <v>2</v>
      </c>
      <c r="E3027" t="s">
        <v>9</v>
      </c>
      <c r="F3027" t="s">
        <v>5176</v>
      </c>
      <c r="G3027" t="s">
        <v>5177</v>
      </c>
      <c r="H3027">
        <v>2.3340000000000001</v>
      </c>
      <c r="I3027" t="s">
        <v>12</v>
      </c>
    </row>
    <row r="3028" spans="1:9" x14ac:dyDescent="0.3">
      <c r="A3028">
        <v>9</v>
      </c>
      <c r="B3028">
        <v>1</v>
      </c>
      <c r="C3028">
        <v>2</v>
      </c>
      <c r="D3028">
        <v>2</v>
      </c>
      <c r="E3028" t="s">
        <v>19</v>
      </c>
      <c r="F3028" t="s">
        <v>5178</v>
      </c>
      <c r="I3028" t="s">
        <v>21</v>
      </c>
    </row>
    <row r="3029" spans="1:9" x14ac:dyDescent="0.3">
      <c r="A3029">
        <v>9</v>
      </c>
      <c r="B3029">
        <v>1</v>
      </c>
      <c r="C3029">
        <v>2</v>
      </c>
      <c r="D3029">
        <v>2</v>
      </c>
      <c r="E3029" t="s">
        <v>22</v>
      </c>
      <c r="F3029" t="s">
        <v>5179</v>
      </c>
      <c r="G3029" t="s">
        <v>5180</v>
      </c>
      <c r="H3029">
        <v>1.8009999999999999</v>
      </c>
      <c r="I3029" t="s">
        <v>21</v>
      </c>
    </row>
    <row r="3030" spans="1:9" x14ac:dyDescent="0.3">
      <c r="A3030">
        <v>9</v>
      </c>
      <c r="B3030">
        <v>1</v>
      </c>
      <c r="C3030">
        <v>2</v>
      </c>
      <c r="D3030">
        <v>2</v>
      </c>
      <c r="E3030" t="s">
        <v>22</v>
      </c>
      <c r="F3030" t="s">
        <v>5181</v>
      </c>
      <c r="G3030" t="s">
        <v>5182</v>
      </c>
      <c r="H3030">
        <v>1.667</v>
      </c>
      <c r="I3030" t="s">
        <v>21</v>
      </c>
    </row>
    <row r="3031" spans="1:9" x14ac:dyDescent="0.3">
      <c r="A3031">
        <v>9</v>
      </c>
      <c r="B3031">
        <v>1</v>
      </c>
      <c r="C3031">
        <v>2</v>
      </c>
      <c r="D3031">
        <v>2</v>
      </c>
      <c r="E3031" t="s">
        <v>19</v>
      </c>
      <c r="F3031" t="s">
        <v>5183</v>
      </c>
      <c r="I3031" t="s">
        <v>21</v>
      </c>
    </row>
    <row r="3032" spans="1:9" x14ac:dyDescent="0.3">
      <c r="A3032">
        <v>9</v>
      </c>
      <c r="B3032">
        <v>1</v>
      </c>
      <c r="C3032">
        <v>3</v>
      </c>
      <c r="D3032">
        <v>1</v>
      </c>
      <c r="E3032" t="s">
        <v>9</v>
      </c>
      <c r="F3032" t="s">
        <v>5184</v>
      </c>
      <c r="G3032" t="s">
        <v>5185</v>
      </c>
      <c r="H3032">
        <v>2.919</v>
      </c>
      <c r="I3032" t="s">
        <v>12</v>
      </c>
    </row>
    <row r="3033" spans="1:9" x14ac:dyDescent="0.3">
      <c r="A3033">
        <v>9</v>
      </c>
      <c r="B3033">
        <v>1</v>
      </c>
      <c r="C3033">
        <v>3</v>
      </c>
      <c r="D3033">
        <v>2</v>
      </c>
      <c r="E3033" t="s">
        <v>9</v>
      </c>
      <c r="F3033" t="s">
        <v>5186</v>
      </c>
      <c r="G3033" t="s">
        <v>5187</v>
      </c>
      <c r="H3033">
        <v>2.02</v>
      </c>
      <c r="I3033" t="s">
        <v>12</v>
      </c>
    </row>
    <row r="3034" spans="1:9" x14ac:dyDescent="0.3">
      <c r="A3034">
        <v>9</v>
      </c>
      <c r="B3034">
        <v>1</v>
      </c>
      <c r="C3034">
        <v>3</v>
      </c>
      <c r="D3034">
        <v>2</v>
      </c>
      <c r="E3034" t="s">
        <v>9</v>
      </c>
      <c r="F3034" t="s">
        <v>5188</v>
      </c>
      <c r="G3034" t="s">
        <v>5189</v>
      </c>
      <c r="H3034">
        <v>2.3010000000000002</v>
      </c>
      <c r="I3034" t="s">
        <v>12</v>
      </c>
    </row>
    <row r="3035" spans="1:9" x14ac:dyDescent="0.3">
      <c r="A3035">
        <v>9</v>
      </c>
      <c r="B3035">
        <v>1</v>
      </c>
      <c r="C3035">
        <v>3</v>
      </c>
      <c r="D3035">
        <v>2</v>
      </c>
      <c r="E3035" t="s">
        <v>9</v>
      </c>
      <c r="F3035" t="s">
        <v>5190</v>
      </c>
      <c r="G3035" t="s">
        <v>5191</v>
      </c>
      <c r="H3035">
        <v>2.0350000000000001</v>
      </c>
      <c r="I3035" t="s">
        <v>12</v>
      </c>
    </row>
    <row r="3036" spans="1:9" x14ac:dyDescent="0.3">
      <c r="A3036">
        <v>9</v>
      </c>
      <c r="B3036">
        <v>1</v>
      </c>
      <c r="C3036">
        <v>3</v>
      </c>
      <c r="D3036">
        <v>2</v>
      </c>
      <c r="E3036" t="s">
        <v>9</v>
      </c>
      <c r="F3036" t="s">
        <v>5192</v>
      </c>
      <c r="G3036" t="s">
        <v>5193</v>
      </c>
      <c r="H3036">
        <v>2.4009999999999998</v>
      </c>
      <c r="I3036" t="s">
        <v>12</v>
      </c>
    </row>
    <row r="3037" spans="1:9" x14ac:dyDescent="0.3">
      <c r="A3037">
        <v>9</v>
      </c>
      <c r="B3037">
        <v>1</v>
      </c>
      <c r="C3037">
        <v>3</v>
      </c>
      <c r="D3037">
        <v>2</v>
      </c>
      <c r="E3037" t="s">
        <v>22</v>
      </c>
      <c r="F3037" t="s">
        <v>5194</v>
      </c>
      <c r="G3037" t="s">
        <v>5195</v>
      </c>
      <c r="H3037">
        <v>1.8009999999999999</v>
      </c>
      <c r="I3037" t="s">
        <v>21</v>
      </c>
    </row>
    <row r="3038" spans="1:9" x14ac:dyDescent="0.3">
      <c r="A3038">
        <v>9</v>
      </c>
      <c r="B3038">
        <v>1</v>
      </c>
      <c r="C3038">
        <v>3</v>
      </c>
      <c r="D3038">
        <v>2</v>
      </c>
      <c r="E3038" t="s">
        <v>19</v>
      </c>
      <c r="F3038" t="s">
        <v>5196</v>
      </c>
      <c r="I3038" t="s">
        <v>34</v>
      </c>
    </row>
    <row r="3039" spans="1:9" x14ac:dyDescent="0.3">
      <c r="A3039">
        <v>9</v>
      </c>
      <c r="B3039">
        <v>1</v>
      </c>
      <c r="C3039">
        <v>3</v>
      </c>
      <c r="D3039">
        <v>2</v>
      </c>
      <c r="E3039" t="s">
        <v>22</v>
      </c>
      <c r="F3039" t="s">
        <v>5197</v>
      </c>
      <c r="G3039" t="s">
        <v>5198</v>
      </c>
      <c r="H3039">
        <v>3.4</v>
      </c>
      <c r="I3039" t="s">
        <v>21</v>
      </c>
    </row>
    <row r="3040" spans="1:9" x14ac:dyDescent="0.3">
      <c r="A3040">
        <v>9</v>
      </c>
      <c r="B3040">
        <v>1</v>
      </c>
      <c r="C3040">
        <v>3</v>
      </c>
      <c r="D3040">
        <v>3</v>
      </c>
      <c r="E3040" t="s">
        <v>9</v>
      </c>
      <c r="F3040" t="s">
        <v>5199</v>
      </c>
      <c r="G3040" t="s">
        <v>5200</v>
      </c>
      <c r="H3040">
        <v>1.819</v>
      </c>
      <c r="I3040" t="s">
        <v>12</v>
      </c>
    </row>
    <row r="3041" spans="1:9" x14ac:dyDescent="0.3">
      <c r="A3041">
        <v>9</v>
      </c>
      <c r="B3041">
        <v>1</v>
      </c>
      <c r="C3041">
        <v>3</v>
      </c>
      <c r="D3041">
        <v>3</v>
      </c>
      <c r="E3041" t="s">
        <v>9</v>
      </c>
      <c r="F3041" t="s">
        <v>5201</v>
      </c>
      <c r="G3041" t="s">
        <v>5202</v>
      </c>
      <c r="H3041">
        <v>1.534</v>
      </c>
      <c r="I3041" t="s">
        <v>12</v>
      </c>
    </row>
    <row r="3042" spans="1:9" x14ac:dyDescent="0.3">
      <c r="A3042">
        <v>9</v>
      </c>
      <c r="B3042">
        <v>1</v>
      </c>
      <c r="C3042">
        <v>3</v>
      </c>
      <c r="D3042">
        <v>3</v>
      </c>
      <c r="E3042" t="s">
        <v>9</v>
      </c>
      <c r="F3042" t="s">
        <v>5203</v>
      </c>
      <c r="G3042" t="s">
        <v>5204</v>
      </c>
      <c r="H3042">
        <v>3.4</v>
      </c>
      <c r="I3042" t="s">
        <v>12</v>
      </c>
    </row>
    <row r="3043" spans="1:9" x14ac:dyDescent="0.3">
      <c r="A3043">
        <v>9</v>
      </c>
      <c r="B3043">
        <v>1</v>
      </c>
      <c r="C3043">
        <v>3</v>
      </c>
      <c r="D3043">
        <v>3</v>
      </c>
      <c r="E3043" t="s">
        <v>9</v>
      </c>
      <c r="F3043" t="s">
        <v>5205</v>
      </c>
      <c r="G3043" t="s">
        <v>5206</v>
      </c>
      <c r="H3043">
        <v>2.0009999999999999</v>
      </c>
      <c r="I3043" t="s">
        <v>12</v>
      </c>
    </row>
    <row r="3044" spans="1:9" x14ac:dyDescent="0.3">
      <c r="A3044">
        <v>9</v>
      </c>
      <c r="B3044">
        <v>3</v>
      </c>
      <c r="C3044">
        <v>1</v>
      </c>
      <c r="D3044">
        <v>1</v>
      </c>
      <c r="E3044" t="s">
        <v>9</v>
      </c>
      <c r="F3044" t="s">
        <v>5207</v>
      </c>
      <c r="G3044" t="s">
        <v>5208</v>
      </c>
      <c r="H3044">
        <v>2.1190000000000002</v>
      </c>
      <c r="I3044" t="s">
        <v>12</v>
      </c>
    </row>
    <row r="3045" spans="1:9" x14ac:dyDescent="0.3">
      <c r="A3045">
        <v>9</v>
      </c>
      <c r="B3045">
        <v>3</v>
      </c>
      <c r="C3045">
        <v>1</v>
      </c>
      <c r="D3045">
        <v>1</v>
      </c>
      <c r="E3045" t="s">
        <v>9</v>
      </c>
      <c r="F3045" t="s">
        <v>5209</v>
      </c>
      <c r="G3045" t="s">
        <v>5210</v>
      </c>
      <c r="H3045">
        <v>3.3340000000000001</v>
      </c>
      <c r="I3045" t="s">
        <v>12</v>
      </c>
    </row>
    <row r="3046" spans="1:9" x14ac:dyDescent="0.3">
      <c r="A3046">
        <v>9</v>
      </c>
      <c r="B3046">
        <v>3</v>
      </c>
      <c r="C3046">
        <v>1</v>
      </c>
      <c r="D3046">
        <v>1</v>
      </c>
      <c r="E3046" t="s">
        <v>22</v>
      </c>
      <c r="F3046" t="s">
        <v>5211</v>
      </c>
      <c r="G3046" t="s">
        <v>5212</v>
      </c>
      <c r="H3046">
        <v>2.2669999999999999</v>
      </c>
      <c r="I3046" t="s">
        <v>21</v>
      </c>
    </row>
    <row r="3047" spans="1:9" x14ac:dyDescent="0.3">
      <c r="A3047">
        <v>9</v>
      </c>
      <c r="B3047">
        <v>3</v>
      </c>
      <c r="C3047">
        <v>1</v>
      </c>
      <c r="D3047">
        <v>1</v>
      </c>
      <c r="E3047" t="s">
        <v>9</v>
      </c>
      <c r="F3047" t="s">
        <v>5213</v>
      </c>
      <c r="G3047" t="s">
        <v>5214</v>
      </c>
      <c r="H3047">
        <v>3.3340000000000001</v>
      </c>
      <c r="I3047" t="s">
        <v>12</v>
      </c>
    </row>
    <row r="3048" spans="1:9" x14ac:dyDescent="0.3">
      <c r="A3048">
        <v>9</v>
      </c>
      <c r="B3048">
        <v>3</v>
      </c>
      <c r="C3048">
        <v>1</v>
      </c>
      <c r="D3048">
        <v>1</v>
      </c>
      <c r="E3048" t="s">
        <v>9</v>
      </c>
      <c r="F3048" t="s">
        <v>5215</v>
      </c>
      <c r="G3048" t="s">
        <v>5216</v>
      </c>
      <c r="H3048">
        <v>1.5349999999999999</v>
      </c>
      <c r="I3048" t="s">
        <v>12</v>
      </c>
    </row>
    <row r="3049" spans="1:9" x14ac:dyDescent="0.3">
      <c r="A3049">
        <v>9</v>
      </c>
      <c r="B3049">
        <v>3</v>
      </c>
      <c r="C3049">
        <v>1</v>
      </c>
      <c r="D3049">
        <v>1</v>
      </c>
      <c r="E3049" t="s">
        <v>19</v>
      </c>
      <c r="F3049" t="s">
        <v>5217</v>
      </c>
      <c r="I3049" t="s">
        <v>34</v>
      </c>
    </row>
    <row r="3050" spans="1:9" x14ac:dyDescent="0.3">
      <c r="A3050">
        <v>9</v>
      </c>
      <c r="B3050">
        <v>3</v>
      </c>
      <c r="C3050">
        <v>1</v>
      </c>
      <c r="D3050">
        <v>2</v>
      </c>
      <c r="E3050" t="s">
        <v>9</v>
      </c>
      <c r="F3050" t="s">
        <v>5218</v>
      </c>
      <c r="G3050" t="s">
        <v>5219</v>
      </c>
      <c r="H3050">
        <v>2.1859999999999999</v>
      </c>
      <c r="I3050" t="s">
        <v>12</v>
      </c>
    </row>
    <row r="3051" spans="1:9" x14ac:dyDescent="0.3">
      <c r="A3051">
        <v>9</v>
      </c>
      <c r="B3051">
        <v>3</v>
      </c>
      <c r="C3051">
        <v>1</v>
      </c>
      <c r="D3051">
        <v>2</v>
      </c>
      <c r="E3051" t="s">
        <v>9</v>
      </c>
      <c r="F3051" t="s">
        <v>5220</v>
      </c>
      <c r="G3051" t="s">
        <v>5221</v>
      </c>
      <c r="H3051">
        <v>1.9339999999999999</v>
      </c>
      <c r="I3051" t="s">
        <v>12</v>
      </c>
    </row>
    <row r="3052" spans="1:9" x14ac:dyDescent="0.3">
      <c r="A3052">
        <v>9</v>
      </c>
      <c r="B3052">
        <v>3</v>
      </c>
      <c r="C3052">
        <v>1</v>
      </c>
      <c r="D3052">
        <v>2</v>
      </c>
      <c r="E3052" t="s">
        <v>9</v>
      </c>
      <c r="F3052" t="s">
        <v>5222</v>
      </c>
      <c r="G3052" t="s">
        <v>5223</v>
      </c>
      <c r="H3052">
        <v>2.468</v>
      </c>
      <c r="I3052" t="s">
        <v>12</v>
      </c>
    </row>
    <row r="3053" spans="1:9" x14ac:dyDescent="0.3">
      <c r="A3053">
        <v>9</v>
      </c>
      <c r="B3053">
        <v>3</v>
      </c>
      <c r="C3053">
        <v>1</v>
      </c>
      <c r="D3053">
        <v>2</v>
      </c>
      <c r="E3053" t="s">
        <v>9</v>
      </c>
      <c r="F3053" t="s">
        <v>5224</v>
      </c>
      <c r="G3053" t="s">
        <v>5225</v>
      </c>
      <c r="H3053">
        <v>1.635</v>
      </c>
      <c r="I3053" t="s">
        <v>12</v>
      </c>
    </row>
    <row r="3054" spans="1:9" x14ac:dyDescent="0.3">
      <c r="A3054">
        <v>9</v>
      </c>
      <c r="B3054">
        <v>3</v>
      </c>
      <c r="C3054">
        <v>1</v>
      </c>
      <c r="D3054">
        <v>2</v>
      </c>
      <c r="E3054" t="s">
        <v>22</v>
      </c>
      <c r="F3054" t="s">
        <v>5226</v>
      </c>
      <c r="G3054" t="s">
        <v>5227</v>
      </c>
      <c r="H3054">
        <v>2.2010000000000001</v>
      </c>
      <c r="I3054" t="s">
        <v>21</v>
      </c>
    </row>
    <row r="3055" spans="1:9" x14ac:dyDescent="0.3">
      <c r="A3055">
        <v>9</v>
      </c>
      <c r="B3055">
        <v>3</v>
      </c>
      <c r="C3055">
        <v>1</v>
      </c>
      <c r="D3055">
        <v>2</v>
      </c>
      <c r="E3055" t="s">
        <v>19</v>
      </c>
      <c r="F3055" t="s">
        <v>5228</v>
      </c>
      <c r="I3055" t="s">
        <v>34</v>
      </c>
    </row>
    <row r="3056" spans="1:9" x14ac:dyDescent="0.3">
      <c r="A3056">
        <v>9</v>
      </c>
      <c r="B3056">
        <v>3</v>
      </c>
      <c r="C3056">
        <v>1</v>
      </c>
      <c r="D3056">
        <v>2</v>
      </c>
      <c r="E3056" t="s">
        <v>22</v>
      </c>
      <c r="F3056" t="s">
        <v>5229</v>
      </c>
      <c r="G3056" t="s">
        <v>5230</v>
      </c>
      <c r="H3056">
        <v>1.7669999999999999</v>
      </c>
      <c r="I3056" t="s">
        <v>21</v>
      </c>
    </row>
    <row r="3057" spans="1:9" x14ac:dyDescent="0.3">
      <c r="A3057">
        <v>9</v>
      </c>
      <c r="B3057">
        <v>3</v>
      </c>
      <c r="C3057">
        <v>1</v>
      </c>
      <c r="D3057">
        <v>2</v>
      </c>
      <c r="E3057" t="s">
        <v>19</v>
      </c>
      <c r="F3057" t="s">
        <v>5231</v>
      </c>
      <c r="I3057" t="s">
        <v>34</v>
      </c>
    </row>
    <row r="3058" spans="1:9" x14ac:dyDescent="0.3">
      <c r="A3058">
        <v>9</v>
      </c>
      <c r="B3058">
        <v>3</v>
      </c>
      <c r="C3058">
        <v>1</v>
      </c>
      <c r="D3058">
        <v>3</v>
      </c>
      <c r="E3058" t="s">
        <v>9</v>
      </c>
      <c r="F3058" t="s">
        <v>5232</v>
      </c>
      <c r="G3058" t="s">
        <v>5233</v>
      </c>
      <c r="H3058">
        <v>1.915</v>
      </c>
      <c r="I3058" t="s">
        <v>12</v>
      </c>
    </row>
    <row r="3059" spans="1:9" x14ac:dyDescent="0.3">
      <c r="A3059">
        <v>9</v>
      </c>
      <c r="B3059">
        <v>3</v>
      </c>
      <c r="C3059">
        <v>1</v>
      </c>
      <c r="D3059">
        <v>3</v>
      </c>
      <c r="E3059" t="s">
        <v>9</v>
      </c>
      <c r="F3059" t="s">
        <v>5234</v>
      </c>
      <c r="G3059" t="s">
        <v>5235</v>
      </c>
      <c r="H3059">
        <v>2.1680000000000001</v>
      </c>
      <c r="I3059" t="s">
        <v>12</v>
      </c>
    </row>
    <row r="3060" spans="1:9" x14ac:dyDescent="0.3">
      <c r="A3060">
        <v>9</v>
      </c>
      <c r="B3060">
        <v>3</v>
      </c>
      <c r="C3060">
        <v>1</v>
      </c>
      <c r="D3060">
        <v>3</v>
      </c>
      <c r="E3060" t="s">
        <v>9</v>
      </c>
      <c r="F3060" t="s">
        <v>5236</v>
      </c>
      <c r="G3060" t="s">
        <v>5237</v>
      </c>
      <c r="H3060">
        <v>1.734</v>
      </c>
      <c r="I3060" t="s">
        <v>12</v>
      </c>
    </row>
    <row r="3061" spans="1:9" x14ac:dyDescent="0.3">
      <c r="A3061">
        <v>9</v>
      </c>
      <c r="B3061">
        <v>3</v>
      </c>
      <c r="C3061">
        <v>1</v>
      </c>
      <c r="D3061">
        <v>3</v>
      </c>
      <c r="E3061" t="s">
        <v>9</v>
      </c>
      <c r="F3061" t="s">
        <v>5238</v>
      </c>
      <c r="G3061" t="s">
        <v>5239</v>
      </c>
      <c r="H3061">
        <v>1.8</v>
      </c>
      <c r="I3061" t="s">
        <v>12</v>
      </c>
    </row>
    <row r="3062" spans="1:9" x14ac:dyDescent="0.3">
      <c r="A3062">
        <v>9</v>
      </c>
      <c r="B3062">
        <v>3</v>
      </c>
      <c r="C3062">
        <v>1</v>
      </c>
      <c r="D3062">
        <v>3</v>
      </c>
      <c r="E3062" t="s">
        <v>22</v>
      </c>
      <c r="F3062" t="s">
        <v>5240</v>
      </c>
      <c r="G3062" t="s">
        <v>5241</v>
      </c>
      <c r="H3062">
        <v>1.534</v>
      </c>
      <c r="I3062" t="s">
        <v>21</v>
      </c>
    </row>
    <row r="3063" spans="1:9" x14ac:dyDescent="0.3">
      <c r="A3063">
        <v>9</v>
      </c>
      <c r="B3063">
        <v>3</v>
      </c>
      <c r="C3063">
        <v>1</v>
      </c>
      <c r="D3063">
        <v>3</v>
      </c>
      <c r="E3063" t="s">
        <v>19</v>
      </c>
      <c r="F3063" t="s">
        <v>5242</v>
      </c>
      <c r="I3063" t="s">
        <v>34</v>
      </c>
    </row>
    <row r="3064" spans="1:9" x14ac:dyDescent="0.3">
      <c r="A3064">
        <v>9</v>
      </c>
      <c r="B3064">
        <v>3</v>
      </c>
      <c r="C3064">
        <v>1</v>
      </c>
      <c r="D3064">
        <v>3</v>
      </c>
      <c r="E3064" t="s">
        <v>19</v>
      </c>
      <c r="F3064" t="s">
        <v>5243</v>
      </c>
      <c r="I3064" t="s">
        <v>21</v>
      </c>
    </row>
    <row r="3065" spans="1:9" x14ac:dyDescent="0.3">
      <c r="A3065">
        <v>9</v>
      </c>
      <c r="B3065">
        <v>3</v>
      </c>
      <c r="C3065">
        <v>1</v>
      </c>
      <c r="D3065">
        <v>3</v>
      </c>
      <c r="E3065" t="s">
        <v>22</v>
      </c>
      <c r="F3065" t="s">
        <v>5244</v>
      </c>
      <c r="G3065" t="s">
        <v>5245</v>
      </c>
      <c r="H3065">
        <v>0.93400000000000005</v>
      </c>
      <c r="I3065" t="s">
        <v>21</v>
      </c>
    </row>
    <row r="3066" spans="1:9" x14ac:dyDescent="0.3">
      <c r="A3066">
        <v>9</v>
      </c>
      <c r="B3066">
        <v>3</v>
      </c>
      <c r="C3066">
        <v>1</v>
      </c>
      <c r="D3066">
        <v>5</v>
      </c>
      <c r="E3066" t="s">
        <v>9</v>
      </c>
      <c r="F3066" t="s">
        <v>5246</v>
      </c>
      <c r="G3066" t="s">
        <v>5247</v>
      </c>
      <c r="H3066">
        <v>2.153</v>
      </c>
      <c r="I3066" t="s">
        <v>12</v>
      </c>
    </row>
    <row r="3067" spans="1:9" x14ac:dyDescent="0.3">
      <c r="A3067">
        <v>9</v>
      </c>
      <c r="B3067">
        <v>3</v>
      </c>
      <c r="C3067">
        <v>1</v>
      </c>
      <c r="D3067">
        <v>5</v>
      </c>
      <c r="E3067" t="s">
        <v>9</v>
      </c>
      <c r="F3067" t="s">
        <v>5248</v>
      </c>
      <c r="G3067" t="s">
        <v>5249</v>
      </c>
      <c r="H3067">
        <v>1.4690000000000001</v>
      </c>
      <c r="I3067" t="s">
        <v>12</v>
      </c>
    </row>
    <row r="3068" spans="1:9" x14ac:dyDescent="0.3">
      <c r="A3068">
        <v>9</v>
      </c>
      <c r="B3068">
        <v>3</v>
      </c>
      <c r="C3068">
        <v>1</v>
      </c>
      <c r="D3068">
        <v>5</v>
      </c>
      <c r="E3068" t="s">
        <v>9</v>
      </c>
      <c r="F3068" t="s">
        <v>5250</v>
      </c>
      <c r="G3068" t="s">
        <v>5251</v>
      </c>
      <c r="H3068">
        <v>3.5339999999999998</v>
      </c>
      <c r="I3068" t="s">
        <v>12</v>
      </c>
    </row>
    <row r="3069" spans="1:9" x14ac:dyDescent="0.3">
      <c r="A3069">
        <v>9</v>
      </c>
      <c r="B3069">
        <v>3</v>
      </c>
      <c r="C3069">
        <v>1</v>
      </c>
      <c r="D3069">
        <v>5</v>
      </c>
      <c r="E3069" t="s">
        <v>9</v>
      </c>
      <c r="F3069" t="s">
        <v>5252</v>
      </c>
      <c r="G3069" t="s">
        <v>5253</v>
      </c>
      <c r="H3069">
        <v>2.5009999999999999</v>
      </c>
      <c r="I3069" t="s">
        <v>12</v>
      </c>
    </row>
    <row r="3070" spans="1:9" x14ac:dyDescent="0.3">
      <c r="A3070">
        <v>9</v>
      </c>
      <c r="B3070">
        <v>3</v>
      </c>
      <c r="C3070">
        <v>1</v>
      </c>
      <c r="D3070">
        <v>5</v>
      </c>
      <c r="E3070" t="s">
        <v>19</v>
      </c>
      <c r="F3070" t="s">
        <v>5254</v>
      </c>
      <c r="I3070" t="s">
        <v>21</v>
      </c>
    </row>
    <row r="3071" spans="1:9" x14ac:dyDescent="0.3">
      <c r="A3071">
        <v>9</v>
      </c>
      <c r="B3071">
        <v>3</v>
      </c>
      <c r="C3071">
        <v>1</v>
      </c>
      <c r="D3071">
        <v>5</v>
      </c>
      <c r="E3071" t="s">
        <v>22</v>
      </c>
      <c r="F3071" t="s">
        <v>5255</v>
      </c>
      <c r="G3071" t="s">
        <v>5256</v>
      </c>
      <c r="H3071">
        <v>1.3009999999999999</v>
      </c>
      <c r="I3071" t="s">
        <v>21</v>
      </c>
    </row>
    <row r="3072" spans="1:9" x14ac:dyDescent="0.3">
      <c r="A3072">
        <v>9</v>
      </c>
      <c r="B3072">
        <v>3</v>
      </c>
      <c r="C3072">
        <v>1</v>
      </c>
      <c r="D3072">
        <v>5</v>
      </c>
      <c r="E3072" t="s">
        <v>22</v>
      </c>
      <c r="F3072" t="s">
        <v>5257</v>
      </c>
      <c r="G3072" t="s">
        <v>5258</v>
      </c>
      <c r="H3072">
        <v>2.1219999999999999</v>
      </c>
      <c r="I3072" t="s">
        <v>21</v>
      </c>
    </row>
    <row r="3073" spans="1:9" x14ac:dyDescent="0.3">
      <c r="A3073">
        <v>9</v>
      </c>
      <c r="B3073">
        <v>3</v>
      </c>
      <c r="C3073">
        <v>1</v>
      </c>
      <c r="D3073">
        <v>5</v>
      </c>
      <c r="E3073" t="s">
        <v>19</v>
      </c>
      <c r="F3073" t="s">
        <v>5259</v>
      </c>
      <c r="I3073" t="s">
        <v>34</v>
      </c>
    </row>
    <row r="3074" spans="1:9" x14ac:dyDescent="0.3">
      <c r="A3074">
        <v>9</v>
      </c>
      <c r="B3074">
        <v>3</v>
      </c>
      <c r="C3074">
        <v>2</v>
      </c>
      <c r="D3074">
        <v>1</v>
      </c>
      <c r="E3074" t="s">
        <v>9</v>
      </c>
      <c r="F3074" t="s">
        <v>5260</v>
      </c>
      <c r="G3074" t="s">
        <v>5261</v>
      </c>
      <c r="H3074">
        <v>4.1829999999999998</v>
      </c>
      <c r="I3074" t="s">
        <v>12</v>
      </c>
    </row>
    <row r="3075" spans="1:9" x14ac:dyDescent="0.3">
      <c r="A3075">
        <v>9</v>
      </c>
      <c r="B3075">
        <v>3</v>
      </c>
      <c r="C3075">
        <v>2</v>
      </c>
      <c r="D3075">
        <v>1</v>
      </c>
      <c r="E3075" t="s">
        <v>9</v>
      </c>
      <c r="F3075" t="s">
        <v>5262</v>
      </c>
      <c r="G3075" t="s">
        <v>5263</v>
      </c>
      <c r="H3075">
        <v>3.468</v>
      </c>
      <c r="I3075" t="s">
        <v>12</v>
      </c>
    </row>
    <row r="3076" spans="1:9" x14ac:dyDescent="0.3">
      <c r="A3076">
        <v>9</v>
      </c>
      <c r="B3076">
        <v>3</v>
      </c>
      <c r="C3076">
        <v>2</v>
      </c>
      <c r="D3076">
        <v>1</v>
      </c>
      <c r="E3076" t="s">
        <v>9</v>
      </c>
      <c r="F3076" t="s">
        <v>5264</v>
      </c>
      <c r="G3076" t="s">
        <v>5265</v>
      </c>
      <c r="H3076">
        <v>2.3010000000000002</v>
      </c>
      <c r="I3076" t="s">
        <v>12</v>
      </c>
    </row>
    <row r="3077" spans="1:9" x14ac:dyDescent="0.3">
      <c r="A3077">
        <v>9</v>
      </c>
      <c r="B3077">
        <v>3</v>
      </c>
      <c r="C3077">
        <v>2</v>
      </c>
      <c r="D3077">
        <v>1</v>
      </c>
      <c r="E3077" t="s">
        <v>9</v>
      </c>
      <c r="F3077" t="s">
        <v>5266</v>
      </c>
      <c r="G3077" t="s">
        <v>5267</v>
      </c>
      <c r="H3077">
        <v>3.4990000000000001</v>
      </c>
      <c r="I3077" t="s">
        <v>12</v>
      </c>
    </row>
    <row r="3078" spans="1:9" x14ac:dyDescent="0.3">
      <c r="A3078">
        <v>9</v>
      </c>
      <c r="B3078">
        <v>3</v>
      </c>
      <c r="C3078">
        <v>2</v>
      </c>
      <c r="D3078">
        <v>1</v>
      </c>
      <c r="E3078" t="s">
        <v>19</v>
      </c>
      <c r="F3078" t="s">
        <v>5268</v>
      </c>
      <c r="I3078" t="s">
        <v>21</v>
      </c>
    </row>
    <row r="3079" spans="1:9" x14ac:dyDescent="0.3">
      <c r="A3079">
        <v>9</v>
      </c>
      <c r="B3079">
        <v>3</v>
      </c>
      <c r="C3079">
        <v>2</v>
      </c>
      <c r="D3079">
        <v>1</v>
      </c>
      <c r="E3079" t="s">
        <v>22</v>
      </c>
      <c r="F3079" t="s">
        <v>5269</v>
      </c>
      <c r="G3079" t="s">
        <v>5270</v>
      </c>
      <c r="H3079">
        <v>1.6339999999999999</v>
      </c>
      <c r="I3079" t="s">
        <v>21</v>
      </c>
    </row>
    <row r="3080" spans="1:9" x14ac:dyDescent="0.3">
      <c r="A3080">
        <v>9</v>
      </c>
      <c r="B3080">
        <v>3</v>
      </c>
      <c r="C3080">
        <v>2</v>
      </c>
      <c r="D3080">
        <v>1</v>
      </c>
      <c r="E3080" t="s">
        <v>22</v>
      </c>
      <c r="F3080" t="s">
        <v>5271</v>
      </c>
      <c r="G3080" t="s">
        <v>5272</v>
      </c>
      <c r="H3080">
        <v>3.7</v>
      </c>
      <c r="I3080" t="s">
        <v>21</v>
      </c>
    </row>
    <row r="3081" spans="1:9" x14ac:dyDescent="0.3">
      <c r="A3081">
        <v>9</v>
      </c>
      <c r="B3081">
        <v>3</v>
      </c>
      <c r="C3081">
        <v>2</v>
      </c>
      <c r="D3081">
        <v>1</v>
      </c>
      <c r="E3081" t="s">
        <v>19</v>
      </c>
      <c r="F3081" t="s">
        <v>5273</v>
      </c>
      <c r="I3081" t="s">
        <v>21</v>
      </c>
    </row>
    <row r="3082" spans="1:9" x14ac:dyDescent="0.3">
      <c r="A3082">
        <v>9</v>
      </c>
      <c r="B3082">
        <v>3</v>
      </c>
      <c r="C3082">
        <v>3</v>
      </c>
      <c r="D3082">
        <v>1</v>
      </c>
      <c r="E3082" t="s">
        <v>9</v>
      </c>
      <c r="F3082" t="s">
        <v>5274</v>
      </c>
      <c r="G3082" t="s">
        <v>5275</v>
      </c>
      <c r="H3082">
        <v>6.1849999999999996</v>
      </c>
      <c r="I3082" t="s">
        <v>12</v>
      </c>
    </row>
    <row r="3083" spans="1:9" x14ac:dyDescent="0.3">
      <c r="A3083">
        <v>9</v>
      </c>
      <c r="B3083">
        <v>3</v>
      </c>
      <c r="C3083">
        <v>3</v>
      </c>
      <c r="D3083">
        <v>1</v>
      </c>
      <c r="E3083" t="s">
        <v>9</v>
      </c>
      <c r="F3083" t="s">
        <v>5276</v>
      </c>
      <c r="G3083" t="s">
        <v>5277</v>
      </c>
      <c r="H3083">
        <v>2.0680000000000001</v>
      </c>
      <c r="I3083" t="s">
        <v>12</v>
      </c>
    </row>
    <row r="3084" spans="1:9" x14ac:dyDescent="0.3">
      <c r="A3084">
        <v>9</v>
      </c>
      <c r="B3084">
        <v>3</v>
      </c>
      <c r="C3084">
        <v>3</v>
      </c>
      <c r="D3084">
        <v>1</v>
      </c>
      <c r="E3084" t="s">
        <v>9</v>
      </c>
      <c r="F3084" t="s">
        <v>5278</v>
      </c>
      <c r="G3084" t="s">
        <v>5279</v>
      </c>
      <c r="H3084">
        <v>2.133</v>
      </c>
      <c r="I3084" t="s">
        <v>12</v>
      </c>
    </row>
    <row r="3085" spans="1:9" x14ac:dyDescent="0.3">
      <c r="A3085">
        <v>9</v>
      </c>
      <c r="B3085">
        <v>3</v>
      </c>
      <c r="C3085">
        <v>3</v>
      </c>
      <c r="D3085">
        <v>1</v>
      </c>
      <c r="E3085" t="s">
        <v>22</v>
      </c>
      <c r="F3085" t="s">
        <v>5280</v>
      </c>
      <c r="G3085" t="s">
        <v>5281</v>
      </c>
      <c r="H3085">
        <v>1.4670000000000001</v>
      </c>
      <c r="I3085" t="s">
        <v>21</v>
      </c>
    </row>
    <row r="3086" spans="1:9" x14ac:dyDescent="0.3">
      <c r="A3086">
        <v>9</v>
      </c>
      <c r="B3086">
        <v>3</v>
      </c>
      <c r="C3086">
        <v>3</v>
      </c>
      <c r="D3086">
        <v>1</v>
      </c>
      <c r="E3086" t="s">
        <v>19</v>
      </c>
      <c r="F3086" t="s">
        <v>5282</v>
      </c>
      <c r="I3086" t="s">
        <v>21</v>
      </c>
    </row>
    <row r="3087" spans="1:9" x14ac:dyDescent="0.3">
      <c r="A3087">
        <v>9</v>
      </c>
      <c r="B3087">
        <v>3</v>
      </c>
      <c r="C3087">
        <v>3</v>
      </c>
      <c r="D3087">
        <v>1</v>
      </c>
      <c r="E3087" t="s">
        <v>9</v>
      </c>
      <c r="F3087" t="s">
        <v>5283</v>
      </c>
      <c r="G3087" t="s">
        <v>5284</v>
      </c>
      <c r="H3087">
        <v>1.5349999999999999</v>
      </c>
      <c r="I3087" t="s">
        <v>12</v>
      </c>
    </row>
    <row r="3088" spans="1:9" x14ac:dyDescent="0.3">
      <c r="A3088">
        <v>9</v>
      </c>
      <c r="B3088">
        <v>3</v>
      </c>
      <c r="C3088">
        <v>3</v>
      </c>
      <c r="D3088">
        <v>1</v>
      </c>
      <c r="E3088" t="s">
        <v>22</v>
      </c>
      <c r="F3088" t="s">
        <v>5285</v>
      </c>
      <c r="G3088" t="s">
        <v>5286</v>
      </c>
      <c r="H3088">
        <v>1.4339999999999999</v>
      </c>
      <c r="I3088" t="s">
        <v>21</v>
      </c>
    </row>
    <row r="3089" spans="1:9" x14ac:dyDescent="0.3">
      <c r="A3089">
        <v>9</v>
      </c>
      <c r="B3089">
        <v>3</v>
      </c>
      <c r="C3089">
        <v>3</v>
      </c>
      <c r="D3089">
        <v>1</v>
      </c>
      <c r="E3089" t="s">
        <v>19</v>
      </c>
      <c r="F3089" t="s">
        <v>5287</v>
      </c>
      <c r="I3089" t="s">
        <v>21</v>
      </c>
    </row>
    <row r="3090" spans="1:9" x14ac:dyDescent="0.3">
      <c r="A3090">
        <v>9</v>
      </c>
      <c r="B3090">
        <v>3</v>
      </c>
      <c r="C3090">
        <v>3</v>
      </c>
      <c r="D3090">
        <v>2</v>
      </c>
      <c r="E3090" t="s">
        <v>9</v>
      </c>
      <c r="F3090" t="s">
        <v>5288</v>
      </c>
      <c r="G3090" t="s">
        <v>5289</v>
      </c>
      <c r="H3090">
        <v>1.9850000000000001</v>
      </c>
      <c r="I3090" t="s">
        <v>12</v>
      </c>
    </row>
    <row r="3091" spans="1:9" x14ac:dyDescent="0.3">
      <c r="A3091">
        <v>9</v>
      </c>
      <c r="B3091">
        <v>3</v>
      </c>
      <c r="C3091">
        <v>3</v>
      </c>
      <c r="D3091">
        <v>2</v>
      </c>
      <c r="E3091" t="s">
        <v>9</v>
      </c>
      <c r="F3091" t="s">
        <v>5290</v>
      </c>
      <c r="G3091" t="s">
        <v>5291</v>
      </c>
      <c r="H3091">
        <v>1.734</v>
      </c>
      <c r="I3091" t="s">
        <v>12</v>
      </c>
    </row>
    <row r="3092" spans="1:9" x14ac:dyDescent="0.3">
      <c r="A3092">
        <v>9</v>
      </c>
      <c r="B3092">
        <v>3</v>
      </c>
      <c r="C3092">
        <v>3</v>
      </c>
      <c r="D3092">
        <v>2</v>
      </c>
      <c r="E3092" t="s">
        <v>9</v>
      </c>
      <c r="F3092" t="s">
        <v>5292</v>
      </c>
      <c r="G3092" t="s">
        <v>5293</v>
      </c>
      <c r="H3092">
        <v>2.468</v>
      </c>
      <c r="I3092" t="s">
        <v>12</v>
      </c>
    </row>
    <row r="3093" spans="1:9" x14ac:dyDescent="0.3">
      <c r="A3093">
        <v>9</v>
      </c>
      <c r="B3093">
        <v>3</v>
      </c>
      <c r="C3093">
        <v>3</v>
      </c>
      <c r="D3093">
        <v>2</v>
      </c>
      <c r="E3093" t="s">
        <v>9</v>
      </c>
      <c r="F3093" t="s">
        <v>5294</v>
      </c>
      <c r="G3093" t="s">
        <v>5295</v>
      </c>
      <c r="H3093">
        <v>1.9339999999999999</v>
      </c>
      <c r="I3093" t="s">
        <v>12</v>
      </c>
    </row>
    <row r="3094" spans="1:9" x14ac:dyDescent="0.3">
      <c r="A3094">
        <v>9</v>
      </c>
      <c r="B3094">
        <v>3</v>
      </c>
      <c r="C3094">
        <v>3</v>
      </c>
      <c r="D3094">
        <v>2</v>
      </c>
      <c r="E3094" t="s">
        <v>22</v>
      </c>
      <c r="F3094" t="s">
        <v>5296</v>
      </c>
      <c r="G3094" t="s">
        <v>5297</v>
      </c>
      <c r="H3094">
        <v>0.83499999999999996</v>
      </c>
      <c r="I3094" t="s">
        <v>21</v>
      </c>
    </row>
    <row r="3095" spans="1:9" x14ac:dyDescent="0.3">
      <c r="A3095">
        <v>9</v>
      </c>
      <c r="B3095">
        <v>3</v>
      </c>
      <c r="C3095">
        <v>3</v>
      </c>
      <c r="D3095">
        <v>2</v>
      </c>
      <c r="E3095" t="s">
        <v>19</v>
      </c>
      <c r="F3095" t="s">
        <v>5298</v>
      </c>
      <c r="I3095" t="s">
        <v>34</v>
      </c>
    </row>
    <row r="3096" spans="1:9" x14ac:dyDescent="0.3">
      <c r="A3096">
        <v>9</v>
      </c>
      <c r="B3096">
        <v>3</v>
      </c>
      <c r="C3096">
        <v>3</v>
      </c>
      <c r="D3096">
        <v>2</v>
      </c>
      <c r="E3096" t="s">
        <v>19</v>
      </c>
      <c r="F3096" t="s">
        <v>5299</v>
      </c>
      <c r="I3096" t="s">
        <v>21</v>
      </c>
    </row>
    <row r="3097" spans="1:9" x14ac:dyDescent="0.3">
      <c r="A3097">
        <v>9</v>
      </c>
      <c r="B3097">
        <v>3</v>
      </c>
      <c r="C3097">
        <v>3</v>
      </c>
      <c r="D3097">
        <v>2</v>
      </c>
      <c r="E3097" t="s">
        <v>22</v>
      </c>
      <c r="F3097" t="s">
        <v>5300</v>
      </c>
      <c r="G3097" t="s">
        <v>5301</v>
      </c>
      <c r="H3097">
        <v>2.734</v>
      </c>
      <c r="I3097" t="s">
        <v>21</v>
      </c>
    </row>
    <row r="3098" spans="1:9" x14ac:dyDescent="0.3">
      <c r="A3098">
        <v>9</v>
      </c>
      <c r="B3098">
        <v>3</v>
      </c>
      <c r="C3098">
        <v>3</v>
      </c>
      <c r="D3098">
        <v>3</v>
      </c>
      <c r="E3098" t="s">
        <v>9</v>
      </c>
      <c r="F3098" t="s">
        <v>5302</v>
      </c>
      <c r="G3098" t="s">
        <v>5303</v>
      </c>
      <c r="H3098">
        <v>4.218</v>
      </c>
      <c r="I3098" t="s">
        <v>12</v>
      </c>
    </row>
    <row r="3099" spans="1:9" x14ac:dyDescent="0.3">
      <c r="A3099">
        <v>9</v>
      </c>
      <c r="B3099">
        <v>3</v>
      </c>
      <c r="C3099">
        <v>3</v>
      </c>
      <c r="D3099">
        <v>3</v>
      </c>
      <c r="E3099" t="s">
        <v>9</v>
      </c>
      <c r="F3099" t="s">
        <v>5304</v>
      </c>
      <c r="G3099" t="s">
        <v>5305</v>
      </c>
      <c r="H3099">
        <v>2.8690000000000002</v>
      </c>
      <c r="I3099" t="s">
        <v>12</v>
      </c>
    </row>
    <row r="3100" spans="1:9" x14ac:dyDescent="0.3">
      <c r="A3100">
        <v>9</v>
      </c>
      <c r="B3100">
        <v>3</v>
      </c>
      <c r="C3100">
        <v>3</v>
      </c>
      <c r="D3100">
        <v>3</v>
      </c>
      <c r="E3100" t="s">
        <v>9</v>
      </c>
      <c r="F3100" t="s">
        <v>5306</v>
      </c>
      <c r="G3100" t="s">
        <v>5307</v>
      </c>
      <c r="H3100">
        <v>5.4009999999999998</v>
      </c>
      <c r="I3100" t="s">
        <v>12</v>
      </c>
    </row>
    <row r="3101" spans="1:9" x14ac:dyDescent="0.3">
      <c r="A3101">
        <v>9</v>
      </c>
      <c r="B3101">
        <v>3</v>
      </c>
      <c r="C3101">
        <v>3</v>
      </c>
      <c r="D3101">
        <v>3</v>
      </c>
      <c r="E3101" t="s">
        <v>9</v>
      </c>
      <c r="F3101" t="s">
        <v>5308</v>
      </c>
      <c r="G3101" t="s">
        <v>5309</v>
      </c>
      <c r="H3101">
        <v>1.4670000000000001</v>
      </c>
      <c r="I3101" t="s">
        <v>12</v>
      </c>
    </row>
    <row r="3102" spans="1:9" x14ac:dyDescent="0.3">
      <c r="A3102">
        <v>9</v>
      </c>
      <c r="B3102">
        <v>3</v>
      </c>
      <c r="C3102">
        <v>3</v>
      </c>
      <c r="D3102">
        <v>3</v>
      </c>
      <c r="E3102" t="s">
        <v>19</v>
      </c>
      <c r="F3102" t="s">
        <v>5310</v>
      </c>
      <c r="I3102" t="s">
        <v>21</v>
      </c>
    </row>
    <row r="3103" spans="1:9" x14ac:dyDescent="0.3">
      <c r="A3103">
        <v>9</v>
      </c>
      <c r="B3103">
        <v>3</v>
      </c>
      <c r="C3103">
        <v>3</v>
      </c>
      <c r="D3103">
        <v>3</v>
      </c>
      <c r="E3103" t="s">
        <v>22</v>
      </c>
      <c r="F3103" t="s">
        <v>5311</v>
      </c>
      <c r="G3103" t="s">
        <v>5312</v>
      </c>
      <c r="H3103">
        <v>1.1679999999999999</v>
      </c>
      <c r="I3103" t="s">
        <v>21</v>
      </c>
    </row>
    <row r="3104" spans="1:9" x14ac:dyDescent="0.3">
      <c r="A3104">
        <v>9</v>
      </c>
      <c r="B3104">
        <v>3</v>
      </c>
      <c r="C3104">
        <v>3</v>
      </c>
      <c r="D3104">
        <v>3</v>
      </c>
      <c r="E3104" t="s">
        <v>19</v>
      </c>
      <c r="F3104" t="s">
        <v>5313</v>
      </c>
      <c r="I3104" t="s">
        <v>21</v>
      </c>
    </row>
    <row r="3105" spans="1:9" x14ac:dyDescent="0.3">
      <c r="A3105">
        <v>9</v>
      </c>
      <c r="B3105">
        <v>3</v>
      </c>
      <c r="C3105">
        <v>3</v>
      </c>
      <c r="D3105">
        <v>3</v>
      </c>
      <c r="E3105" t="s">
        <v>22</v>
      </c>
      <c r="F3105" t="s">
        <v>5314</v>
      </c>
      <c r="G3105" t="s">
        <v>5315</v>
      </c>
      <c r="H3105">
        <v>0.90100000000000002</v>
      </c>
      <c r="I3105" t="s">
        <v>21</v>
      </c>
    </row>
    <row r="3106" spans="1:9" x14ac:dyDescent="0.3">
      <c r="A3106">
        <v>9</v>
      </c>
      <c r="B3106">
        <v>3</v>
      </c>
      <c r="C3106">
        <v>3</v>
      </c>
      <c r="D3106">
        <v>3</v>
      </c>
      <c r="E3106" t="s">
        <v>19</v>
      </c>
      <c r="F3106" t="s">
        <v>5316</v>
      </c>
      <c r="I3106" t="s">
        <v>34</v>
      </c>
    </row>
    <row r="3107" spans="1:9" x14ac:dyDescent="0.3">
      <c r="A3107">
        <v>9</v>
      </c>
      <c r="B3107">
        <v>3</v>
      </c>
      <c r="C3107">
        <v>3</v>
      </c>
      <c r="D3107">
        <v>4</v>
      </c>
      <c r="E3107" t="s">
        <v>9</v>
      </c>
      <c r="F3107" t="s">
        <v>5317</v>
      </c>
      <c r="G3107" t="s">
        <v>5318</v>
      </c>
      <c r="H3107">
        <v>3.4180000000000001</v>
      </c>
      <c r="I3107" t="s">
        <v>12</v>
      </c>
    </row>
    <row r="3108" spans="1:9" x14ac:dyDescent="0.3">
      <c r="A3108">
        <v>9</v>
      </c>
      <c r="B3108">
        <v>3</v>
      </c>
      <c r="C3108">
        <v>3</v>
      </c>
      <c r="D3108">
        <v>4</v>
      </c>
      <c r="E3108" t="s">
        <v>9</v>
      </c>
      <c r="F3108" t="s">
        <v>5319</v>
      </c>
      <c r="G3108" t="s">
        <v>5320</v>
      </c>
      <c r="H3108">
        <v>3.0960000000000001</v>
      </c>
      <c r="I3108" t="s">
        <v>12</v>
      </c>
    </row>
    <row r="3109" spans="1:9" x14ac:dyDescent="0.3">
      <c r="A3109">
        <v>9</v>
      </c>
      <c r="B3109">
        <v>3</v>
      </c>
      <c r="C3109">
        <v>3</v>
      </c>
      <c r="D3109">
        <v>4</v>
      </c>
      <c r="E3109" t="s">
        <v>9</v>
      </c>
      <c r="F3109" t="s">
        <v>5321</v>
      </c>
      <c r="G3109" t="s">
        <v>5322</v>
      </c>
      <c r="H3109">
        <v>1.901</v>
      </c>
      <c r="I3109" t="s">
        <v>12</v>
      </c>
    </row>
    <row r="3110" spans="1:9" x14ac:dyDescent="0.3">
      <c r="A3110">
        <v>9</v>
      </c>
      <c r="B3110">
        <v>3</v>
      </c>
      <c r="C3110">
        <v>3</v>
      </c>
      <c r="D3110">
        <v>4</v>
      </c>
      <c r="E3110" t="s">
        <v>9</v>
      </c>
      <c r="F3110" t="s">
        <v>5323</v>
      </c>
      <c r="G3110" t="s">
        <v>5324</v>
      </c>
      <c r="H3110">
        <v>2.2999999999999998</v>
      </c>
      <c r="I3110" t="s">
        <v>12</v>
      </c>
    </row>
    <row r="3111" spans="1:9" x14ac:dyDescent="0.3">
      <c r="A3111">
        <v>9</v>
      </c>
      <c r="B3111">
        <v>3</v>
      </c>
      <c r="C3111">
        <v>3</v>
      </c>
      <c r="D3111">
        <v>4</v>
      </c>
      <c r="E3111" t="s">
        <v>22</v>
      </c>
      <c r="F3111" t="s">
        <v>5325</v>
      </c>
      <c r="G3111" t="s">
        <v>5326</v>
      </c>
      <c r="H3111">
        <v>1.8680000000000001</v>
      </c>
      <c r="I3111" t="s">
        <v>21</v>
      </c>
    </row>
    <row r="3112" spans="1:9" x14ac:dyDescent="0.3">
      <c r="A3112">
        <v>9</v>
      </c>
      <c r="B3112">
        <v>3</v>
      </c>
      <c r="C3112">
        <v>3</v>
      </c>
      <c r="D3112">
        <v>4</v>
      </c>
      <c r="E3112" t="s">
        <v>19</v>
      </c>
      <c r="F3112" t="s">
        <v>5327</v>
      </c>
      <c r="I3112" t="s">
        <v>34</v>
      </c>
    </row>
    <row r="3113" spans="1:9" x14ac:dyDescent="0.3">
      <c r="A3113">
        <v>9</v>
      </c>
      <c r="B3113">
        <v>3</v>
      </c>
      <c r="C3113">
        <v>3</v>
      </c>
      <c r="D3113">
        <v>4</v>
      </c>
      <c r="E3113" t="s">
        <v>22</v>
      </c>
      <c r="F3113" t="s">
        <v>5328</v>
      </c>
      <c r="G3113" t="s">
        <v>5329</v>
      </c>
      <c r="H3113">
        <v>4.835</v>
      </c>
      <c r="I3113" t="s">
        <v>21</v>
      </c>
    </row>
    <row r="3114" spans="1:9" x14ac:dyDescent="0.3">
      <c r="A3114">
        <v>9</v>
      </c>
      <c r="B3114">
        <v>3</v>
      </c>
      <c r="C3114">
        <v>3</v>
      </c>
      <c r="D3114">
        <v>4</v>
      </c>
      <c r="E3114" t="s">
        <v>19</v>
      </c>
      <c r="F3114" t="s">
        <v>5330</v>
      </c>
      <c r="I3114" t="s">
        <v>21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308DF-7F58-4A18-804D-DCCF9BA44149}">
  <dimension ref="A1:R52"/>
  <sheetViews>
    <sheetView tabSelected="1" topLeftCell="C22" workbookViewId="0">
      <selection activeCell="L4" sqref="L4"/>
    </sheetView>
  </sheetViews>
  <sheetFormatPr baseColWidth="10" defaultRowHeight="14.4" x14ac:dyDescent="0.3"/>
  <sheetData>
    <row r="1" spans="1:18" x14ac:dyDescent="0.3">
      <c r="A1" t="s">
        <v>1</v>
      </c>
      <c r="B1" t="s">
        <v>5331</v>
      </c>
      <c r="D1" t="s">
        <v>4</v>
      </c>
      <c r="E1" t="s">
        <v>5331</v>
      </c>
      <c r="F1" t="s">
        <v>5332</v>
      </c>
      <c r="G1" t="s">
        <v>5333</v>
      </c>
      <c r="H1" t="s">
        <v>81</v>
      </c>
      <c r="I1" t="s">
        <v>5334</v>
      </c>
      <c r="J1" t="s">
        <v>5335</v>
      </c>
    </row>
    <row r="2" spans="1:18" x14ac:dyDescent="0.3">
      <c r="A2">
        <v>1</v>
      </c>
      <c r="B2">
        <f>COUNTIF(dataReaccion[Sesion],A2)</f>
        <v>1301</v>
      </c>
      <c r="D2" t="s">
        <v>22</v>
      </c>
      <c r="E2">
        <f>COUNTIF(dataReaccion[Tipo],D2)</f>
        <v>730</v>
      </c>
      <c r="F2">
        <f>COUNTIFS(dataReaccion[Tipo],D2,dataReaccion[Respuesta],"Correcto")</f>
        <v>700</v>
      </c>
      <c r="G2">
        <f>COUNTIFS(dataReaccion[Tipo],D2,dataReaccion[Respuesta],"Erroneo")</f>
        <v>30</v>
      </c>
      <c r="H2">
        <f>COUNTIFS(dataReaccion[Tipo],D2,dataReaccion[Tiempo reaccion(s)],"Tiempo excedido")</f>
        <v>13</v>
      </c>
      <c r="I2">
        <f>AVERAGEIFS(dataReaccion[Tiempo reaccion(s)],dataReaccion[Tipo],D2,dataReaccion[Tiempo reaccion(s)],"&lt;&gt;")</f>
        <v>2.1788117154811713</v>
      </c>
      <c r="J2" cm="1">
        <f t="array" ref="J2">_xlfn.STDEV.P(IF((dataReaccion[Tipo]=D2)*(dataReaccion[Tiempo reaccion(s)]&gt;0),dataReaccion[Tiempo reaccion(s)]))</f>
        <v>1.2734930491129082</v>
      </c>
      <c r="L2">
        <f>COUNTIFS(dataReaccion[Tipo],D2,dataReaccion[Tiempo reaccion(s)],"&gt;8")</f>
        <v>1</v>
      </c>
    </row>
    <row r="3" spans="1:18" x14ac:dyDescent="0.3">
      <c r="A3">
        <v>2</v>
      </c>
      <c r="B3">
        <f>COUNTIF(dataReaccion[Sesion],A3)</f>
        <v>43</v>
      </c>
      <c r="D3" t="s">
        <v>19</v>
      </c>
      <c r="E3">
        <f>COUNTIF(dataReaccion[Tipo],D3)</f>
        <v>781</v>
      </c>
      <c r="F3">
        <f>COUNTIFS(dataReaccion[Tipo],D3,dataReaccion[Respuesta],"Correcto")</f>
        <v>565</v>
      </c>
      <c r="G3">
        <f>COUNTIFS(dataReaccion[Tipo],D3,dataReaccion[Respuesta],"Erroneo")</f>
        <v>216</v>
      </c>
      <c r="H3" t="s">
        <v>12</v>
      </c>
    </row>
    <row r="4" spans="1:18" x14ac:dyDescent="0.3">
      <c r="A4">
        <v>3</v>
      </c>
      <c r="B4">
        <f>COUNTIF(dataReaccion[Sesion],A4)</f>
        <v>1715</v>
      </c>
      <c r="D4" t="s">
        <v>9</v>
      </c>
      <c r="E4">
        <f>COUNTIF(dataReaccion[Tipo],D4)</f>
        <v>1602</v>
      </c>
      <c r="F4" t="s">
        <v>12</v>
      </c>
      <c r="G4" t="s">
        <v>12</v>
      </c>
      <c r="H4">
        <f>COUNTIFS(dataReaccion[Tipo],D4,dataReaccion[Tiempo reaccion(s)],"Tiempo excedido")</f>
        <v>70</v>
      </c>
      <c r="I4">
        <f>AVERAGEIFS(dataReaccion[Tiempo reaccion(s)],dataReaccion[Tipo],D4,dataReaccion[Tiempo reaccion(s)],"&lt;&gt;")</f>
        <v>2.779821801566583</v>
      </c>
      <c r="J4" cm="1">
        <f t="array" ref="J4">_xlfn.STDEV.P(IF((dataReaccion[Tipo]=D4)*(dataReaccion[Tiempo reaccion(s)]&gt;0),dataReaccion[Tiempo reaccion(s)]))</f>
        <v>1.4880843636490071</v>
      </c>
      <c r="L4">
        <f>COUNTIFS(dataReaccion[Tipo],D4,dataReaccion[Tiempo reaccion(s)],"&gt;7")</f>
        <v>36</v>
      </c>
    </row>
    <row r="5" spans="1:18" x14ac:dyDescent="0.3">
      <c r="A5" t="s">
        <v>2</v>
      </c>
      <c r="B5" t="s">
        <v>5331</v>
      </c>
      <c r="D5" t="s">
        <v>5336</v>
      </c>
      <c r="E5">
        <f>E2+E3+E4</f>
        <v>3113</v>
      </c>
      <c r="F5">
        <f>F2+F3</f>
        <v>1265</v>
      </c>
      <c r="G5">
        <f>G2+G3</f>
        <v>246</v>
      </c>
      <c r="H5">
        <f>H2+H4</f>
        <v>83</v>
      </c>
      <c r="I5">
        <f>AVERAGEIF(dataReaccion[Tiempo reaccion(s)],"&lt;&gt;")</f>
        <v>2.5882147621165066</v>
      </c>
      <c r="J5" cm="1">
        <f t="array" ref="J5">_xlfn.STDEV.P(IF(dataReaccion[Tiempo reaccion(s)]&gt;0,dataReaccion[Tiempo reaccion(s)]))</f>
        <v>1.4504862595632331</v>
      </c>
    </row>
    <row r="6" spans="1:18" x14ac:dyDescent="0.3">
      <c r="A6">
        <v>1</v>
      </c>
      <c r="B6">
        <f>COUNTIF(dataReaccion[Nivel],A6)</f>
        <v>1385</v>
      </c>
    </row>
    <row r="7" spans="1:18" x14ac:dyDescent="0.3">
      <c r="A7">
        <v>2</v>
      </c>
      <c r="B7">
        <f>COUNTIF(dataReaccion[Nivel],A7)</f>
        <v>940</v>
      </c>
    </row>
    <row r="8" spans="1:18" x14ac:dyDescent="0.3">
      <c r="A8">
        <v>3</v>
      </c>
      <c r="B8">
        <f>COUNTIF(dataReaccion[Nivel],A8)</f>
        <v>788</v>
      </c>
    </row>
    <row r="9" spans="1:18" x14ac:dyDescent="0.3">
      <c r="A9" t="s">
        <v>2</v>
      </c>
      <c r="B9" t="s">
        <v>3</v>
      </c>
      <c r="C9" t="s">
        <v>5331</v>
      </c>
      <c r="D9" t="s">
        <v>5337</v>
      </c>
      <c r="E9" t="s">
        <v>5338</v>
      </c>
      <c r="F9" t="s">
        <v>5347</v>
      </c>
      <c r="G9" t="s">
        <v>5339</v>
      </c>
      <c r="H9" t="s">
        <v>5340</v>
      </c>
      <c r="I9" t="s">
        <v>5348</v>
      </c>
      <c r="J9" t="s">
        <v>5341</v>
      </c>
      <c r="K9" t="s">
        <v>5342</v>
      </c>
      <c r="L9" t="s">
        <v>5349</v>
      </c>
      <c r="M9" t="s">
        <v>5332</v>
      </c>
      <c r="N9" t="s">
        <v>5352</v>
      </c>
      <c r="O9" t="s">
        <v>5350</v>
      </c>
      <c r="P9" t="s">
        <v>5353</v>
      </c>
      <c r="Q9" t="s">
        <v>5351</v>
      </c>
      <c r="R9" t="s">
        <v>5354</v>
      </c>
    </row>
    <row r="10" spans="1:18" x14ac:dyDescent="0.3">
      <c r="A10">
        <v>1</v>
      </c>
      <c r="B10">
        <v>1</v>
      </c>
      <c r="C10">
        <f>COUNTIFS(dataReaccion[Nivel],A10,dataReaccion[Intento],B10)</f>
        <v>291</v>
      </c>
      <c r="D10">
        <f>AVERAGEIFS(dataReaccion[Tiempo reaccion(s)],dataReaccion[Nivel],A10,dataReaccion[Intento],B10,dataReaccion[Tiempo reaccion(s)],"&lt;&gt;")</f>
        <v>3.0241894273127747</v>
      </c>
      <c r="E10" cm="1">
        <f t="array" ref="E10">_xlfn.STDEV.P(IF((dataReaccion[Nivel]=A10)*(dataReaccion[Intento]=B10)*(dataReaccion[Tiempo reaccion(s)]&gt;0),dataReaccion[Tiempo reaccion(s)]))</f>
        <v>1.8137244457189061</v>
      </c>
      <c r="F10">
        <f>COUNTIFS(dataReaccion[Nivel],A10,dataReaccion[Intento],B10,dataReaccion[Tipo],"Dormir")</f>
        <v>69</v>
      </c>
      <c r="G10">
        <f>AVERAGEIFS(dataReaccion[Tiempo reaccion(s)],dataReaccion[Nivel],A10,dataReaccion[Intento],B10,dataReaccion[Tiempo reaccion(s)],"&lt;&gt;", dataReaccion[Tipo],"Dormir")</f>
        <v>2.2542898550724644</v>
      </c>
      <c r="H10" cm="1">
        <f t="array" ref="H10">_xlfn.STDEV.P(IF((dataReaccion[Nivel]=A10)*(dataReaccion[Intento]=B10)*(dataReaccion[Tipo]="Dormir")*(dataReaccion[Tiempo reaccion(s)]&gt;0),dataReaccion[Tiempo reaccion(s)]))</f>
        <v>1.2371158733521999</v>
      </c>
      <c r="I10">
        <f>COUNTIFS(dataReaccion[Nivel],A10,dataReaccion[Intento],B10,dataReaccion[Tipo],"Parada")</f>
        <v>163</v>
      </c>
      <c r="J10">
        <f>AVERAGEIFS(dataReaccion[Tiempo reaccion(s)],dataReaccion[Nivel],A10,dataReaccion[Intento],B10,dataReaccion[Tiempo reaccion(s)],"&lt;&gt;", dataReaccion[Tipo],"Parada")</f>
        <v>3.3604113924050636</v>
      </c>
      <c r="K10" cm="1">
        <f t="array" ref="K10">_xlfn.STDEV.P(IF((dataReaccion[Nivel]=A10)*(dataReaccion[Intento]=B10)*(dataReaccion[Tipo]="Parada")*(dataReaccion[Tiempo reaccion(s)]&gt;0),dataReaccion[Tiempo reaccion(s)]))</f>
        <v>1.919876644671811</v>
      </c>
      <c r="L10">
        <f>COUNTIFS(dataReaccion[Nivel],A10,dataReaccion[Intento],B10,dataReaccion[Tipo],"Ubicacion")</f>
        <v>59</v>
      </c>
      <c r="M10">
        <f>COUNTIFS(dataReaccion[Nivel],A10, dataReaccion[Intento],B10,dataReaccion[Respuesta],"Correcto")</f>
        <v>106</v>
      </c>
      <c r="N10">
        <f>COUNTIFS(dataReaccion[Nivel],A10, dataReaccion[Intento],B10,dataReaccion[Respuesta],"Erroneo")</f>
        <v>27</v>
      </c>
      <c r="O10">
        <f>COUNTIFS(dataReaccion[Nivel],A10, dataReaccion[Intento],B10,dataReaccion[Respuesta],"Correcto",dataReaccion[Tipo],"Dormir")</f>
        <v>63</v>
      </c>
      <c r="P10">
        <f>COUNTIFS(dataReaccion[Nivel],A10, dataReaccion[Intento],B10,dataReaccion[Respuesta],"Erroneo",dataReaccion[Tipo],"Dormir")</f>
        <v>6</v>
      </c>
      <c r="Q10">
        <f>COUNTIFS(dataReaccion[Nivel],A10, dataReaccion[Intento],B10,dataReaccion[Respuesta],"Correcto",dataReaccion[Tipo],"Ubicacion")</f>
        <v>43</v>
      </c>
      <c r="R10">
        <f>COUNTIFS(dataReaccion[Nivel],A10, dataReaccion[Intento],B10,dataReaccion[Respuesta],"Erroneo",dataReaccion[Tipo],"Ubicacion")</f>
        <v>16</v>
      </c>
    </row>
    <row r="11" spans="1:18" x14ac:dyDescent="0.3">
      <c r="A11">
        <v>1</v>
      </c>
      <c r="B11">
        <v>2</v>
      </c>
      <c r="C11">
        <f>COUNTIFS(dataReaccion[Nivel],A11,dataReaccion[Intento],B11)</f>
        <v>274</v>
      </c>
      <c r="D11">
        <f>AVERAGEIFS(dataReaccion[Tiempo reaccion(s)],dataReaccion[Nivel],A11,dataReaccion[Intento],B11,dataReaccion[Tiempo reaccion(s)],"&lt;&gt;")</f>
        <v>2.6610845771144276</v>
      </c>
      <c r="E11" cm="1">
        <f t="array" ref="E11">_xlfn.STDEV.P(IF((dataReaccion[Nivel]=A11)*(dataReaccion[Intento]=B11)*(dataReaccion[Tiempo reaccion(s)]&gt;0),dataReaccion[Tiempo reaccion(s)]))</f>
        <v>1.4878410743417638</v>
      </c>
      <c r="F11">
        <f>COUNTIFS(dataReaccion[Nivel],A11,dataReaccion[Intento],B11,dataReaccion[Tipo],"Dormir")</f>
        <v>61</v>
      </c>
      <c r="G11">
        <f>AVERAGEIFS(dataReaccion[Tiempo reaccion(s)],dataReaccion[Nivel],A11,dataReaccion[Intento],B11,dataReaccion[Tiempo reaccion(s)],"&lt;&gt;", dataReaccion[Tipo],"Dormir")</f>
        <v>2.284081967213115</v>
      </c>
      <c r="H11" cm="1">
        <f t="array" ref="H11">_xlfn.STDEV.P(IF((dataReaccion[Nivel]=A11)*(dataReaccion[Intento]=B11)*(dataReaccion[Tipo]="Dormir")*(dataReaccion[Tiempo reaccion(s)]&gt;0),dataReaccion[Tiempo reaccion(s)]))</f>
        <v>1.5114389115823734</v>
      </c>
      <c r="I11">
        <f>COUNTIFS(dataReaccion[Nivel],A11,dataReaccion[Intento],B11,dataReaccion[Tipo],"Parada")</f>
        <v>141</v>
      </c>
      <c r="J11">
        <f>AVERAGEIFS(dataReaccion[Tiempo reaccion(s)],dataReaccion[Nivel],A11,dataReaccion[Intento],B11,dataReaccion[Tiempo reaccion(s)],"&lt;&gt;", dataReaccion[Tipo],"Parada")</f>
        <v>2.8253500000000003</v>
      </c>
      <c r="K11" cm="1">
        <f t="array" ref="K11">_xlfn.STDEV.P(IF((dataReaccion[Nivel]=A11)*(dataReaccion[Intento]=B11)*(dataReaccion[Tipo]="Parada")*(dataReaccion[Tiempo reaccion(s)]&gt;0),dataReaccion[Tiempo reaccion(s)]))</f>
        <v>1.4470387344257825</v>
      </c>
      <c r="L11">
        <f>COUNTIFS(dataReaccion[Nivel],A11,dataReaccion[Intento],B11,dataReaccion[Tipo],"Ubicacion")</f>
        <v>72</v>
      </c>
      <c r="M11">
        <f>COUNTIFS(dataReaccion[Nivel],A11, dataReaccion[Intento],B11,dataReaccion[Respuesta],"Correcto")</f>
        <v>106</v>
      </c>
      <c r="N11">
        <f>COUNTIFS(dataReaccion[Nivel],A11, dataReaccion[Intento],B11,dataReaccion[Respuesta],"Erroneo")</f>
        <v>28</v>
      </c>
      <c r="O11">
        <f>COUNTIFS(dataReaccion[Nivel],A11, dataReaccion[Intento],B11,dataReaccion[Respuesta],"Correcto",dataReaccion[Tipo],"Dormir")</f>
        <v>57</v>
      </c>
      <c r="P11">
        <f>COUNTIFS(dataReaccion[Nivel],A11, dataReaccion[Intento],B11,dataReaccion[Respuesta],"Erroneo",dataReaccion[Tipo],"Dormir")</f>
        <v>4</v>
      </c>
      <c r="Q11">
        <f>COUNTIFS(dataReaccion[Nivel],A11, dataReaccion[Intento],B11,dataReaccion[Respuesta],"Correcto",dataReaccion[Tipo],"Ubicacion")</f>
        <v>49</v>
      </c>
      <c r="R11">
        <f>COUNTIFS(dataReaccion[Nivel],A11, dataReaccion[Intento],B11,dataReaccion[Respuesta],"Erroneo",dataReaccion[Tipo],"Ubicacion")</f>
        <v>23</v>
      </c>
    </row>
    <row r="12" spans="1:18" x14ac:dyDescent="0.3">
      <c r="A12">
        <v>1</v>
      </c>
      <c r="B12">
        <v>3</v>
      </c>
      <c r="C12">
        <f>COUNTIFS(dataReaccion[Nivel],A12,dataReaccion[Intento],B12)</f>
        <v>211</v>
      </c>
      <c r="D12">
        <f>AVERAGEIFS(dataReaccion[Tiempo reaccion(s)],dataReaccion[Nivel],A12,dataReaccion[Intento],B12,dataReaccion[Tiempo reaccion(s)],"&lt;&gt;")</f>
        <v>2.9414487179487168</v>
      </c>
      <c r="E12" cm="1">
        <f t="array" ref="E12">_xlfn.STDEV.P(IF((dataReaccion[Nivel]=A12)*(dataReaccion[Intento]=B12)*(dataReaccion[Tiempo reaccion(s)]&gt;0),dataReaccion[Tiempo reaccion(s)]))</f>
        <v>1.8291590098369217</v>
      </c>
      <c r="F12">
        <f>COUNTIFS(dataReaccion[Nivel],A12,dataReaccion[Intento],B12,dataReaccion[Tipo],"Dormir")</f>
        <v>49</v>
      </c>
      <c r="G12">
        <f>AVERAGEIFS(dataReaccion[Tiempo reaccion(s)],dataReaccion[Nivel],A12,dataReaccion[Intento],B12,dataReaccion[Tiempo reaccion(s)],"&lt;&gt;", dataReaccion[Tipo],"Dormir")</f>
        <v>2.6237346938775512</v>
      </c>
      <c r="H12" cm="1">
        <f t="array" ref="H12">_xlfn.STDEV.P(IF((dataReaccion[Nivel]=A12)*(dataReaccion[Intento]=B12)*(dataReaccion[Tipo]="Dormir")*(dataReaccion[Tiempo reaccion(s)]&gt;0),dataReaccion[Tiempo reaccion(s)]))</f>
        <v>1.7127827074915396</v>
      </c>
      <c r="I12">
        <f>COUNTIFS(dataReaccion[Nivel],A12,dataReaccion[Intento],B12,dataReaccion[Tipo],"Parada")</f>
        <v>111</v>
      </c>
      <c r="J12">
        <f>AVERAGEIFS(dataReaccion[Tiempo reaccion(s)],dataReaccion[Nivel],A12,dataReaccion[Intento],B12,dataReaccion[Tiempo reaccion(s)],"&lt;&gt;", dataReaccion[Tipo],"Parada")</f>
        <v>3.0869439252336437</v>
      </c>
      <c r="K12" cm="1">
        <f t="array" ref="K12">_xlfn.STDEV.P(IF((dataReaccion[Nivel]=A12)*(dataReaccion[Intento]=B12)*(dataReaccion[Tipo]="Parada")*(dataReaccion[Tiempo reaccion(s)]&gt;0),dataReaccion[Tiempo reaccion(s)]))</f>
        <v>1.8620396255045382</v>
      </c>
      <c r="L12">
        <f>COUNTIFS(dataReaccion[Nivel],A12,dataReaccion[Intento],B12,dataReaccion[Tipo],"Ubicacion")</f>
        <v>51</v>
      </c>
      <c r="M12">
        <f>COUNTIFS(dataReaccion[Nivel],A12, dataReaccion[Intento],B12,dataReaccion[Respuesta],"Correcto")</f>
        <v>83</v>
      </c>
      <c r="N12">
        <f>COUNTIFS(dataReaccion[Nivel],A12, dataReaccion[Intento],B12,dataReaccion[Respuesta],"Erroneo")</f>
        <v>21</v>
      </c>
      <c r="O12">
        <f>COUNTIFS(dataReaccion[Nivel],A12, dataReaccion[Intento],B12,dataReaccion[Respuesta],"Correcto",dataReaccion[Tipo],"Dormir")</f>
        <v>47</v>
      </c>
      <c r="P12">
        <f>COUNTIFS(dataReaccion[Nivel],A12, dataReaccion[Intento],B12,dataReaccion[Respuesta],"Erroneo",dataReaccion[Tipo],"Dormir")</f>
        <v>2</v>
      </c>
      <c r="Q12">
        <f>COUNTIFS(dataReaccion[Nivel],A12, dataReaccion[Intento],B12,dataReaccion[Respuesta],"Correcto",dataReaccion[Tipo],"Ubicacion")</f>
        <v>36</v>
      </c>
      <c r="R12">
        <f>COUNTIFS(dataReaccion[Nivel],A12, dataReaccion[Intento],B12,dataReaccion[Respuesta],"Erroneo",dataReaccion[Tipo],"Ubicacion")</f>
        <v>15</v>
      </c>
    </row>
    <row r="13" spans="1:18" x14ac:dyDescent="0.3">
      <c r="A13">
        <v>1</v>
      </c>
      <c r="B13">
        <v>4</v>
      </c>
      <c r="C13">
        <f>COUNTIFS(dataReaccion[Nivel],A13,dataReaccion[Intento],B13)</f>
        <v>147</v>
      </c>
      <c r="D13">
        <f>AVERAGEIFS(dataReaccion[Tiempo reaccion(s)],dataReaccion[Nivel],A13,dataReaccion[Intento],B13,dataReaccion[Tiempo reaccion(s)],"&lt;&gt;")</f>
        <v>2.7107830188679243</v>
      </c>
      <c r="E13" cm="1">
        <f t="array" ref="E13">_xlfn.STDEV.P(IF((dataReaccion[Nivel]=A13)*(dataReaccion[Intento]=B13)*(dataReaccion[Tiempo reaccion(s)]&gt;0),dataReaccion[Tiempo reaccion(s)]))</f>
        <v>1.4895555941332068</v>
      </c>
      <c r="F13">
        <f>COUNTIFS(dataReaccion[Nivel],A13,dataReaccion[Intento],B13,dataReaccion[Tipo],"Dormir")</f>
        <v>35</v>
      </c>
      <c r="G13">
        <f>AVERAGEIFS(dataReaccion[Tiempo reaccion(s)],dataReaccion[Nivel],A13,dataReaccion[Intento],B13,dataReaccion[Tiempo reaccion(s)],"&lt;&gt;", dataReaccion[Tipo],"Dormir")</f>
        <v>2.3932000000000002</v>
      </c>
      <c r="H13" cm="1">
        <f t="array" ref="H13">_xlfn.STDEV.P(IF((dataReaccion[Nivel]=A13)*(dataReaccion[Intento]=B13)*(dataReaccion[Tipo]="Dormir")*(dataReaccion[Tiempo reaccion(s)]&gt;0),dataReaccion[Tiempo reaccion(s)]))</f>
        <v>1.3205893013564598</v>
      </c>
      <c r="I13">
        <f>COUNTIFS(dataReaccion[Nivel],A13,dataReaccion[Intento],B13,dataReaccion[Tipo],"Parada")</f>
        <v>71</v>
      </c>
      <c r="J13">
        <f>AVERAGEIFS(dataReaccion[Tiempo reaccion(s)],dataReaccion[Nivel],A13,dataReaccion[Intento],B13,dataReaccion[Tiempo reaccion(s)],"&lt;&gt;", dataReaccion[Tipo],"Parada")</f>
        <v>2.8673380281690144</v>
      </c>
      <c r="K13" cm="1">
        <f t="array" ref="K13">_xlfn.STDEV.P(IF((dataReaccion[Nivel]=A13)*(dataReaccion[Intento]=B13)*(dataReaccion[Tipo]="Parada")*(dataReaccion[Tiempo reaccion(s)]&gt;0),dataReaccion[Tiempo reaccion(s)]))</f>
        <v>1.5422753535016516</v>
      </c>
      <c r="L13">
        <f>COUNTIFS(dataReaccion[Nivel],A13,dataReaccion[Intento],B13,dataReaccion[Tipo],"Ubicacion")</f>
        <v>41</v>
      </c>
      <c r="M13">
        <f>COUNTIFS(dataReaccion[Nivel],A13, dataReaccion[Intento],B13,dataReaccion[Respuesta],"Correcto")</f>
        <v>56</v>
      </c>
      <c r="N13">
        <f>COUNTIFS(dataReaccion[Nivel],A13, dataReaccion[Intento],B13,dataReaccion[Respuesta],"Erroneo")</f>
        <v>20</v>
      </c>
      <c r="O13">
        <f>COUNTIFS(dataReaccion[Nivel],A13, dataReaccion[Intento],B13,dataReaccion[Respuesta],"Correcto",dataReaccion[Tipo],"Dormir")</f>
        <v>33</v>
      </c>
      <c r="P13">
        <f>COUNTIFS(dataReaccion[Nivel],A13, dataReaccion[Intento],B13,dataReaccion[Respuesta],"Erroneo",dataReaccion[Tipo],"Dormir")</f>
        <v>2</v>
      </c>
      <c r="Q13">
        <f>COUNTIFS(dataReaccion[Nivel],A13, dataReaccion[Intento],B13,dataReaccion[Respuesta],"Correcto",dataReaccion[Tipo],"Ubicacion")</f>
        <v>23</v>
      </c>
      <c r="R13">
        <f>COUNTIFS(dataReaccion[Nivel],A13, dataReaccion[Intento],B13,dataReaccion[Respuesta],"Erroneo",dataReaccion[Tipo],"Ubicacion")</f>
        <v>18</v>
      </c>
    </row>
    <row r="14" spans="1:18" x14ac:dyDescent="0.3">
      <c r="A14">
        <v>1</v>
      </c>
      <c r="B14">
        <v>5</v>
      </c>
      <c r="C14">
        <f>COUNTIFS(dataReaccion[Nivel],A14,dataReaccion[Intento],B14)</f>
        <v>135</v>
      </c>
      <c r="D14">
        <f>AVERAGEIFS(dataReaccion[Tiempo reaccion(s)],dataReaccion[Nivel],A14,dataReaccion[Intento],B14,dataReaccion[Tiempo reaccion(s)],"&lt;&gt;")</f>
        <v>2.6343265306122441</v>
      </c>
      <c r="E14" cm="1">
        <f t="array" ref="E14">_xlfn.STDEV.P(IF((dataReaccion[Nivel]=A14)*(dataReaccion[Intento]=B14)*(dataReaccion[Tiempo reaccion(s)]&gt;0),dataReaccion[Tiempo reaccion(s)]))</f>
        <v>1.4336944126584188</v>
      </c>
      <c r="F14">
        <f>COUNTIFS(dataReaccion[Nivel],A14,dataReaccion[Intento],B14,dataReaccion[Tipo],"Dormir")</f>
        <v>35</v>
      </c>
      <c r="G14">
        <f>AVERAGEIFS(dataReaccion[Tiempo reaccion(s)],dataReaccion[Nivel],A14,dataReaccion[Intento],B14,dataReaccion[Tiempo reaccion(s)],"&lt;&gt;", dataReaccion[Tipo],"Dormir")</f>
        <v>2.4061428571428567</v>
      </c>
      <c r="H14" cm="1">
        <f t="array" ref="H14">_xlfn.STDEV.P(IF((dataReaccion[Nivel]=A14)*(dataReaccion[Intento]=B14)*(dataReaccion[Tipo]="Dormir")*(dataReaccion[Tiempo reaccion(s)]&gt;0),dataReaccion[Tiempo reaccion(s)]))</f>
        <v>1.414298577142084</v>
      </c>
      <c r="I14">
        <f>COUNTIFS(dataReaccion[Nivel],A14,dataReaccion[Intento],B14,dataReaccion[Tipo],"Parada")</f>
        <v>63</v>
      </c>
      <c r="J14">
        <f>AVERAGEIFS(dataReaccion[Tiempo reaccion(s)],dataReaccion[Nivel],A14,dataReaccion[Intento],B14,dataReaccion[Tiempo reaccion(s)],"&lt;&gt;", dataReaccion[Tipo],"Parada")</f>
        <v>2.7610952380952387</v>
      </c>
      <c r="K14" cm="1">
        <f t="array" ref="K14">_xlfn.STDEV.P(IF((dataReaccion[Nivel]=A14)*(dataReaccion[Intento]=B14)*(dataReaccion[Tipo]="Parada")*(dataReaccion[Tiempo reaccion(s)]&gt;0),dataReaccion[Tiempo reaccion(s)]))</f>
        <v>1.4286956501547028</v>
      </c>
      <c r="L14">
        <f>COUNTIFS(dataReaccion[Nivel],A14,dataReaccion[Intento],B14,dataReaccion[Tipo],"Ubicacion")</f>
        <v>37</v>
      </c>
      <c r="M14">
        <f>COUNTIFS(dataReaccion[Nivel],A14, dataReaccion[Intento],B14,dataReaccion[Respuesta],"Correcto")</f>
        <v>58</v>
      </c>
      <c r="N14">
        <f>COUNTIFS(dataReaccion[Nivel],A14, dataReaccion[Intento],B14,dataReaccion[Respuesta],"Erroneo")</f>
        <v>14</v>
      </c>
      <c r="O14">
        <f>COUNTIFS(dataReaccion[Nivel],A14, dataReaccion[Intento],B14,dataReaccion[Respuesta],"Correcto",dataReaccion[Tipo],"Dormir")</f>
        <v>34</v>
      </c>
      <c r="P14">
        <f>COUNTIFS(dataReaccion[Nivel],A14, dataReaccion[Intento],B14,dataReaccion[Respuesta],"Erroneo",dataReaccion[Tipo],"Dormir")</f>
        <v>1</v>
      </c>
      <c r="Q14">
        <f>COUNTIFS(dataReaccion[Nivel],A14, dataReaccion[Intento],B14,dataReaccion[Respuesta],"Correcto",dataReaccion[Tipo],"Ubicacion")</f>
        <v>24</v>
      </c>
      <c r="R14">
        <f>COUNTIFS(dataReaccion[Nivel],A14, dataReaccion[Intento],B14,dataReaccion[Respuesta],"Erroneo",dataReaccion[Tipo],"Ubicacion")</f>
        <v>13</v>
      </c>
    </row>
    <row r="15" spans="1:18" x14ac:dyDescent="0.3">
      <c r="A15">
        <v>1</v>
      </c>
      <c r="B15">
        <v>6</v>
      </c>
      <c r="C15">
        <f>COUNTIFS(dataReaccion[Nivel],A15,dataReaccion[Intento],B15)</f>
        <v>113</v>
      </c>
      <c r="D15">
        <f>AVERAGEIFS(dataReaccion[Tiempo reaccion(s)],dataReaccion[Nivel],A15,dataReaccion[Intento],B15,dataReaccion[Tiempo reaccion(s)],"&lt;&gt;")</f>
        <v>2.7036753246753245</v>
      </c>
      <c r="E15" cm="1">
        <f t="array" ref="E15">_xlfn.STDEV.P(IF((dataReaccion[Nivel]=A15)*(dataReaccion[Intento]=B15)*(dataReaccion[Tiempo reaccion(s)]&gt;0),dataReaccion[Tiempo reaccion(s)]))</f>
        <v>1.4073005331803987</v>
      </c>
      <c r="F15">
        <f>COUNTIFS(dataReaccion[Nivel],A15,dataReaccion[Intento],B15,dataReaccion[Tipo],"Dormir")</f>
        <v>28</v>
      </c>
      <c r="G15">
        <f>AVERAGEIFS(dataReaccion[Tiempo reaccion(s)],dataReaccion[Nivel],A15,dataReaccion[Intento],B15,dataReaccion[Tiempo reaccion(s)],"&lt;&gt;", dataReaccion[Tipo],"Dormir")</f>
        <v>2.5213571428571422</v>
      </c>
      <c r="H15" cm="1">
        <f t="array" ref="H15">_xlfn.STDEV.P(IF((dataReaccion[Nivel]=A15)*(dataReaccion[Intento]=B15)*(dataReaccion[Tipo]="Dormir")*(dataReaccion[Tiempo reaccion(s)]&gt;0),dataReaccion[Tiempo reaccion(s)]))</f>
        <v>1.5381280416301442</v>
      </c>
      <c r="I15">
        <f>COUNTIFS(dataReaccion[Nivel],A15,dataReaccion[Intento],B15,dataReaccion[Tipo],"Parada")</f>
        <v>49</v>
      </c>
      <c r="J15">
        <f>AVERAGEIFS(dataReaccion[Tiempo reaccion(s)],dataReaccion[Nivel],A15,dataReaccion[Intento],B15,dataReaccion[Tiempo reaccion(s)],"&lt;&gt;", dataReaccion[Tipo],"Parada")</f>
        <v>2.8078571428571419</v>
      </c>
      <c r="K15" cm="1">
        <f t="array" ref="K15">_xlfn.STDEV.P(IF((dataReaccion[Nivel]=A15)*(dataReaccion[Intento]=B15)*(dataReaccion[Tipo]="Parada")*(dataReaccion[Tiempo reaccion(s)]&gt;0),dataReaccion[Tiempo reaccion(s)]))</f>
        <v>1.3154659452305209</v>
      </c>
      <c r="L15">
        <f>COUNTIFS(dataReaccion[Nivel],A15,dataReaccion[Intento],B15,dataReaccion[Tipo],"Ubicacion")</f>
        <v>36</v>
      </c>
      <c r="M15">
        <f>COUNTIFS(dataReaccion[Nivel],A15, dataReaccion[Intento],B15,dataReaccion[Respuesta],"Correcto")</f>
        <v>56</v>
      </c>
      <c r="N15">
        <f>COUNTIFS(dataReaccion[Nivel],A15, dataReaccion[Intento],B15,dataReaccion[Respuesta],"Erroneo")</f>
        <v>8</v>
      </c>
      <c r="O15">
        <f>COUNTIFS(dataReaccion[Nivel],A15, dataReaccion[Intento],B15,dataReaccion[Respuesta],"Correcto",dataReaccion[Tipo],"Dormir")</f>
        <v>28</v>
      </c>
      <c r="P15">
        <f>COUNTIFS(dataReaccion[Nivel],A15, dataReaccion[Intento],B15,dataReaccion[Respuesta],"Erroneo",dataReaccion[Tipo],"Dormir")</f>
        <v>0</v>
      </c>
      <c r="Q15">
        <f>COUNTIFS(dataReaccion[Nivel],A15, dataReaccion[Intento],B15,dataReaccion[Respuesta],"Correcto",dataReaccion[Tipo],"Ubicacion")</f>
        <v>28</v>
      </c>
      <c r="R15">
        <f>COUNTIFS(dataReaccion[Nivel],A15, dataReaccion[Intento],B15,dataReaccion[Respuesta],"Erroneo",dataReaccion[Tipo],"Ubicacion")</f>
        <v>8</v>
      </c>
    </row>
    <row r="16" spans="1:18" x14ac:dyDescent="0.3">
      <c r="A16">
        <v>1</v>
      </c>
      <c r="B16">
        <v>7</v>
      </c>
      <c r="C16">
        <f>COUNTIFS(dataReaccion[Nivel],A16,dataReaccion[Intento],B16)</f>
        <v>85</v>
      </c>
      <c r="D16">
        <f>AVERAGEIFS(dataReaccion[Tiempo reaccion(s)],dataReaccion[Nivel],A16,dataReaccion[Intento],B16,dataReaccion[Tiempo reaccion(s)],"&lt;&gt;")</f>
        <v>3.4471228070175428</v>
      </c>
      <c r="E16" cm="1">
        <f t="array" ref="E16">_xlfn.STDEV.P(IF((dataReaccion[Nivel]=A16)*(dataReaccion[Intento]=B16)*(dataReaccion[Tiempo reaccion(s)]&gt;0),dataReaccion[Tiempo reaccion(s)]))</f>
        <v>1.6897405496907856</v>
      </c>
      <c r="F16">
        <f>COUNTIFS(dataReaccion[Nivel],A16,dataReaccion[Intento],B16,dataReaccion[Tipo],"Dormir")</f>
        <v>21</v>
      </c>
      <c r="G16">
        <f>AVERAGEIFS(dataReaccion[Tiempo reaccion(s)],dataReaccion[Nivel],A16,dataReaccion[Intento],B16,dataReaccion[Tiempo reaccion(s)],"&lt;&gt;", dataReaccion[Tipo],"Dormir")</f>
        <v>2.5939523809523815</v>
      </c>
      <c r="H16" cm="1">
        <f t="array" ref="H16">_xlfn.STDEV.P(IF((dataReaccion[Nivel]=A16)*(dataReaccion[Intento]=B16)*(dataReaccion[Tipo]="Dormir")*(dataReaccion[Tiempo reaccion(s)]&gt;0),dataReaccion[Tiempo reaccion(s)]))</f>
        <v>1.0397827372050215</v>
      </c>
      <c r="I16">
        <f>COUNTIFS(dataReaccion[Nivel],A16,dataReaccion[Intento],B16,dataReaccion[Tipo],"Parada")</f>
        <v>36</v>
      </c>
      <c r="J16">
        <f>AVERAGEIFS(dataReaccion[Tiempo reaccion(s)],dataReaccion[Nivel],A16,dataReaccion[Intento],B16,dataReaccion[Tiempo reaccion(s)],"&lt;&gt;", dataReaccion[Tipo],"Parada")</f>
        <v>3.944805555555555</v>
      </c>
      <c r="K16" cm="1">
        <f t="array" ref="K16">_xlfn.STDEV.P(IF((dataReaccion[Nivel]=A16)*(dataReaccion[Intento]=B16)*(dataReaccion[Tipo]="Parada")*(dataReaccion[Tiempo reaccion(s)]&gt;0),dataReaccion[Tiempo reaccion(s)]))</f>
        <v>1.7938238148876335</v>
      </c>
      <c r="L16">
        <f>COUNTIFS(dataReaccion[Nivel],A16,dataReaccion[Intento],B16,dataReaccion[Tipo],"Ubicacion")</f>
        <v>28</v>
      </c>
      <c r="M16">
        <f>COUNTIFS(dataReaccion[Nivel],A16, dataReaccion[Intento],B16,dataReaccion[Respuesta],"Correcto")</f>
        <v>38</v>
      </c>
      <c r="N16">
        <f>COUNTIFS(dataReaccion[Nivel],A16, dataReaccion[Intento],B16,dataReaccion[Respuesta],"Erroneo")</f>
        <v>11</v>
      </c>
      <c r="O16">
        <f>COUNTIFS(dataReaccion[Nivel],A16, dataReaccion[Intento],B16,dataReaccion[Respuesta],"Correcto",dataReaccion[Tipo],"Dormir")</f>
        <v>21</v>
      </c>
      <c r="P16">
        <f>COUNTIFS(dataReaccion[Nivel],A16, dataReaccion[Intento],B16,dataReaccion[Respuesta],"Erroneo",dataReaccion[Tipo],"Dormir")</f>
        <v>0</v>
      </c>
      <c r="Q16">
        <f>COUNTIFS(dataReaccion[Nivel],A16, dataReaccion[Intento],B16,dataReaccion[Respuesta],"Correcto",dataReaccion[Tipo],"Ubicacion")</f>
        <v>17</v>
      </c>
      <c r="R16">
        <f>COUNTIFS(dataReaccion[Nivel],A16, dataReaccion[Intento],B16,dataReaccion[Respuesta],"Erroneo",dataReaccion[Tipo],"Ubicacion")</f>
        <v>11</v>
      </c>
    </row>
    <row r="17" spans="1:18" x14ac:dyDescent="0.3">
      <c r="A17">
        <v>1</v>
      </c>
      <c r="B17">
        <v>8</v>
      </c>
      <c r="C17">
        <f>COUNTIFS(dataReaccion[Nivel],A17,dataReaccion[Intento],B17)</f>
        <v>59</v>
      </c>
      <c r="D17">
        <f>AVERAGEIFS(dataReaccion[Tiempo reaccion(s)],dataReaccion[Nivel],A17,dataReaccion[Intento],B17,dataReaccion[Tiempo reaccion(s)],"&lt;&gt;")</f>
        <v>3.9850681818181815</v>
      </c>
      <c r="E17" cm="1">
        <f t="array" ref="E17">_xlfn.STDEV.P(IF((dataReaccion[Nivel]=A17)*(dataReaccion[Intento]=B17)*(dataReaccion[Tiempo reaccion(s)]&gt;0),dataReaccion[Tiempo reaccion(s)]))</f>
        <v>1.9714649651940586</v>
      </c>
      <c r="F17">
        <f>COUNTIFS(dataReaccion[Nivel],A17,dataReaccion[Intento],B17,dataReaccion[Tipo],"Dormir")</f>
        <v>14</v>
      </c>
      <c r="G17">
        <f>AVERAGEIFS(dataReaccion[Tiempo reaccion(s)],dataReaccion[Nivel],A17,dataReaccion[Intento],B17,dataReaccion[Tiempo reaccion(s)],"&lt;&gt;", dataReaccion[Tipo],"Dormir")</f>
        <v>2.9707142857142848</v>
      </c>
      <c r="H17" cm="1">
        <f t="array" ref="H17">_xlfn.STDEV.P(IF((dataReaccion[Nivel]=A17)*(dataReaccion[Intento]=B17)*(dataReaccion[Tipo]="Dormir")*(dataReaccion[Tiempo reaccion(s)]&gt;0),dataReaccion[Tiempo reaccion(s)]))</f>
        <v>1.068110643584633</v>
      </c>
      <c r="I17">
        <f>COUNTIFS(dataReaccion[Nivel],A17,dataReaccion[Intento],B17,dataReaccion[Tipo],"Parada")</f>
        <v>30</v>
      </c>
      <c r="J17">
        <f>AVERAGEIFS(dataReaccion[Tiempo reaccion(s)],dataReaccion[Nivel],A17,dataReaccion[Intento],B17,dataReaccion[Tiempo reaccion(s)],"&lt;&gt;", dataReaccion[Tipo],"Parada")</f>
        <v>4.4584333333333337</v>
      </c>
      <c r="K17" cm="1">
        <f t="array" ref="K17">_xlfn.STDEV.P(IF((dataReaccion[Nivel]=A17)*(dataReaccion[Intento]=B17)*(dataReaccion[Tipo]="Parada")*(dataReaccion[Tiempo reaccion(s)]&gt;0),dataReaccion[Tiempo reaccion(s)]))</f>
        <v>2.1127753103967817</v>
      </c>
      <c r="L17">
        <f>COUNTIFS(dataReaccion[Nivel],A17,dataReaccion[Intento],B17,dataReaccion[Tipo],"Ubicacion")</f>
        <v>15</v>
      </c>
      <c r="M17">
        <f>COUNTIFS(dataReaccion[Nivel],A17, dataReaccion[Intento],B17,dataReaccion[Respuesta],"Correcto")</f>
        <v>27</v>
      </c>
      <c r="N17">
        <f>COUNTIFS(dataReaccion[Nivel],A17, dataReaccion[Intento],B17,dataReaccion[Respuesta],"Erroneo")</f>
        <v>2</v>
      </c>
      <c r="O17">
        <f>COUNTIFS(dataReaccion[Nivel],A17, dataReaccion[Intento],B17,dataReaccion[Respuesta],"Correcto",dataReaccion[Tipo],"Dormir")</f>
        <v>14</v>
      </c>
      <c r="P17">
        <f>COUNTIFS(dataReaccion[Nivel],A17, dataReaccion[Intento],B17,dataReaccion[Respuesta],"Erroneo",dataReaccion[Tipo],"Dormir")</f>
        <v>0</v>
      </c>
      <c r="Q17">
        <f>COUNTIFS(dataReaccion[Nivel],A17, dataReaccion[Intento],B17,dataReaccion[Respuesta],"Correcto",dataReaccion[Tipo],"Ubicacion")</f>
        <v>13</v>
      </c>
      <c r="R17">
        <f>COUNTIFS(dataReaccion[Nivel],A17, dataReaccion[Intento],B17,dataReaccion[Respuesta],"Erroneo",dataReaccion[Tipo],"Ubicacion")</f>
        <v>2</v>
      </c>
    </row>
    <row r="18" spans="1:18" x14ac:dyDescent="0.3">
      <c r="A18">
        <v>1</v>
      </c>
      <c r="B18">
        <v>9</v>
      </c>
      <c r="C18">
        <f>COUNTIFS(dataReaccion[Nivel],A18,dataReaccion[Intento],B18)</f>
        <v>51</v>
      </c>
      <c r="D18">
        <f>AVERAGEIFS(dataReaccion[Tiempo reaccion(s)],dataReaccion[Nivel],A18,dataReaccion[Intento],B18,dataReaccion[Tiempo reaccion(s)],"&lt;&gt;")</f>
        <v>2.620763157894737</v>
      </c>
      <c r="E18" cm="1">
        <f t="array" ref="E18">_xlfn.STDEV.P(IF((dataReaccion[Nivel]=A18)*(dataReaccion[Intento]=B18)*(dataReaccion[Tiempo reaccion(s)]&gt;0),dataReaccion[Tiempo reaccion(s)]))</f>
        <v>1.3865016073065732</v>
      </c>
      <c r="F18">
        <f>COUNTIFS(dataReaccion[Nivel],A18,dataReaccion[Intento],B18,dataReaccion[Tipo],"Dormir")</f>
        <v>13</v>
      </c>
      <c r="G18">
        <f>AVERAGEIFS(dataReaccion[Tiempo reaccion(s)],dataReaccion[Nivel],A18,dataReaccion[Intento],B18,dataReaccion[Tiempo reaccion(s)],"&lt;&gt;", dataReaccion[Tipo],"Dormir")</f>
        <v>2.2467692307692313</v>
      </c>
      <c r="H18" cm="1">
        <f t="array" ref="H18">_xlfn.STDEV.P(IF((dataReaccion[Nivel]=A18)*(dataReaccion[Intento]=B18)*(dataReaccion[Tipo]="Dormir")*(dataReaccion[Tiempo reaccion(s)]&gt;0),dataReaccion[Tiempo reaccion(s)]))</f>
        <v>1.1523646694345258</v>
      </c>
      <c r="I18">
        <f>COUNTIFS(dataReaccion[Nivel],A18,dataReaccion[Intento],B18,dataReaccion[Tipo],"Parada")</f>
        <v>25</v>
      </c>
      <c r="J18">
        <f>AVERAGEIFS(dataReaccion[Tiempo reaccion(s)],dataReaccion[Nivel],A18,dataReaccion[Intento],B18,dataReaccion[Tiempo reaccion(s)],"&lt;&gt;", dataReaccion[Tipo],"Parada")</f>
        <v>2.8152400000000002</v>
      </c>
      <c r="K18" cm="1">
        <f t="array" ref="K18">_xlfn.STDEV.P(IF((dataReaccion[Nivel]=A18)*(dataReaccion[Intento]=B18)*(dataReaccion[Tipo]="Parada")*(dataReaccion[Tiempo reaccion(s)]&gt;0),dataReaccion[Tiempo reaccion(s)]))</f>
        <v>1.4563455436125039</v>
      </c>
      <c r="L18">
        <f>COUNTIFS(dataReaccion[Nivel],A18,dataReaccion[Intento],B18,dataReaccion[Tipo],"Ubicacion")</f>
        <v>13</v>
      </c>
      <c r="M18">
        <f>COUNTIFS(dataReaccion[Nivel],A18, dataReaccion[Intento],B18,dataReaccion[Respuesta],"Correcto")</f>
        <v>25</v>
      </c>
      <c r="N18">
        <f>COUNTIFS(dataReaccion[Nivel],A18, dataReaccion[Intento],B18,dataReaccion[Respuesta],"Erroneo")</f>
        <v>1</v>
      </c>
      <c r="O18">
        <f>COUNTIFS(dataReaccion[Nivel],A18, dataReaccion[Intento],B18,dataReaccion[Respuesta],"Correcto",dataReaccion[Tipo],"Dormir")</f>
        <v>13</v>
      </c>
      <c r="P18">
        <f>COUNTIFS(dataReaccion[Nivel],A18, dataReaccion[Intento],B18,dataReaccion[Respuesta],"Erroneo",dataReaccion[Tipo],"Dormir")</f>
        <v>0</v>
      </c>
      <c r="Q18">
        <f>COUNTIFS(dataReaccion[Nivel],A18, dataReaccion[Intento],B18,dataReaccion[Respuesta],"Correcto",dataReaccion[Tipo],"Ubicacion")</f>
        <v>12</v>
      </c>
      <c r="R18">
        <f>COUNTIFS(dataReaccion[Nivel],A18, dataReaccion[Intento],B18,dataReaccion[Respuesta],"Erroneo",dataReaccion[Tipo],"Ubicacion")</f>
        <v>1</v>
      </c>
    </row>
    <row r="19" spans="1:18" x14ac:dyDescent="0.3">
      <c r="A19">
        <v>1</v>
      </c>
      <c r="B19">
        <v>10</v>
      </c>
      <c r="C19">
        <f>COUNTIFS(dataReaccion[Nivel],A19,dataReaccion[Intento],B19)</f>
        <v>18</v>
      </c>
      <c r="D19">
        <f>AVERAGEIFS(dataReaccion[Tiempo reaccion(s)],dataReaccion[Nivel],A19,dataReaccion[Intento],B19,dataReaccion[Tiempo reaccion(s)],"&lt;&gt;")</f>
        <v>2.5120909090909094</v>
      </c>
      <c r="E19" cm="1">
        <f t="array" ref="E19">_xlfn.STDEV.P(IF((dataReaccion[Nivel]=A19)*(dataReaccion[Intento]=B19)*(dataReaccion[Tiempo reaccion(s)]&gt;0),dataReaccion[Tiempo reaccion(s)]))</f>
        <v>1.1111422014015737</v>
      </c>
      <c r="F19">
        <f>COUNTIFS(dataReaccion[Nivel],A19,dataReaccion[Intento],B19,dataReaccion[Tipo],"Dormir")</f>
        <v>3</v>
      </c>
      <c r="G19">
        <f>AVERAGEIFS(dataReaccion[Tiempo reaccion(s)],dataReaccion[Nivel],A19,dataReaccion[Intento],B19,dataReaccion[Tiempo reaccion(s)],"&lt;&gt;", dataReaccion[Tipo],"Dormir")</f>
        <v>1.9796666666666667</v>
      </c>
      <c r="H19" cm="1">
        <f t="array" ref="H19">_xlfn.STDEV.P(IF((dataReaccion[Nivel]=A19)*(dataReaccion[Intento]=B19)*(dataReaccion[Tipo]="Dormir")*(dataReaccion[Tiempo reaccion(s)]&gt;0),dataReaccion[Tiempo reaccion(s)]))</f>
        <v>0.5826887867654762</v>
      </c>
      <c r="I19">
        <f>COUNTIFS(dataReaccion[Nivel],A19,dataReaccion[Intento],B19,dataReaccion[Tipo],"Parada")</f>
        <v>10</v>
      </c>
      <c r="J19">
        <f>AVERAGEIFS(dataReaccion[Tiempo reaccion(s)],dataReaccion[Nivel],A19,dataReaccion[Intento],B19,dataReaccion[Tiempo reaccion(s)],"&lt;&gt;", dataReaccion[Tipo],"Parada")</f>
        <v>2.7117500000000003</v>
      </c>
      <c r="K19" cm="1">
        <f t="array" ref="K19">_xlfn.STDEV.P(IF((dataReaccion[Nivel]=A19)*(dataReaccion[Intento]=B19)*(dataReaccion[Tipo]="Parada")*(dataReaccion[Tiempo reaccion(s)]&gt;0),dataReaccion[Tiempo reaccion(s)]))</f>
        <v>1.1933718772872093</v>
      </c>
      <c r="L19">
        <f>COUNTIFS(dataReaccion[Nivel],A19,dataReaccion[Intento],B19,dataReaccion[Tipo],"Ubicacion")</f>
        <v>5</v>
      </c>
      <c r="M19">
        <f>COUNTIFS(dataReaccion[Nivel],A19, dataReaccion[Intento],B19,dataReaccion[Respuesta],"Correcto")</f>
        <v>7</v>
      </c>
      <c r="N19">
        <f>COUNTIFS(dataReaccion[Nivel],A19, dataReaccion[Intento],B19,dataReaccion[Respuesta],"Erroneo")</f>
        <v>3</v>
      </c>
      <c r="O19">
        <f>COUNTIFS(dataReaccion[Nivel],A19, dataReaccion[Intento],B19,dataReaccion[Respuesta],"Correcto",dataReaccion[Tipo],"Dormir")</f>
        <v>3</v>
      </c>
      <c r="P19">
        <f>COUNTIFS(dataReaccion[Nivel],A19, dataReaccion[Intento],B19,dataReaccion[Respuesta],"Erroneo",dataReaccion[Tipo],"Dormir")</f>
        <v>0</v>
      </c>
      <c r="Q19">
        <f>COUNTIFS(dataReaccion[Nivel],A19, dataReaccion[Intento],B19,dataReaccion[Respuesta],"Correcto",dataReaccion[Tipo],"Ubicacion")</f>
        <v>4</v>
      </c>
      <c r="R19">
        <f>COUNTIFS(dataReaccion[Nivel],A19, dataReaccion[Intento],B19,dataReaccion[Respuesta],"Erroneo",dataReaccion[Tipo],"Ubicacion")</f>
        <v>1</v>
      </c>
    </row>
    <row r="20" spans="1:18" x14ac:dyDescent="0.3">
      <c r="A20">
        <v>1</v>
      </c>
      <c r="B20">
        <v>11</v>
      </c>
      <c r="C20">
        <f>COUNTIFS(dataReaccion[Nivel],A20,dataReaccion[Intento],B20)</f>
        <v>1</v>
      </c>
      <c r="D20">
        <f>AVERAGEIFS(dataReaccion[Tiempo reaccion(s)],dataReaccion[Nivel],A20,dataReaccion[Intento],B20,dataReaccion[Tiempo reaccion(s)],"&lt;&gt;")</f>
        <v>2.4529999999999998</v>
      </c>
      <c r="E20" cm="1">
        <f t="array" ref="E20">_xlfn.STDEV.P(IF((dataReaccion[Nivel]=A20)*(dataReaccion[Intento]=B20)*(dataReaccion[Tiempo reaccion(s)]&gt;0),dataReaccion[Tiempo reaccion(s)]))</f>
        <v>0</v>
      </c>
      <c r="F20">
        <f>COUNTIFS(dataReaccion[Nivel],A20,dataReaccion[Intento],B20,dataReaccion[Tipo],"Dormir")</f>
        <v>0</v>
      </c>
      <c r="G20" t="e">
        <f>AVERAGEIFS(dataReaccion[Tiempo reaccion(s)],dataReaccion[Nivel],A20,dataReaccion[Intento],B20,dataReaccion[Tiempo reaccion(s)],"&lt;&gt;", dataReaccion[Tipo],"Dormir")</f>
        <v>#DIV/0!</v>
      </c>
      <c r="H20" t="e" cm="1">
        <f t="array" ref="H20">_xlfn.STDEV.P(IF((dataReaccion[Nivel]=A20)*(dataReaccion[Intento]=B20)*(dataReaccion[Tipo]="Dormir")*(dataReaccion[Tiempo reaccion(s)]&gt;0),dataReaccion[Tiempo reaccion(s)]))</f>
        <v>#DIV/0!</v>
      </c>
      <c r="I20">
        <f>COUNTIFS(dataReaccion[Nivel],A20,dataReaccion[Intento],B20,dataReaccion[Tipo],"Parada")</f>
        <v>1</v>
      </c>
      <c r="J20">
        <f>AVERAGEIFS(dataReaccion[Tiempo reaccion(s)],dataReaccion[Nivel],A20,dataReaccion[Intento],B20,dataReaccion[Tiempo reaccion(s)],"&lt;&gt;", dataReaccion[Tipo],"Parada")</f>
        <v>2.4529999999999998</v>
      </c>
      <c r="K20" cm="1">
        <f t="array" ref="K20">_xlfn.STDEV.P(IF((dataReaccion[Nivel]=A20)*(dataReaccion[Intento]=B20)*(dataReaccion[Tipo]="Parada")*(dataReaccion[Tiempo reaccion(s)]&gt;0),dataReaccion[Tiempo reaccion(s)]))</f>
        <v>0</v>
      </c>
      <c r="L20">
        <f>COUNTIFS(dataReaccion[Nivel],A20,dataReaccion[Intento],B20,dataReaccion[Tipo],"Ubicacion")</f>
        <v>0</v>
      </c>
      <c r="M20">
        <f>COUNTIFS(dataReaccion[Nivel],A20, dataReaccion[Intento],B20,dataReaccion[Respuesta],"Correcto")</f>
        <v>0</v>
      </c>
      <c r="N20">
        <f>COUNTIFS(dataReaccion[Nivel],A20, dataReaccion[Intento],B20,dataReaccion[Respuesta],"Erroneo")</f>
        <v>0</v>
      </c>
      <c r="O20">
        <f>COUNTIFS(dataReaccion[Nivel],A20, dataReaccion[Intento],B20,dataReaccion[Respuesta],"Correcto",dataReaccion[Tipo],"Dormir")</f>
        <v>0</v>
      </c>
      <c r="P20">
        <f>COUNTIFS(dataReaccion[Nivel],A20, dataReaccion[Intento],B20,dataReaccion[Respuesta],"Erroneo",dataReaccion[Tipo],"Dormir")</f>
        <v>0</v>
      </c>
      <c r="Q20">
        <f>COUNTIFS(dataReaccion[Nivel],A20, dataReaccion[Intento],B20,dataReaccion[Respuesta],"Correcto",dataReaccion[Tipo],"Ubicacion")</f>
        <v>0</v>
      </c>
      <c r="R20">
        <f>COUNTIFS(dataReaccion[Nivel],A20, dataReaccion[Intento],B20,dataReaccion[Respuesta],"Erroneo",dataReaccion[Tipo],"Ubicacion")</f>
        <v>0</v>
      </c>
    </row>
    <row r="21" spans="1:18" x14ac:dyDescent="0.3">
      <c r="A21">
        <v>2</v>
      </c>
      <c r="B21">
        <v>1</v>
      </c>
      <c r="C21">
        <f>COUNTIFS(dataReaccion[Nivel],A21,dataReaccion[Intento],B21)</f>
        <v>350</v>
      </c>
      <c r="D21">
        <f>AVERAGEIFS(dataReaccion[Tiempo reaccion(s)],dataReaccion[Nivel],A21,dataReaccion[Intento],B21,dataReaccion[Tiempo reaccion(s)],"&lt;&gt;")</f>
        <v>2.4617427385892121</v>
      </c>
      <c r="E21" cm="1">
        <f t="array" ref="E21">_xlfn.STDEV.P(IF((dataReaccion[Nivel]=A21)*(dataReaccion[Intento]=B21)*(dataReaccion[Tiempo reaccion(s)]&gt;0),dataReaccion[Tiempo reaccion(s)]))</f>
        <v>1.0823500826679979</v>
      </c>
      <c r="F21">
        <f>COUNTIFS(dataReaccion[Nivel],A21,dataReaccion[Intento],B21,dataReaccion[Tipo],"Dormir")</f>
        <v>86</v>
      </c>
      <c r="G21">
        <f>AVERAGEIFS(dataReaccion[Tiempo reaccion(s)],dataReaccion[Nivel],A21,dataReaccion[Intento],B21,dataReaccion[Tiempo reaccion(s)],"&lt;&gt;", dataReaccion[Tipo],"Dormir")</f>
        <v>1.8909874999999996</v>
      </c>
      <c r="H21" cm="1">
        <f t="array" ref="H21">_xlfn.STDEV.P(IF((dataReaccion[Nivel]=A21)*(dataReaccion[Intento]=B21)*(dataReaccion[Tipo]="Dormir")*(dataReaccion[Tiempo reaccion(s)]&gt;0),dataReaccion[Tiempo reaccion(s)]))</f>
        <v>0.82155569643436355</v>
      </c>
      <c r="I21">
        <f>COUNTIFS(dataReaccion[Nivel],A21,dataReaccion[Intento],B21,dataReaccion[Tipo],"Parada")</f>
        <v>192</v>
      </c>
      <c r="J21">
        <f>AVERAGEIFS(dataReaccion[Tiempo reaccion(s)],dataReaccion[Nivel],A21,dataReaccion[Intento],B21,dataReaccion[Tiempo reaccion(s)],"&lt;&gt;", dataReaccion[Tipo],"Parada")</f>
        <v>2.7453478260869573</v>
      </c>
      <c r="K21" cm="1">
        <f t="array" ref="K21">_xlfn.STDEV.P(IF((dataReaccion[Nivel]=A21)*(dataReaccion[Intento]=B21)*(dataReaccion[Tipo]="Parada")*(dataReaccion[Tiempo reaccion(s)]&gt;0),dataReaccion[Tiempo reaccion(s)]))</f>
        <v>1.0843904848980863</v>
      </c>
      <c r="L21">
        <f>COUNTIFS(dataReaccion[Nivel],A21,dataReaccion[Intento],B21,dataReaccion[Tipo],"Ubicacion")</f>
        <v>72</v>
      </c>
      <c r="M21">
        <f>COUNTIFS(dataReaccion[Nivel],A21, dataReaccion[Intento],B21,dataReaccion[Respuesta],"Correcto")</f>
        <v>135</v>
      </c>
      <c r="N21">
        <f>COUNTIFS(dataReaccion[Nivel],A21, dataReaccion[Intento],B21,dataReaccion[Respuesta],"Erroneo")</f>
        <v>54</v>
      </c>
      <c r="O21">
        <f>COUNTIFS(dataReaccion[Nivel],A21, dataReaccion[Intento],B21,dataReaccion[Respuesta],"Correcto",dataReaccion[Tipo],"Dormir")</f>
        <v>80</v>
      </c>
      <c r="P21">
        <f>COUNTIFS(dataReaccion[Nivel],A21, dataReaccion[Intento],B21,dataReaccion[Respuesta],"Erroneo",dataReaccion[Tipo],"Dormir")</f>
        <v>6</v>
      </c>
      <c r="Q21">
        <f>COUNTIFS(dataReaccion[Nivel],A21, dataReaccion[Intento],B21,dataReaccion[Respuesta],"Correcto",dataReaccion[Tipo],"Ubicacion")</f>
        <v>55</v>
      </c>
      <c r="R21">
        <f>COUNTIFS(dataReaccion[Nivel],A21, dataReaccion[Intento],B21,dataReaccion[Respuesta],"Erroneo",dataReaccion[Tipo],"Ubicacion")</f>
        <v>17</v>
      </c>
    </row>
    <row r="22" spans="1:18" x14ac:dyDescent="0.3">
      <c r="A22">
        <v>2</v>
      </c>
      <c r="B22">
        <v>2</v>
      </c>
      <c r="C22">
        <f>COUNTIFS(dataReaccion[Nivel],A22,dataReaccion[Intento],B22)</f>
        <v>208</v>
      </c>
      <c r="D22">
        <f>AVERAGEIFS(dataReaccion[Tiempo reaccion(s)],dataReaccion[Nivel],A22,dataReaccion[Intento],B22,dataReaccion[Tiempo reaccion(s)],"&lt;&gt;")</f>
        <v>2.1855592105263151</v>
      </c>
      <c r="E22" cm="1">
        <f t="array" ref="E22">_xlfn.STDEV.P(IF((dataReaccion[Nivel]=A22)*(dataReaccion[Intento]=B22)*(dataReaccion[Tiempo reaccion(s)]&gt;0),dataReaccion[Tiempo reaccion(s)]))</f>
        <v>0.98743891039257559</v>
      </c>
      <c r="F22">
        <f>COUNTIFS(dataReaccion[Nivel],A22,dataReaccion[Intento],B22,dataReaccion[Tipo],"Dormir")</f>
        <v>48</v>
      </c>
      <c r="G22">
        <f>AVERAGEIFS(dataReaccion[Tiempo reaccion(s)],dataReaccion[Nivel],A22,dataReaccion[Intento],B22,dataReaccion[Tiempo reaccion(s)],"&lt;&gt;", dataReaccion[Tipo],"Dormir")</f>
        <v>1.5707446808510639</v>
      </c>
      <c r="H22" cm="1">
        <f t="array" ref="H22">_xlfn.STDEV.P(IF((dataReaccion[Nivel]=A22)*(dataReaccion[Intento]=B22)*(dataReaccion[Tipo]="Dormir")*(dataReaccion[Tiempo reaccion(s)]&gt;0),dataReaccion[Tiempo reaccion(s)]))</f>
        <v>0.6876971583630701</v>
      </c>
      <c r="I22">
        <f>COUNTIFS(dataReaccion[Nivel],A22,dataReaccion[Intento],B22,dataReaccion[Tipo],"Parada")</f>
        <v>116</v>
      </c>
      <c r="J22">
        <f>AVERAGEIFS(dataReaccion[Tiempo reaccion(s)],dataReaccion[Nivel],A22,dataReaccion[Intento],B22,dataReaccion[Tiempo reaccion(s)],"&lt;&gt;", dataReaccion[Tipo],"Parada")</f>
        <v>2.4607619047619043</v>
      </c>
      <c r="K22" cm="1">
        <f t="array" ref="K22">_xlfn.STDEV.P(IF((dataReaccion[Nivel]=A22)*(dataReaccion[Intento]=B22)*(dataReaccion[Tipo]="Parada")*(dataReaccion[Tiempo reaccion(s)]&gt;0),dataReaccion[Tiempo reaccion(s)]))</f>
        <v>0.97716614100171439</v>
      </c>
      <c r="L22">
        <f>COUNTIFS(dataReaccion[Nivel],A22,dataReaccion[Intento],B22,dataReaccion[Tipo],"Ubicacion")</f>
        <v>44</v>
      </c>
      <c r="M22">
        <f>COUNTIFS(dataReaccion[Nivel],A22, dataReaccion[Intento],B22,dataReaccion[Respuesta],"Correcto")</f>
        <v>86</v>
      </c>
      <c r="N22">
        <f>COUNTIFS(dataReaccion[Nivel],A22, dataReaccion[Intento],B22,dataReaccion[Respuesta],"Erroneo")</f>
        <v>17</v>
      </c>
      <c r="O22">
        <f>COUNTIFS(dataReaccion[Nivel],A22, dataReaccion[Intento],B22,dataReaccion[Respuesta],"Correcto",dataReaccion[Tipo],"Dormir")</f>
        <v>47</v>
      </c>
      <c r="P22">
        <f>COUNTIFS(dataReaccion[Nivel],A22, dataReaccion[Intento],B22,dataReaccion[Respuesta],"Erroneo",dataReaccion[Tipo],"Dormir")</f>
        <v>1</v>
      </c>
      <c r="Q22">
        <f>COUNTIFS(dataReaccion[Nivel],A22, dataReaccion[Intento],B22,dataReaccion[Respuesta],"Correcto",dataReaccion[Tipo],"Ubicacion")</f>
        <v>39</v>
      </c>
      <c r="R22">
        <f>COUNTIFS(dataReaccion[Nivel],A22, dataReaccion[Intento],B22,dataReaccion[Respuesta],"Erroneo",dataReaccion[Tipo],"Ubicacion")</f>
        <v>5</v>
      </c>
    </row>
    <row r="23" spans="1:18" x14ac:dyDescent="0.3">
      <c r="A23">
        <v>2</v>
      </c>
      <c r="B23">
        <v>3</v>
      </c>
      <c r="C23">
        <f>COUNTIFS(dataReaccion[Nivel],A23,dataReaccion[Intento],B23)</f>
        <v>80</v>
      </c>
      <c r="D23">
        <f>AVERAGEIFS(dataReaccion[Tiempo reaccion(s)],dataReaccion[Nivel],A23,dataReaccion[Intento],B23,dataReaccion[Tiempo reaccion(s)],"&lt;&gt;")</f>
        <v>2.3522833333333328</v>
      </c>
      <c r="E23" cm="1">
        <f t="array" ref="E23">_xlfn.STDEV.P(IF((dataReaccion[Nivel]=A23)*(dataReaccion[Intento]=B23)*(dataReaccion[Tiempo reaccion(s)]&gt;0),dataReaccion[Tiempo reaccion(s)]))</f>
        <v>0.89002193028536802</v>
      </c>
      <c r="F23">
        <f>COUNTIFS(dataReaccion[Nivel],A23,dataReaccion[Intento],B23,dataReaccion[Tipo],"Dormir")</f>
        <v>19</v>
      </c>
      <c r="G23">
        <f>AVERAGEIFS(dataReaccion[Tiempo reaccion(s)],dataReaccion[Nivel],A23,dataReaccion[Intento],B23,dataReaccion[Tiempo reaccion(s)],"&lt;&gt;", dataReaccion[Tipo],"Dormir")</f>
        <v>1.8990000000000002</v>
      </c>
      <c r="H23" cm="1">
        <f t="array" ref="H23">_xlfn.STDEV.P(IF((dataReaccion[Nivel]=A23)*(dataReaccion[Intento]=B23)*(dataReaccion[Tipo]="Dormir")*(dataReaccion[Tiempo reaccion(s)]&gt;0),dataReaccion[Tiempo reaccion(s)]))</f>
        <v>0.68046640351731491</v>
      </c>
      <c r="I23">
        <f>COUNTIFS(dataReaccion[Nivel],A23,dataReaccion[Intento],B23,dataReaccion[Tipo],"Parada")</f>
        <v>46</v>
      </c>
      <c r="J23">
        <f>AVERAGEIFS(dataReaccion[Tiempo reaccion(s)],dataReaccion[Nivel],A23,dataReaccion[Intento],B23,dataReaccion[Tiempo reaccion(s)],"&lt;&gt;", dataReaccion[Tipo],"Parada")</f>
        <v>2.5623414634146338</v>
      </c>
      <c r="K23" cm="1">
        <f t="array" ref="K23">_xlfn.STDEV.P(IF((dataReaccion[Nivel]=A23)*(dataReaccion[Intento]=B23)*(dataReaccion[Tipo]="Parada")*(dataReaccion[Tiempo reaccion(s)]&gt;0),dataReaccion[Tiempo reaccion(s)]))</f>
        <v>0.89739100458499033</v>
      </c>
      <c r="L23">
        <f>COUNTIFS(dataReaccion[Nivel],A23,dataReaccion[Intento],B23,dataReaccion[Tipo],"Ubicacion")</f>
        <v>15</v>
      </c>
      <c r="M23">
        <f>COUNTIFS(dataReaccion[Nivel],A23, dataReaccion[Intento],B23,dataReaccion[Respuesta],"Correcto")</f>
        <v>31</v>
      </c>
      <c r="N23">
        <f>COUNTIFS(dataReaccion[Nivel],A23, dataReaccion[Intento],B23,dataReaccion[Respuesta],"Erroneo")</f>
        <v>8</v>
      </c>
      <c r="O23">
        <f>COUNTIFS(dataReaccion[Nivel],A23, dataReaccion[Intento],B23,dataReaccion[Respuesta],"Correcto",dataReaccion[Tipo],"Dormir")</f>
        <v>18</v>
      </c>
      <c r="P23">
        <f>COUNTIFS(dataReaccion[Nivel],A23, dataReaccion[Intento],B23,dataReaccion[Respuesta],"Erroneo",dataReaccion[Tipo],"Dormir")</f>
        <v>1</v>
      </c>
      <c r="Q23">
        <f>COUNTIFS(dataReaccion[Nivel],A23, dataReaccion[Intento],B23,dataReaccion[Respuesta],"Correcto",dataReaccion[Tipo],"Ubicacion")</f>
        <v>13</v>
      </c>
      <c r="R23">
        <f>COUNTIFS(dataReaccion[Nivel],A23, dataReaccion[Intento],B23,dataReaccion[Respuesta],"Erroneo",dataReaccion[Tipo],"Ubicacion")</f>
        <v>2</v>
      </c>
    </row>
    <row r="24" spans="1:18" x14ac:dyDescent="0.3">
      <c r="A24">
        <v>2</v>
      </c>
      <c r="B24">
        <v>4</v>
      </c>
      <c r="C24">
        <f>COUNTIFS(dataReaccion[Nivel],A24,dataReaccion[Intento],B24)</f>
        <v>73</v>
      </c>
      <c r="D24">
        <f>AVERAGEIFS(dataReaccion[Tiempo reaccion(s)],dataReaccion[Nivel],A24,dataReaccion[Intento],B24,dataReaccion[Tiempo reaccion(s)],"&lt;&gt;")</f>
        <v>2.4863962264150943</v>
      </c>
      <c r="E24" cm="1">
        <f t="array" ref="E24">_xlfn.STDEV.P(IF((dataReaccion[Nivel]=A24)*(dataReaccion[Intento]=B24)*(dataReaccion[Tiempo reaccion(s)]&gt;0),dataReaccion[Tiempo reaccion(s)]))</f>
        <v>0.89778865310613964</v>
      </c>
      <c r="F24">
        <f>COUNTIFS(dataReaccion[Nivel],A24,dataReaccion[Intento],B24,dataReaccion[Tipo],"Dormir")</f>
        <v>17</v>
      </c>
      <c r="G24">
        <f>AVERAGEIFS(dataReaccion[Tiempo reaccion(s)],dataReaccion[Nivel],A24,dataReaccion[Intento],B24,dataReaccion[Tiempo reaccion(s)],"&lt;&gt;", dataReaccion[Tipo],"Dormir")</f>
        <v>2.3417500000000002</v>
      </c>
      <c r="H24" cm="1">
        <f t="array" ref="H24">_xlfn.STDEV.P(IF((dataReaccion[Nivel]=A24)*(dataReaccion[Intento]=B24)*(dataReaccion[Tipo]="Dormir")*(dataReaccion[Tiempo reaccion(s)]&gt;0),dataReaccion[Tiempo reaccion(s)]))</f>
        <v>0.81478912149095306</v>
      </c>
      <c r="I24">
        <f>COUNTIFS(dataReaccion[Nivel],A24,dataReaccion[Intento],B24,dataReaccion[Tipo],"Parada")</f>
        <v>40</v>
      </c>
      <c r="J24">
        <f>AVERAGEIFS(dataReaccion[Tiempo reaccion(s)],dataReaccion[Nivel],A24,dataReaccion[Intento],B24,dataReaccion[Tiempo reaccion(s)],"&lt;&gt;", dataReaccion[Tipo],"Parada")</f>
        <v>2.5489459459459463</v>
      </c>
      <c r="K24" cm="1">
        <f t="array" ref="K24">_xlfn.STDEV.P(IF((dataReaccion[Nivel]=A24)*(dataReaccion[Intento]=B24)*(dataReaccion[Tipo]="Parada")*(dataReaccion[Tiempo reaccion(s)]&gt;0),dataReaccion[Tiempo reaccion(s)]))</f>
        <v>0.92440885262306316</v>
      </c>
      <c r="L24">
        <f>COUNTIFS(dataReaccion[Nivel],A24,dataReaccion[Intento],B24,dataReaccion[Tipo],"Ubicacion")</f>
        <v>16</v>
      </c>
      <c r="M24">
        <f>COUNTIFS(dataReaccion[Nivel],A24, dataReaccion[Intento],B24,dataReaccion[Respuesta],"Correcto")</f>
        <v>29</v>
      </c>
      <c r="N24">
        <f>COUNTIFS(dataReaccion[Nivel],A24, dataReaccion[Intento],B24,dataReaccion[Respuesta],"Erroneo")</f>
        <v>7</v>
      </c>
      <c r="O24">
        <f>COUNTIFS(dataReaccion[Nivel],A24, dataReaccion[Intento],B24,dataReaccion[Respuesta],"Correcto",dataReaccion[Tipo],"Dormir")</f>
        <v>16</v>
      </c>
      <c r="P24">
        <f>COUNTIFS(dataReaccion[Nivel],A24, dataReaccion[Intento],B24,dataReaccion[Respuesta],"Erroneo",dataReaccion[Tipo],"Dormir")</f>
        <v>1</v>
      </c>
      <c r="Q24">
        <f>COUNTIFS(dataReaccion[Nivel],A24, dataReaccion[Intento],B24,dataReaccion[Respuesta],"Correcto",dataReaccion[Tipo],"Ubicacion")</f>
        <v>13</v>
      </c>
      <c r="R24">
        <f>COUNTIFS(dataReaccion[Nivel],A24, dataReaccion[Intento],B24,dataReaccion[Respuesta],"Erroneo",dataReaccion[Tipo],"Ubicacion")</f>
        <v>3</v>
      </c>
    </row>
    <row r="25" spans="1:18" x14ac:dyDescent="0.3">
      <c r="A25">
        <v>2</v>
      </c>
      <c r="B25">
        <v>5</v>
      </c>
      <c r="C25">
        <f>COUNTIFS(dataReaccion[Nivel],A25,dataReaccion[Intento],B25)</f>
        <v>39</v>
      </c>
      <c r="D25">
        <f>AVERAGEIFS(dataReaccion[Tiempo reaccion(s)],dataReaccion[Nivel],A25,dataReaccion[Intento],B25,dataReaccion[Tiempo reaccion(s)],"&lt;&gt;")</f>
        <v>2.6639687499999996</v>
      </c>
      <c r="E25" cm="1">
        <f t="array" ref="E25">_xlfn.STDEV.P(IF((dataReaccion[Nivel]=A25)*(dataReaccion[Intento]=B25)*(dataReaccion[Tiempo reaccion(s)]&gt;0),dataReaccion[Tiempo reaccion(s)]))</f>
        <v>1.331098195203283</v>
      </c>
      <c r="F25">
        <f>COUNTIFS(dataReaccion[Nivel],A25,dataReaccion[Intento],B25,dataReaccion[Tipo],"Dormir")</f>
        <v>8</v>
      </c>
      <c r="G25">
        <f>AVERAGEIFS(dataReaccion[Tiempo reaccion(s)],dataReaccion[Nivel],A25,dataReaccion[Intento],B25,dataReaccion[Tiempo reaccion(s)],"&lt;&gt;", dataReaccion[Tipo],"Dormir")</f>
        <v>1.883875</v>
      </c>
      <c r="H25" cm="1">
        <f t="array" ref="H25">_xlfn.STDEV.P(IF((dataReaccion[Nivel]=A25)*(dataReaccion[Intento]=B25)*(dataReaccion[Tipo]="Dormir")*(dataReaccion[Tiempo reaccion(s)]&gt;0),dataReaccion[Tiempo reaccion(s)]))</f>
        <v>0.76359666013871497</v>
      </c>
      <c r="I25">
        <f>COUNTIFS(dataReaccion[Nivel],A25,dataReaccion[Intento],B25,dataReaccion[Tipo],"Parada")</f>
        <v>26</v>
      </c>
      <c r="J25">
        <f>AVERAGEIFS(dataReaccion[Tiempo reaccion(s)],dataReaccion[Nivel],A25,dataReaccion[Intento],B25,dataReaccion[Tiempo reaccion(s)],"&lt;&gt;", dataReaccion[Tipo],"Parada")</f>
        <v>2.9239999999999995</v>
      </c>
      <c r="K25" cm="1">
        <f t="array" ref="K25">_xlfn.STDEV.P(IF((dataReaccion[Nivel]=A25)*(dataReaccion[Intento]=B25)*(dataReaccion[Tipo]="Parada")*(dataReaccion[Tiempo reaccion(s)]&gt;0),dataReaccion[Tiempo reaccion(s)]))</f>
        <v>1.3775358132065636</v>
      </c>
      <c r="L25">
        <f>COUNTIFS(dataReaccion[Nivel],A25,dataReaccion[Intento],B25,dataReaccion[Tipo],"Ubicacion")</f>
        <v>5</v>
      </c>
      <c r="M25">
        <f>COUNTIFS(dataReaccion[Nivel],A25, dataReaccion[Intento],B25,dataReaccion[Respuesta],"Correcto")</f>
        <v>13</v>
      </c>
      <c r="N25">
        <f>COUNTIFS(dataReaccion[Nivel],A25, dataReaccion[Intento],B25,dataReaccion[Respuesta],"Erroneo")</f>
        <v>2</v>
      </c>
      <c r="O25">
        <f>COUNTIFS(dataReaccion[Nivel],A25, dataReaccion[Intento],B25,dataReaccion[Respuesta],"Correcto",dataReaccion[Tipo],"Dormir")</f>
        <v>8</v>
      </c>
      <c r="P25">
        <f>COUNTIFS(dataReaccion[Nivel],A25, dataReaccion[Intento],B25,dataReaccion[Respuesta],"Erroneo",dataReaccion[Tipo],"Dormir")</f>
        <v>0</v>
      </c>
      <c r="Q25">
        <f>COUNTIFS(dataReaccion[Nivel],A25, dataReaccion[Intento],B25,dataReaccion[Respuesta],"Correcto",dataReaccion[Tipo],"Ubicacion")</f>
        <v>5</v>
      </c>
      <c r="R25">
        <f>COUNTIFS(dataReaccion[Nivel],A25, dataReaccion[Intento],B25,dataReaccion[Respuesta],"Erroneo",dataReaccion[Tipo],"Ubicacion")</f>
        <v>0</v>
      </c>
    </row>
    <row r="26" spans="1:18" x14ac:dyDescent="0.3">
      <c r="A26">
        <v>2</v>
      </c>
      <c r="B26">
        <v>6</v>
      </c>
      <c r="C26">
        <f>COUNTIFS(dataReaccion[Nivel],A26,dataReaccion[Intento],B26)</f>
        <v>27</v>
      </c>
      <c r="D26">
        <f>AVERAGEIFS(dataReaccion[Tiempo reaccion(s)],dataReaccion[Nivel],A26,dataReaccion[Intento],B26,dataReaccion[Tiempo reaccion(s)],"&lt;&gt;")</f>
        <v>2.1327272727272728</v>
      </c>
      <c r="E26" cm="1">
        <f t="array" ref="E26">_xlfn.STDEV.P(IF((dataReaccion[Nivel]=A26)*(dataReaccion[Intento]=B26)*(dataReaccion[Tiempo reaccion(s)]&gt;0),dataReaccion[Tiempo reaccion(s)]))</f>
        <v>1.1146366379725474</v>
      </c>
      <c r="F26">
        <f>COUNTIFS(dataReaccion[Nivel],A26,dataReaccion[Intento],B26,dataReaccion[Tipo],"Dormir")</f>
        <v>6</v>
      </c>
      <c r="G26">
        <f>AVERAGEIFS(dataReaccion[Tiempo reaccion(s)],dataReaccion[Nivel],A26,dataReaccion[Intento],B26,dataReaccion[Tiempo reaccion(s)],"&lt;&gt;", dataReaccion[Tipo],"Dormir")</f>
        <v>1.3559999999999999</v>
      </c>
      <c r="H26" cm="1">
        <f t="array" ref="H26">_xlfn.STDEV.P(IF((dataReaccion[Nivel]=A26)*(dataReaccion[Intento]=B26)*(dataReaccion[Tipo]="Dormir")*(dataReaccion[Tiempo reaccion(s)]&gt;0),dataReaccion[Tiempo reaccion(s)]))</f>
        <v>0.57094862582664496</v>
      </c>
      <c r="I26">
        <f>COUNTIFS(dataReaccion[Nivel],A26,dataReaccion[Intento],B26,dataReaccion[Tipo],"Parada")</f>
        <v>16</v>
      </c>
      <c r="J26">
        <f>AVERAGEIFS(dataReaccion[Tiempo reaccion(s)],dataReaccion[Nivel],A26,dataReaccion[Intento],B26,dataReaccion[Tiempo reaccion(s)],"&lt;&gt;", dataReaccion[Tipo],"Parada")</f>
        <v>2.4239999999999999</v>
      </c>
      <c r="K26" cm="1">
        <f t="array" ref="K26">_xlfn.STDEV.P(IF((dataReaccion[Nivel]=A26)*(dataReaccion[Intento]=B26)*(dataReaccion[Tipo]="Parada")*(dataReaccion[Tiempo reaccion(s)]&gt;0),dataReaccion[Tiempo reaccion(s)]))</f>
        <v>1.1291579827464355</v>
      </c>
      <c r="L26">
        <f>COUNTIFS(dataReaccion[Nivel],A26,dataReaccion[Intento],B26,dataReaccion[Tipo],"Ubicacion")</f>
        <v>5</v>
      </c>
      <c r="M26">
        <f>COUNTIFS(dataReaccion[Nivel],A26, dataReaccion[Intento],B26,dataReaccion[Respuesta],"Correcto")</f>
        <v>11</v>
      </c>
      <c r="N26">
        <f>COUNTIFS(dataReaccion[Nivel],A26, dataReaccion[Intento],B26,dataReaccion[Respuesta],"Erroneo")</f>
        <v>0</v>
      </c>
      <c r="O26">
        <f>COUNTIFS(dataReaccion[Nivel],A26, dataReaccion[Intento],B26,dataReaccion[Respuesta],"Correcto",dataReaccion[Tipo],"Dormir")</f>
        <v>6</v>
      </c>
      <c r="P26">
        <f>COUNTIFS(dataReaccion[Nivel],A26, dataReaccion[Intento],B26,dataReaccion[Respuesta],"Erroneo",dataReaccion[Tipo],"Dormir")</f>
        <v>0</v>
      </c>
      <c r="Q26">
        <f>COUNTIFS(dataReaccion[Nivel],A26, dataReaccion[Intento],B26,dataReaccion[Respuesta],"Correcto",dataReaccion[Tipo],"Ubicacion")</f>
        <v>5</v>
      </c>
      <c r="R26">
        <f>COUNTIFS(dataReaccion[Nivel],A26, dataReaccion[Intento],B26,dataReaccion[Respuesta],"Erroneo",dataReaccion[Tipo],"Ubicacion")</f>
        <v>0</v>
      </c>
    </row>
    <row r="27" spans="1:18" x14ac:dyDescent="0.3">
      <c r="A27">
        <v>2</v>
      </c>
      <c r="B27">
        <v>7</v>
      </c>
      <c r="C27">
        <f>COUNTIFS(dataReaccion[Nivel],A27,dataReaccion[Intento],B27)</f>
        <v>26</v>
      </c>
      <c r="D27">
        <f>AVERAGEIFS(dataReaccion[Tiempo reaccion(s)],dataReaccion[Nivel],A27,dataReaccion[Intento],B27,dataReaccion[Tiempo reaccion(s)],"&lt;&gt;")</f>
        <v>3.1116190476190475</v>
      </c>
      <c r="E27" cm="1">
        <f t="array" ref="E27">_xlfn.STDEV.P(IF((dataReaccion[Nivel]=A27)*(dataReaccion[Intento]=B27)*(dataReaccion[Tiempo reaccion(s)]&gt;0),dataReaccion[Tiempo reaccion(s)]))</f>
        <v>1.2131766438408709</v>
      </c>
      <c r="F27">
        <f>COUNTIFS(dataReaccion[Nivel],A27,dataReaccion[Intento],B27,dataReaccion[Tipo],"Dormir")</f>
        <v>5</v>
      </c>
      <c r="G27">
        <f>AVERAGEIFS(dataReaccion[Tiempo reaccion(s)],dataReaccion[Nivel],A27,dataReaccion[Intento],B27,dataReaccion[Tiempo reaccion(s)],"&lt;&gt;", dataReaccion[Tipo],"Dormir")</f>
        <v>2.7675999999999998</v>
      </c>
      <c r="H27" cm="1">
        <f t="array" ref="H27">_xlfn.STDEV.P(IF((dataReaccion[Nivel]=A27)*(dataReaccion[Intento]=B27)*(dataReaccion[Tipo]="Dormir")*(dataReaccion[Tiempo reaccion(s)]&gt;0),dataReaccion[Tiempo reaccion(s)]))</f>
        <v>0.77846017239162568</v>
      </c>
      <c r="I27">
        <f>COUNTIFS(dataReaccion[Nivel],A27,dataReaccion[Intento],B27,dataReaccion[Tipo],"Parada")</f>
        <v>17</v>
      </c>
      <c r="J27">
        <f>AVERAGEIFS(dataReaccion[Tiempo reaccion(s)],dataReaccion[Nivel],A27,dataReaccion[Intento],B27,dataReaccion[Tiempo reaccion(s)],"&lt;&gt;", dataReaccion[Tipo],"Parada")</f>
        <v>3.2191250000000005</v>
      </c>
      <c r="K27" cm="1">
        <f t="array" ref="K27">_xlfn.STDEV.P(IF((dataReaccion[Nivel]=A27)*(dataReaccion[Intento]=B27)*(dataReaccion[Tipo]="Parada")*(dataReaccion[Tiempo reaccion(s)]&gt;0),dataReaccion[Tiempo reaccion(s)]))</f>
        <v>1.3014674830263704</v>
      </c>
      <c r="L27">
        <f>COUNTIFS(dataReaccion[Nivel],A27,dataReaccion[Intento],B27,dataReaccion[Tipo],"Ubicacion")</f>
        <v>4</v>
      </c>
      <c r="M27">
        <f>COUNTIFS(dataReaccion[Nivel],A27, dataReaccion[Intento],B27,dataReaccion[Respuesta],"Correcto")</f>
        <v>9</v>
      </c>
      <c r="N27">
        <f>COUNTIFS(dataReaccion[Nivel],A27, dataReaccion[Intento],B27,dataReaccion[Respuesta],"Erroneo")</f>
        <v>1</v>
      </c>
      <c r="O27">
        <f>COUNTIFS(dataReaccion[Nivel],A27, dataReaccion[Intento],B27,dataReaccion[Respuesta],"Correcto",dataReaccion[Tipo],"Dormir")</f>
        <v>5</v>
      </c>
      <c r="P27">
        <f>COUNTIFS(dataReaccion[Nivel],A27, dataReaccion[Intento],B27,dataReaccion[Respuesta],"Erroneo",dataReaccion[Tipo],"Dormir")</f>
        <v>0</v>
      </c>
      <c r="Q27">
        <f>COUNTIFS(dataReaccion[Nivel],A27, dataReaccion[Intento],B27,dataReaccion[Respuesta],"Correcto",dataReaccion[Tipo],"Ubicacion")</f>
        <v>4</v>
      </c>
      <c r="R27">
        <f>COUNTIFS(dataReaccion[Nivel],A27, dataReaccion[Intento],B27,dataReaccion[Respuesta],"Erroneo",dataReaccion[Tipo],"Ubicacion")</f>
        <v>0</v>
      </c>
    </row>
    <row r="28" spans="1:18" x14ac:dyDescent="0.3">
      <c r="A28">
        <v>2</v>
      </c>
      <c r="B28">
        <v>8</v>
      </c>
      <c r="C28">
        <f>COUNTIFS(dataReaccion[Nivel],A28,dataReaccion[Intento],B28)</f>
        <v>34</v>
      </c>
      <c r="D28">
        <f>AVERAGEIFS(dataReaccion[Tiempo reaccion(s)],dataReaccion[Nivel],A28,dataReaccion[Intento],B28,dataReaccion[Tiempo reaccion(s)],"&lt;&gt;")</f>
        <v>2.1353846153846154</v>
      </c>
      <c r="E28" cm="1">
        <f t="array" ref="E28">_xlfn.STDEV.P(IF((dataReaccion[Nivel]=A28)*(dataReaccion[Intento]=B28)*(dataReaccion[Tiempo reaccion(s)]&gt;0),dataReaccion[Tiempo reaccion(s)]))</f>
        <v>0.88448707765153078</v>
      </c>
      <c r="F28">
        <f>COUNTIFS(dataReaccion[Nivel],A28,dataReaccion[Intento],B28,dataReaccion[Tipo],"Dormir")</f>
        <v>12</v>
      </c>
      <c r="G28">
        <f>AVERAGEIFS(dataReaccion[Tiempo reaccion(s)],dataReaccion[Nivel],A28,dataReaccion[Intento],B28,dataReaccion[Tiempo reaccion(s)],"&lt;&gt;", dataReaccion[Tipo],"Dormir")</f>
        <v>1.8202727272727273</v>
      </c>
      <c r="H28" cm="1">
        <f t="array" ref="H28">_xlfn.STDEV.P(IF((dataReaccion[Nivel]=A28)*(dataReaccion[Intento]=B28)*(dataReaccion[Tipo]="Dormir")*(dataReaccion[Tiempo reaccion(s)]&gt;0),dataReaccion[Tiempo reaccion(s)]))</f>
        <v>0.61460705715989272</v>
      </c>
      <c r="I28">
        <f>COUNTIFS(dataReaccion[Nivel],A28,dataReaccion[Intento],B28,dataReaccion[Tipo],"Parada")</f>
        <v>15</v>
      </c>
      <c r="J28">
        <f>AVERAGEIFS(dataReaccion[Tiempo reaccion(s)],dataReaccion[Nivel],A28,dataReaccion[Intento],B28,dataReaccion[Tiempo reaccion(s)],"&lt;&gt;", dataReaccion[Tipo],"Parada")</f>
        <v>2.3664666666666667</v>
      </c>
      <c r="K28" cm="1">
        <f t="array" ref="K28">_xlfn.STDEV.P(IF((dataReaccion[Nivel]=A28)*(dataReaccion[Intento]=B28)*(dataReaccion[Tipo]="Parada")*(dataReaccion[Tiempo reaccion(s)]&gt;0),dataReaccion[Tiempo reaccion(s)]))</f>
        <v>0.97610988907784135</v>
      </c>
      <c r="L28">
        <f>COUNTIFS(dataReaccion[Nivel],A28,dataReaccion[Intento],B28,dataReaccion[Tipo],"Ubicacion")</f>
        <v>7</v>
      </c>
      <c r="M28">
        <f>COUNTIFS(dataReaccion[Nivel],A28, dataReaccion[Intento],B28,dataReaccion[Respuesta],"Correcto")</f>
        <v>13</v>
      </c>
      <c r="N28">
        <f>COUNTIFS(dataReaccion[Nivel],A28, dataReaccion[Intento],B28,dataReaccion[Respuesta],"Erroneo")</f>
        <v>6</v>
      </c>
      <c r="O28">
        <f>COUNTIFS(dataReaccion[Nivel],A28, dataReaccion[Intento],B28,dataReaccion[Respuesta],"Correcto",dataReaccion[Tipo],"Dormir")</f>
        <v>11</v>
      </c>
      <c r="P28">
        <f>COUNTIFS(dataReaccion[Nivel],A28, dataReaccion[Intento],B28,dataReaccion[Respuesta],"Erroneo",dataReaccion[Tipo],"Dormir")</f>
        <v>1</v>
      </c>
      <c r="Q28">
        <f>COUNTIFS(dataReaccion[Nivel],A28, dataReaccion[Intento],B28,dataReaccion[Respuesta],"Correcto",dataReaccion[Tipo],"Ubicacion")</f>
        <v>2</v>
      </c>
      <c r="R28">
        <f>COUNTIFS(dataReaccion[Nivel],A28, dataReaccion[Intento],B28,dataReaccion[Respuesta],"Erroneo",dataReaccion[Tipo],"Ubicacion")</f>
        <v>5</v>
      </c>
    </row>
    <row r="29" spans="1:18" x14ac:dyDescent="0.3">
      <c r="A29">
        <v>2</v>
      </c>
      <c r="B29">
        <v>9</v>
      </c>
      <c r="C29">
        <f>COUNTIFS(dataReaccion[Nivel],A29,dataReaccion[Intento],B29)</f>
        <v>22</v>
      </c>
      <c r="D29">
        <f>AVERAGEIFS(dataReaccion[Tiempo reaccion(s)],dataReaccion[Nivel],A29,dataReaccion[Intento],B29,dataReaccion[Tiempo reaccion(s)],"&lt;&gt;")</f>
        <v>2.3083888888888886</v>
      </c>
      <c r="E29" cm="1">
        <f t="array" ref="E29">_xlfn.STDEV.P(IF((dataReaccion[Nivel]=A29)*(dataReaccion[Intento]=B29)*(dataReaccion[Tiempo reaccion(s)]&gt;0),dataReaccion[Tiempo reaccion(s)]))</f>
        <v>1.0950706288175049</v>
      </c>
      <c r="F29">
        <f>COUNTIFS(dataReaccion[Nivel],A29,dataReaccion[Intento],B29,dataReaccion[Tipo],"Dormir")</f>
        <v>5</v>
      </c>
      <c r="G29">
        <f>AVERAGEIFS(dataReaccion[Tiempo reaccion(s)],dataReaccion[Nivel],A29,dataReaccion[Intento],B29,dataReaccion[Tiempo reaccion(s)],"&lt;&gt;", dataReaccion[Tipo],"Dormir")</f>
        <v>1.514</v>
      </c>
      <c r="H29" cm="1">
        <f t="array" ref="H29">_xlfn.STDEV.P(IF((dataReaccion[Nivel]=A29)*(dataReaccion[Intento]=B29)*(dataReaccion[Tipo]="Dormir")*(dataReaccion[Tiempo reaccion(s)]&gt;0),dataReaccion[Tiempo reaccion(s)]))</f>
        <v>0.43598210972469886</v>
      </c>
      <c r="I29">
        <f>COUNTIFS(dataReaccion[Nivel],A29,dataReaccion[Intento],B29,dataReaccion[Tipo],"Parada")</f>
        <v>13</v>
      </c>
      <c r="J29">
        <f>AVERAGEIFS(dataReaccion[Tiempo reaccion(s)],dataReaccion[Nivel],A29,dataReaccion[Intento],B29,dataReaccion[Tiempo reaccion(s)],"&lt;&gt;", dataReaccion[Tipo],"Parada")</f>
        <v>2.613923076923077</v>
      </c>
      <c r="K29" cm="1">
        <f t="array" ref="K29">_xlfn.STDEV.P(IF((dataReaccion[Nivel]=A29)*(dataReaccion[Intento]=B29)*(dataReaccion[Tipo]="Parada")*(dataReaccion[Tiempo reaccion(s)]&gt;0),dataReaccion[Tiempo reaccion(s)]))</f>
        <v>1.1185842330332265</v>
      </c>
      <c r="L29">
        <f>COUNTIFS(dataReaccion[Nivel],A29,dataReaccion[Intento],B29,dataReaccion[Tipo],"Ubicacion")</f>
        <v>4</v>
      </c>
      <c r="M29">
        <f>COUNTIFS(dataReaccion[Nivel],A29, dataReaccion[Intento],B29,dataReaccion[Respuesta],"Correcto")</f>
        <v>7</v>
      </c>
      <c r="N29">
        <f>COUNTIFS(dataReaccion[Nivel],A29, dataReaccion[Intento],B29,dataReaccion[Respuesta],"Erroneo")</f>
        <v>2</v>
      </c>
      <c r="O29">
        <f>COUNTIFS(dataReaccion[Nivel],A29, dataReaccion[Intento],B29,dataReaccion[Respuesta],"Correcto",dataReaccion[Tipo],"Dormir")</f>
        <v>5</v>
      </c>
      <c r="P29">
        <f>COUNTIFS(dataReaccion[Nivel],A29, dataReaccion[Intento],B29,dataReaccion[Respuesta],"Erroneo",dataReaccion[Tipo],"Dormir")</f>
        <v>0</v>
      </c>
      <c r="Q29">
        <f>COUNTIFS(dataReaccion[Nivel],A29, dataReaccion[Intento],B29,dataReaccion[Respuesta],"Correcto",dataReaccion[Tipo],"Ubicacion")</f>
        <v>2</v>
      </c>
      <c r="R29">
        <f>COUNTIFS(dataReaccion[Nivel],A29, dataReaccion[Intento],B29,dataReaccion[Respuesta],"Erroneo",dataReaccion[Tipo],"Ubicacion")</f>
        <v>2</v>
      </c>
    </row>
    <row r="30" spans="1:18" x14ac:dyDescent="0.3">
      <c r="A30">
        <v>2</v>
      </c>
      <c r="B30">
        <v>10</v>
      </c>
      <c r="C30">
        <f>COUNTIFS(dataReaccion[Nivel],A30,dataReaccion[Intento],B30)</f>
        <v>20</v>
      </c>
      <c r="D30">
        <f>AVERAGEIFS(dataReaccion[Tiempo reaccion(s)],dataReaccion[Nivel],A30,dataReaccion[Intento],B30,dataReaccion[Tiempo reaccion(s)],"&lt;&gt;")</f>
        <v>1.7597857142857141</v>
      </c>
      <c r="E30" cm="1">
        <f t="array" ref="E30">_xlfn.STDEV.P(IF((dataReaccion[Nivel]=A30)*(dataReaccion[Intento]=B30)*(dataReaccion[Tiempo reaccion(s)]&gt;0),dataReaccion[Tiempo reaccion(s)]))</f>
        <v>0.80469463405793429</v>
      </c>
      <c r="F30">
        <f>COUNTIFS(dataReaccion[Nivel],A30,dataReaccion[Intento],B30,dataReaccion[Tipo],"Dormir")</f>
        <v>4</v>
      </c>
      <c r="G30">
        <f>AVERAGEIFS(dataReaccion[Tiempo reaccion(s)],dataReaccion[Nivel],A30,dataReaccion[Intento],B30,dataReaccion[Tiempo reaccion(s)],"&lt;&gt;", dataReaccion[Tipo],"Dormir")</f>
        <v>1.2885</v>
      </c>
      <c r="H30" cm="1">
        <f t="array" ref="H30">_xlfn.STDEV.P(IF((dataReaccion[Nivel]=A30)*(dataReaccion[Intento]=B30)*(dataReaccion[Tipo]="Dormir")*(dataReaccion[Tiempo reaccion(s)]&gt;0),dataReaccion[Tiempo reaccion(s)]))</f>
        <v>0.57456265976827958</v>
      </c>
      <c r="I30">
        <f>COUNTIFS(dataReaccion[Nivel],A30,dataReaccion[Intento],B30,dataReaccion[Tipo],"Parada")</f>
        <v>10</v>
      </c>
      <c r="J30">
        <f>AVERAGEIFS(dataReaccion[Tiempo reaccion(s)],dataReaccion[Nivel],A30,dataReaccion[Intento],B30,dataReaccion[Tiempo reaccion(s)],"&lt;&gt;", dataReaccion[Tipo],"Parada")</f>
        <v>1.9483000000000001</v>
      </c>
      <c r="K30" cm="1">
        <f t="array" ref="K30">_xlfn.STDEV.P(IF((dataReaccion[Nivel]=A30)*(dataReaccion[Intento]=B30)*(dataReaccion[Tipo]="Parada")*(dataReaccion[Tiempo reaccion(s)]&gt;0),dataReaccion[Tiempo reaccion(s)]))</f>
        <v>0.80629784199140664</v>
      </c>
      <c r="L30">
        <f>COUNTIFS(dataReaccion[Nivel],A30,dataReaccion[Intento],B30,dataReaccion[Tipo],"Ubicacion")</f>
        <v>6</v>
      </c>
      <c r="M30">
        <f>COUNTIFS(dataReaccion[Nivel],A30, dataReaccion[Intento],B30,dataReaccion[Respuesta],"Correcto")</f>
        <v>10</v>
      </c>
      <c r="N30">
        <f>COUNTIFS(dataReaccion[Nivel],A30, dataReaccion[Intento],B30,dataReaccion[Respuesta],"Erroneo")</f>
        <v>0</v>
      </c>
      <c r="O30">
        <f>COUNTIFS(dataReaccion[Nivel],A30, dataReaccion[Intento],B30,dataReaccion[Respuesta],"Correcto",dataReaccion[Tipo],"Dormir")</f>
        <v>4</v>
      </c>
      <c r="P30">
        <f>COUNTIFS(dataReaccion[Nivel],A30, dataReaccion[Intento],B30,dataReaccion[Respuesta],"Erroneo",dataReaccion[Tipo],"Dormir")</f>
        <v>0</v>
      </c>
      <c r="Q30">
        <f>COUNTIFS(dataReaccion[Nivel],A30, dataReaccion[Intento],B30,dataReaccion[Respuesta],"Correcto",dataReaccion[Tipo],"Ubicacion")</f>
        <v>6</v>
      </c>
      <c r="R30">
        <f>COUNTIFS(dataReaccion[Nivel],A30, dataReaccion[Intento],B30,dataReaccion[Respuesta],"Erroneo",dataReaccion[Tipo],"Ubicacion")</f>
        <v>0</v>
      </c>
    </row>
    <row r="31" spans="1:18" x14ac:dyDescent="0.3">
      <c r="A31">
        <v>2</v>
      </c>
      <c r="B31">
        <v>11</v>
      </c>
      <c r="C31">
        <f>COUNTIFS(dataReaccion[Nivel],A31,dataReaccion[Intento],B31)</f>
        <v>15</v>
      </c>
      <c r="D31">
        <f>AVERAGEIFS(dataReaccion[Tiempo reaccion(s)],dataReaccion[Nivel],A31,dataReaccion[Intento],B31,dataReaccion[Tiempo reaccion(s)],"&lt;&gt;")</f>
        <v>2.276272727272727</v>
      </c>
      <c r="E31" cm="1">
        <f t="array" ref="E31">_xlfn.STDEV.P(IF((dataReaccion[Nivel]=A31)*(dataReaccion[Intento]=B31)*(dataReaccion[Tiempo reaccion(s)]&gt;0),dataReaccion[Tiempo reaccion(s)]))</f>
        <v>0.92263418249637041</v>
      </c>
      <c r="F31">
        <f>COUNTIFS(dataReaccion[Nivel],A31,dataReaccion[Intento],B31,dataReaccion[Tipo],"Dormir")</f>
        <v>5</v>
      </c>
      <c r="G31">
        <f>AVERAGEIFS(dataReaccion[Tiempo reaccion(s)],dataReaccion[Nivel],A31,dataReaccion[Intento],B31,dataReaccion[Tiempo reaccion(s)],"&lt;&gt;", dataReaccion[Tipo],"Dormir")</f>
        <v>1.9217499999999998</v>
      </c>
      <c r="H31" cm="1">
        <f t="array" ref="H31">_xlfn.STDEV.P(IF((dataReaccion[Nivel]=A31)*(dataReaccion[Intento]=B31)*(dataReaccion[Tipo]="Dormir")*(dataReaccion[Tiempo reaccion(s)]&gt;0),dataReaccion[Tiempo reaccion(s)]))</f>
        <v>0.62051969146837005</v>
      </c>
      <c r="I31">
        <f>COUNTIFS(dataReaccion[Nivel],A31,dataReaccion[Intento],B31,dataReaccion[Tipo],"Parada")</f>
        <v>8</v>
      </c>
      <c r="J31">
        <f>AVERAGEIFS(dataReaccion[Tiempo reaccion(s)],dataReaccion[Nivel],A31,dataReaccion[Intento],B31,dataReaccion[Tiempo reaccion(s)],"&lt;&gt;", dataReaccion[Tipo],"Parada")</f>
        <v>2.4788571428571422</v>
      </c>
      <c r="K31" cm="1">
        <f t="array" ref="K31">_xlfn.STDEV.P(IF((dataReaccion[Nivel]=A31)*(dataReaccion[Intento]=B31)*(dataReaccion[Tipo]="Parada")*(dataReaccion[Tiempo reaccion(s)]&gt;0),dataReaccion[Tiempo reaccion(s)]))</f>
        <v>1.0023960478447111</v>
      </c>
      <c r="L31">
        <f>COUNTIFS(dataReaccion[Nivel],A31,dataReaccion[Intento],B31,dataReaccion[Tipo],"Ubicacion")</f>
        <v>2</v>
      </c>
      <c r="M31">
        <f>COUNTIFS(dataReaccion[Nivel],A31, dataReaccion[Intento],B31,dataReaccion[Respuesta],"Correcto")</f>
        <v>4</v>
      </c>
      <c r="N31">
        <f>COUNTIFS(dataReaccion[Nivel],A31, dataReaccion[Intento],B31,dataReaccion[Respuesta],"Erroneo")</f>
        <v>4</v>
      </c>
      <c r="O31">
        <f>COUNTIFS(dataReaccion[Nivel],A31, dataReaccion[Intento],B31,dataReaccion[Respuesta],"Correcto",dataReaccion[Tipo],"Dormir")</f>
        <v>4</v>
      </c>
      <c r="P31">
        <f>COUNTIFS(dataReaccion[Nivel],A31, dataReaccion[Intento],B31,dataReaccion[Respuesta],"Erroneo",dataReaccion[Tipo],"Dormir")</f>
        <v>1</v>
      </c>
      <c r="Q31">
        <f>COUNTIFS(dataReaccion[Nivel],A31, dataReaccion[Intento],B31,dataReaccion[Respuesta],"Correcto",dataReaccion[Tipo],"Ubicacion")</f>
        <v>0</v>
      </c>
      <c r="R31">
        <f>COUNTIFS(dataReaccion[Nivel],A31, dataReaccion[Intento],B31,dataReaccion[Respuesta],"Erroneo",dataReaccion[Tipo],"Ubicacion")</f>
        <v>2</v>
      </c>
    </row>
    <row r="32" spans="1:18" x14ac:dyDescent="0.3">
      <c r="A32">
        <v>2</v>
      </c>
      <c r="B32">
        <v>12</v>
      </c>
      <c r="C32">
        <f>COUNTIFS(dataReaccion[Nivel],A32,dataReaccion[Intento],B32)</f>
        <v>6</v>
      </c>
      <c r="D32">
        <f>AVERAGEIFS(dataReaccion[Tiempo reaccion(s)],dataReaccion[Nivel],A32,dataReaccion[Intento],B32,dataReaccion[Tiempo reaccion(s)],"&lt;&gt;")</f>
        <v>1.605</v>
      </c>
      <c r="E32" cm="1">
        <f t="array" ref="E32">_xlfn.STDEV.P(IF((dataReaccion[Nivel]=A32)*(dataReaccion[Intento]=B32)*(dataReaccion[Tiempo reaccion(s)]&gt;0),dataReaccion[Tiempo reaccion(s)]))</f>
        <v>0.34328938230012224</v>
      </c>
      <c r="F32">
        <f>COUNTIFS(dataReaccion[Nivel],A32,dataReaccion[Intento],B32,dataReaccion[Tipo],"Dormir")</f>
        <v>1</v>
      </c>
      <c r="G32">
        <f>AVERAGEIFS(dataReaccion[Tiempo reaccion(s)],dataReaccion[Nivel],A32,dataReaccion[Intento],B32,dataReaccion[Tiempo reaccion(s)],"&lt;&gt;", dataReaccion[Tipo],"Dormir")</f>
        <v>2.1190000000000002</v>
      </c>
      <c r="H32" cm="1">
        <f t="array" ref="H32">_xlfn.STDEV.P(IF((dataReaccion[Nivel]=A32)*(dataReaccion[Intento]=B32)*(dataReaccion[Tipo]="Dormir")*(dataReaccion[Tiempo reaccion(s)]&gt;0),dataReaccion[Tiempo reaccion(s)]))</f>
        <v>0</v>
      </c>
      <c r="I32">
        <f>COUNTIFS(dataReaccion[Nivel],A32,dataReaccion[Intento],B32,dataReaccion[Tipo],"Parada")</f>
        <v>4</v>
      </c>
      <c r="J32">
        <f>AVERAGEIFS(dataReaccion[Tiempo reaccion(s)],dataReaccion[Nivel],A32,dataReaccion[Intento],B32,dataReaccion[Tiempo reaccion(s)],"&lt;&gt;", dataReaccion[Tipo],"Parada")</f>
        <v>1.4765000000000001</v>
      </c>
      <c r="K32" cm="1">
        <f t="array" ref="K32">_xlfn.STDEV.P(IF((dataReaccion[Nivel]=A32)*(dataReaccion[Intento]=B32)*(dataReaccion[Tipo]="Parada")*(dataReaccion[Tiempo reaccion(s)]&gt;0),dataReaccion[Tiempo reaccion(s)]))</f>
        <v>0.25445677432522634</v>
      </c>
      <c r="L32">
        <f>COUNTIFS(dataReaccion[Nivel],A32,dataReaccion[Intento],B32,dataReaccion[Tipo],"Ubicacion")</f>
        <v>1</v>
      </c>
      <c r="M32">
        <f>COUNTIFS(dataReaccion[Nivel],A32, dataReaccion[Intento],B32,dataReaccion[Respuesta],"Correcto")</f>
        <v>1</v>
      </c>
      <c r="N32">
        <f>COUNTIFS(dataReaccion[Nivel],A32, dataReaccion[Intento],B32,dataReaccion[Respuesta],"Erroneo")</f>
        <v>1</v>
      </c>
      <c r="O32">
        <f>COUNTIFS(dataReaccion[Nivel],A32, dataReaccion[Intento],B32,dataReaccion[Respuesta],"Correcto",dataReaccion[Tipo],"Dormir")</f>
        <v>1</v>
      </c>
      <c r="P32">
        <f>COUNTIFS(dataReaccion[Nivel],A32, dataReaccion[Intento],B32,dataReaccion[Respuesta],"Erroneo",dataReaccion[Tipo],"Dormir")</f>
        <v>0</v>
      </c>
      <c r="Q32">
        <f>COUNTIFS(dataReaccion[Nivel],A32, dataReaccion[Intento],B32,dataReaccion[Respuesta],"Correcto",dataReaccion[Tipo],"Ubicacion")</f>
        <v>0</v>
      </c>
      <c r="R32">
        <f>COUNTIFS(dataReaccion[Nivel],A32, dataReaccion[Intento],B32,dataReaccion[Respuesta],"Erroneo",dataReaccion[Tipo],"Ubicacion")</f>
        <v>1</v>
      </c>
    </row>
    <row r="33" spans="1:18" x14ac:dyDescent="0.3">
      <c r="A33">
        <v>2</v>
      </c>
      <c r="B33">
        <v>13</v>
      </c>
      <c r="C33">
        <f>COUNTIFS(dataReaccion[Nivel],A33,dataReaccion[Intento],B33)</f>
        <v>5</v>
      </c>
      <c r="D33">
        <f>AVERAGEIFS(dataReaccion[Tiempo reaccion(s)],dataReaccion[Nivel],A33,dataReaccion[Intento],B33,dataReaccion[Tiempo reaccion(s)],"&lt;&gt;")</f>
        <v>1.8307499999999999</v>
      </c>
      <c r="E33" cm="1">
        <f t="array" ref="E33">_xlfn.STDEV.P(IF((dataReaccion[Nivel]=A33)*(dataReaccion[Intento]=B33)*(dataReaccion[Tiempo reaccion(s)]&gt;0),dataReaccion[Tiempo reaccion(s)]))</f>
        <v>1.1867422582431291</v>
      </c>
      <c r="F33">
        <f>COUNTIFS(dataReaccion[Nivel],A33,dataReaccion[Intento],B33,dataReaccion[Tipo],"Dormir")</f>
        <v>0</v>
      </c>
      <c r="G33" t="e">
        <f>AVERAGEIFS(dataReaccion[Tiempo reaccion(s)],dataReaccion[Nivel],A33,dataReaccion[Intento],B33,dataReaccion[Tiempo reaccion(s)],"&lt;&gt;", dataReaccion[Tipo],"Dormir")</f>
        <v>#DIV/0!</v>
      </c>
      <c r="H33" t="e" cm="1">
        <f t="array" ref="H33">_xlfn.STDEV.P(IF((dataReaccion[Nivel]=A33)*(dataReaccion[Intento]=B33)*(dataReaccion[Tipo]="Dormir")*(dataReaccion[Tiempo reaccion(s)]&gt;0),dataReaccion[Tiempo reaccion(s)]))</f>
        <v>#DIV/0!</v>
      </c>
      <c r="I33">
        <f>COUNTIFS(dataReaccion[Nivel],A33,dataReaccion[Intento],B33,dataReaccion[Tipo],"Parada")</f>
        <v>4</v>
      </c>
      <c r="J33">
        <f>AVERAGEIFS(dataReaccion[Tiempo reaccion(s)],dataReaccion[Nivel],A33,dataReaccion[Intento],B33,dataReaccion[Tiempo reaccion(s)],"&lt;&gt;", dataReaccion[Tipo],"Parada")</f>
        <v>1.8307499999999999</v>
      </c>
      <c r="K33" cm="1">
        <f t="array" ref="K33">_xlfn.STDEV.P(IF((dataReaccion[Nivel]=A33)*(dataReaccion[Intento]=B33)*(dataReaccion[Tipo]="Parada")*(dataReaccion[Tiempo reaccion(s)]&gt;0),dataReaccion[Tiempo reaccion(s)]))</f>
        <v>1.1867422582431291</v>
      </c>
      <c r="L33">
        <f>COUNTIFS(dataReaccion[Nivel],A33,dataReaccion[Intento],B33,dataReaccion[Tipo],"Ubicacion")</f>
        <v>1</v>
      </c>
      <c r="M33">
        <f>COUNTIFS(dataReaccion[Nivel],A33, dataReaccion[Intento],B33,dataReaccion[Respuesta],"Correcto")</f>
        <v>0</v>
      </c>
      <c r="N33">
        <f>COUNTIFS(dataReaccion[Nivel],A33, dataReaccion[Intento],B33,dataReaccion[Respuesta],"Erroneo")</f>
        <v>1</v>
      </c>
      <c r="O33">
        <f>COUNTIFS(dataReaccion[Nivel],A33, dataReaccion[Intento],B33,dataReaccion[Respuesta],"Correcto",dataReaccion[Tipo],"Dormir")</f>
        <v>0</v>
      </c>
      <c r="P33">
        <f>COUNTIFS(dataReaccion[Nivel],A33, dataReaccion[Intento],B33,dataReaccion[Respuesta],"Erroneo",dataReaccion[Tipo],"Dormir")</f>
        <v>0</v>
      </c>
      <c r="Q33">
        <f>COUNTIFS(dataReaccion[Nivel],A33, dataReaccion[Intento],B33,dataReaccion[Respuesta],"Correcto",dataReaccion[Tipo],"Ubicacion")</f>
        <v>0</v>
      </c>
      <c r="R33">
        <f>COUNTIFS(dataReaccion[Nivel],A33, dataReaccion[Intento],B33,dataReaccion[Respuesta],"Erroneo",dataReaccion[Tipo],"Ubicacion")</f>
        <v>1</v>
      </c>
    </row>
    <row r="34" spans="1:18" x14ac:dyDescent="0.3">
      <c r="A34">
        <v>2</v>
      </c>
      <c r="B34">
        <v>14</v>
      </c>
      <c r="C34">
        <f>COUNTIFS(dataReaccion[Nivel],A34,dataReaccion[Intento],B34)</f>
        <v>7</v>
      </c>
      <c r="D34">
        <f>AVERAGEIFS(dataReaccion[Tiempo reaccion(s)],dataReaccion[Nivel],A34,dataReaccion[Intento],B34,dataReaccion[Tiempo reaccion(s)],"&lt;&gt;")</f>
        <v>1.7175000000000002</v>
      </c>
      <c r="E34" cm="1">
        <f t="array" ref="E34">_xlfn.STDEV.P(IF((dataReaccion[Nivel]=A34)*(dataReaccion[Intento]=B34)*(dataReaccion[Tiempo reaccion(s)]&gt;0),dataReaccion[Tiempo reaccion(s)]))</f>
        <v>0.35943045224354464</v>
      </c>
      <c r="F34">
        <f>COUNTIFS(dataReaccion[Nivel],A34,dataReaccion[Intento],B34,dataReaccion[Tipo],"Dormir")</f>
        <v>1</v>
      </c>
      <c r="G34">
        <f>AVERAGEIFS(dataReaccion[Tiempo reaccion(s)],dataReaccion[Nivel],A34,dataReaccion[Intento],B34,dataReaccion[Tiempo reaccion(s)],"&lt;&gt;", dataReaccion[Tipo],"Dormir")</f>
        <v>1.5349999999999999</v>
      </c>
      <c r="H34" cm="1">
        <f t="array" ref="H34">_xlfn.STDEV.P(IF((dataReaccion[Nivel]=A34)*(dataReaccion[Intento]=B34)*(dataReaccion[Tipo]="Dormir")*(dataReaccion[Tiempo reaccion(s)]&gt;0),dataReaccion[Tiempo reaccion(s)]))</f>
        <v>0</v>
      </c>
      <c r="I34">
        <f>COUNTIFS(dataReaccion[Nivel],A34,dataReaccion[Intento],B34,dataReaccion[Tipo],"Parada")</f>
        <v>5</v>
      </c>
      <c r="J34">
        <f>AVERAGEIFS(dataReaccion[Tiempo reaccion(s)],dataReaccion[Nivel],A34,dataReaccion[Intento],B34,dataReaccion[Tiempo reaccion(s)],"&lt;&gt;", dataReaccion[Tipo],"Parada")</f>
        <v>1.754</v>
      </c>
      <c r="K34" cm="1">
        <f t="array" ref="K34">_xlfn.STDEV.P(IF((dataReaccion[Nivel]=A34)*(dataReaccion[Intento]=B34)*(dataReaccion[Tipo]="Parada")*(dataReaccion[Tiempo reaccion(s)]&gt;0),dataReaccion[Tiempo reaccion(s)]))</f>
        <v>0.38345117029421188</v>
      </c>
      <c r="L34">
        <f>COUNTIFS(dataReaccion[Nivel],A34,dataReaccion[Intento],B34,dataReaccion[Tipo],"Ubicacion")</f>
        <v>1</v>
      </c>
      <c r="M34">
        <f>COUNTIFS(dataReaccion[Nivel],A34, dataReaccion[Intento],B34,dataReaccion[Respuesta],"Correcto")</f>
        <v>1</v>
      </c>
      <c r="N34">
        <f>COUNTIFS(dataReaccion[Nivel],A34, dataReaccion[Intento],B34,dataReaccion[Respuesta],"Erroneo")</f>
        <v>1</v>
      </c>
      <c r="O34">
        <f>COUNTIFS(dataReaccion[Nivel],A34, dataReaccion[Intento],B34,dataReaccion[Respuesta],"Correcto",dataReaccion[Tipo],"Dormir")</f>
        <v>1</v>
      </c>
      <c r="P34">
        <f>COUNTIFS(dataReaccion[Nivel],A34, dataReaccion[Intento],B34,dataReaccion[Respuesta],"Erroneo",dataReaccion[Tipo],"Dormir")</f>
        <v>0</v>
      </c>
      <c r="Q34">
        <f>COUNTIFS(dataReaccion[Nivel],A34, dataReaccion[Intento],B34,dataReaccion[Respuesta],"Correcto",dataReaccion[Tipo],"Ubicacion")</f>
        <v>0</v>
      </c>
      <c r="R34">
        <f>COUNTIFS(dataReaccion[Nivel],A34, dataReaccion[Intento],B34,dataReaccion[Respuesta],"Erroneo",dataReaccion[Tipo],"Ubicacion")</f>
        <v>1</v>
      </c>
    </row>
    <row r="35" spans="1:18" x14ac:dyDescent="0.3">
      <c r="A35">
        <v>2</v>
      </c>
      <c r="B35">
        <v>15</v>
      </c>
      <c r="C35">
        <f>COUNTIFS(dataReaccion[Nivel],A35,dataReaccion[Intento],B35)</f>
        <v>5</v>
      </c>
      <c r="D35">
        <f>AVERAGEIFS(dataReaccion[Tiempo reaccion(s)],dataReaccion[Nivel],A35,dataReaccion[Intento],B35,dataReaccion[Tiempo reaccion(s)],"&lt;&gt;")</f>
        <v>1.9535</v>
      </c>
      <c r="E35" cm="1">
        <f t="array" ref="E35">_xlfn.STDEV.P(IF((dataReaccion[Nivel]=A35)*(dataReaccion[Intento]=B35)*(dataReaccion[Tiempo reaccion(s)]&gt;0),dataReaccion[Tiempo reaccion(s)]))</f>
        <v>0.35900174094285359</v>
      </c>
      <c r="F35">
        <f>COUNTIFS(dataReaccion[Nivel],A35,dataReaccion[Intento],B35,dataReaccion[Tipo],"Dormir")</f>
        <v>1</v>
      </c>
      <c r="G35">
        <f>AVERAGEIFS(dataReaccion[Tiempo reaccion(s)],dataReaccion[Nivel],A35,dataReaccion[Intento],B35,dataReaccion[Tiempo reaccion(s)],"&lt;&gt;", dataReaccion[Tipo],"Dormir")</f>
        <v>1.601</v>
      </c>
      <c r="H35" cm="1">
        <f t="array" ref="H35">_xlfn.STDEV.P(IF((dataReaccion[Nivel]=A35)*(dataReaccion[Intento]=B35)*(dataReaccion[Tipo]="Dormir")*(dataReaccion[Tiempo reaccion(s)]&gt;0),dataReaccion[Tiempo reaccion(s)]))</f>
        <v>0</v>
      </c>
      <c r="I35">
        <f>COUNTIFS(dataReaccion[Nivel],A35,dataReaccion[Intento],B35,dataReaccion[Tipo],"Parada")</f>
        <v>3</v>
      </c>
      <c r="J35">
        <f>AVERAGEIFS(dataReaccion[Tiempo reaccion(s)],dataReaccion[Nivel],A35,dataReaccion[Intento],B35,dataReaccion[Tiempo reaccion(s)],"&lt;&gt;", dataReaccion[Tipo],"Parada")</f>
        <v>2.0710000000000002</v>
      </c>
      <c r="K35" cm="1">
        <f t="array" ref="K35">_xlfn.STDEV.P(IF((dataReaccion[Nivel]=A35)*(dataReaccion[Intento]=B35)*(dataReaccion[Tipo]="Parada")*(dataReaccion[Tiempo reaccion(s)]&gt;0),dataReaccion[Tiempo reaccion(s)]))</f>
        <v>0.34149377739572384</v>
      </c>
      <c r="L35">
        <f>COUNTIFS(dataReaccion[Nivel],A35,dataReaccion[Intento],B35,dataReaccion[Tipo],"Ubicacion")</f>
        <v>1</v>
      </c>
      <c r="M35">
        <f>COUNTIFS(dataReaccion[Nivel],A35, dataReaccion[Intento],B35,dataReaccion[Respuesta],"Correcto")</f>
        <v>2</v>
      </c>
      <c r="N35">
        <f>COUNTIFS(dataReaccion[Nivel],A35, dataReaccion[Intento],B35,dataReaccion[Respuesta],"Erroneo")</f>
        <v>0</v>
      </c>
      <c r="O35">
        <f>COUNTIFS(dataReaccion[Nivel],A35, dataReaccion[Intento],B35,dataReaccion[Respuesta],"Correcto",dataReaccion[Tipo],"Dormir")</f>
        <v>1</v>
      </c>
      <c r="P35">
        <f>COUNTIFS(dataReaccion[Nivel],A35, dataReaccion[Intento],B35,dataReaccion[Respuesta],"Erroneo",dataReaccion[Tipo],"Dormir")</f>
        <v>0</v>
      </c>
      <c r="Q35">
        <f>COUNTIFS(dataReaccion[Nivel],A35, dataReaccion[Intento],B35,dataReaccion[Respuesta],"Correcto",dataReaccion[Tipo],"Ubicacion")</f>
        <v>1</v>
      </c>
      <c r="R35">
        <f>COUNTIFS(dataReaccion[Nivel],A35, dataReaccion[Intento],B35,dataReaccion[Respuesta],"Erroneo",dataReaccion[Tipo],"Ubicacion")</f>
        <v>0</v>
      </c>
    </row>
    <row r="36" spans="1:18" x14ac:dyDescent="0.3">
      <c r="A36">
        <v>2</v>
      </c>
      <c r="B36">
        <v>16</v>
      </c>
      <c r="C36">
        <f>COUNTIFS(dataReaccion[Nivel],A36,dataReaccion[Intento],B36)</f>
        <v>6</v>
      </c>
      <c r="D36">
        <f>AVERAGEIFS(dataReaccion[Tiempo reaccion(s)],dataReaccion[Nivel],A36,dataReaccion[Intento],B36,dataReaccion[Tiempo reaccion(s)],"&lt;&gt;")</f>
        <v>2.2444000000000002</v>
      </c>
      <c r="E36" cm="1">
        <f t="array" ref="E36">_xlfn.STDEV.P(IF((dataReaccion[Nivel]=A36)*(dataReaccion[Intento]=B36)*(dataReaccion[Tiempo reaccion(s)]&gt;0),dataReaccion[Tiempo reaccion(s)]))</f>
        <v>0.71673275354207133</v>
      </c>
      <c r="F36">
        <f>COUNTIFS(dataReaccion[Nivel],A36,dataReaccion[Intento],B36,dataReaccion[Tipo],"Dormir")</f>
        <v>1</v>
      </c>
      <c r="G36">
        <f>AVERAGEIFS(dataReaccion[Tiempo reaccion(s)],dataReaccion[Nivel],A36,dataReaccion[Intento],B36,dataReaccion[Tiempo reaccion(s)],"&lt;&gt;", dataReaccion[Tipo],"Dormir")</f>
        <v>1.7190000000000001</v>
      </c>
      <c r="H36" cm="1">
        <f t="array" ref="H36">_xlfn.STDEV.P(IF((dataReaccion[Nivel]=A36)*(dataReaccion[Intento]=B36)*(dataReaccion[Tipo]="Dormir")*(dataReaccion[Tiempo reaccion(s)]&gt;0),dataReaccion[Tiempo reaccion(s)]))</f>
        <v>0</v>
      </c>
      <c r="I36">
        <f>COUNTIFS(dataReaccion[Nivel],A36,dataReaccion[Intento],B36,dataReaccion[Tipo],"Parada")</f>
        <v>4</v>
      </c>
      <c r="J36">
        <f>AVERAGEIFS(dataReaccion[Tiempo reaccion(s)],dataReaccion[Nivel],A36,dataReaccion[Intento],B36,dataReaccion[Tiempo reaccion(s)],"&lt;&gt;", dataReaccion[Tipo],"Parada")</f>
        <v>2.37575</v>
      </c>
      <c r="K36" cm="1">
        <f t="array" ref="K36">_xlfn.STDEV.P(IF((dataReaccion[Nivel]=A36)*(dataReaccion[Intento]=B36)*(dataReaccion[Tipo]="Parada")*(dataReaccion[Tiempo reaccion(s)]&gt;0),dataReaccion[Tiempo reaccion(s)]))</f>
        <v>0.74556568288783232</v>
      </c>
      <c r="L36">
        <f>COUNTIFS(dataReaccion[Nivel],A36,dataReaccion[Intento],B36,dataReaccion[Tipo],"Ubicacion")</f>
        <v>1</v>
      </c>
      <c r="M36">
        <f>COUNTIFS(dataReaccion[Nivel],A36, dataReaccion[Intento],B36,dataReaccion[Respuesta],"Correcto")</f>
        <v>2</v>
      </c>
      <c r="N36">
        <f>COUNTIFS(dataReaccion[Nivel],A36, dataReaccion[Intento],B36,dataReaccion[Respuesta],"Erroneo")</f>
        <v>0</v>
      </c>
      <c r="O36">
        <f>COUNTIFS(dataReaccion[Nivel],A36, dataReaccion[Intento],B36,dataReaccion[Respuesta],"Correcto",dataReaccion[Tipo],"Dormir")</f>
        <v>1</v>
      </c>
      <c r="P36">
        <f>COUNTIFS(dataReaccion[Nivel],A36, dataReaccion[Intento],B36,dataReaccion[Respuesta],"Erroneo",dataReaccion[Tipo],"Dormir")</f>
        <v>0</v>
      </c>
      <c r="Q36">
        <f>COUNTIFS(dataReaccion[Nivel],A36, dataReaccion[Intento],B36,dataReaccion[Respuesta],"Correcto",dataReaccion[Tipo],"Ubicacion")</f>
        <v>1</v>
      </c>
      <c r="R36">
        <f>COUNTIFS(dataReaccion[Nivel],A36, dataReaccion[Intento],B36,dataReaccion[Respuesta],"Erroneo",dataReaccion[Tipo],"Ubicacion")</f>
        <v>0</v>
      </c>
    </row>
    <row r="37" spans="1:18" x14ac:dyDescent="0.3">
      <c r="A37">
        <v>2</v>
      </c>
      <c r="B37">
        <v>17</v>
      </c>
      <c r="C37">
        <f>COUNTIFS(dataReaccion[Nivel],A37,dataReaccion[Intento],B37)</f>
        <v>0</v>
      </c>
      <c r="D37" t="e">
        <f>AVERAGEIFS(dataReaccion[Tiempo reaccion(s)],dataReaccion[Nivel],A37,dataReaccion[Intento],B37,dataReaccion[Tiempo reaccion(s)],"&lt;&gt;")</f>
        <v>#DIV/0!</v>
      </c>
      <c r="E37" t="e" cm="1">
        <f t="array" ref="E37">_xlfn.STDEV.P(IF((dataReaccion[Nivel]=A37)*(dataReaccion[Intento]=B37)*(dataReaccion[Tiempo reaccion(s)]&gt;0),dataReaccion[Tiempo reaccion(s)]))</f>
        <v>#DIV/0!</v>
      </c>
      <c r="F37">
        <f>COUNTIFS(dataReaccion[Nivel],A37,dataReaccion[Intento],B37,dataReaccion[Tipo],"Dormir")</f>
        <v>0</v>
      </c>
      <c r="G37" t="e">
        <f>AVERAGEIFS(dataReaccion[Tiempo reaccion(s)],dataReaccion[Nivel],A37,dataReaccion[Intento],B37,dataReaccion[Tiempo reaccion(s)],"&lt;&gt;", dataReaccion[Tipo],"Dormir")</f>
        <v>#DIV/0!</v>
      </c>
      <c r="H37" t="e" cm="1">
        <f t="array" ref="H37">_xlfn.STDEV.P(IF((dataReaccion[Nivel]=A37)*(dataReaccion[Intento]=B37)*(dataReaccion[Tipo]="Dormir")*(dataReaccion[Tiempo reaccion(s)]&gt;0),dataReaccion[Tiempo reaccion(s)]))</f>
        <v>#DIV/0!</v>
      </c>
      <c r="I37">
        <f>COUNTIFS(dataReaccion[Nivel],A37,dataReaccion[Intento],B37,dataReaccion[Tipo],"Parada")</f>
        <v>0</v>
      </c>
      <c r="J37" t="e">
        <f>AVERAGEIFS(dataReaccion[Tiempo reaccion(s)],dataReaccion[Nivel],A37,dataReaccion[Intento],B37,dataReaccion[Tiempo reaccion(s)],"&lt;&gt;", dataReaccion[Tipo],"Parada")</f>
        <v>#DIV/0!</v>
      </c>
      <c r="K37" t="e" cm="1">
        <f t="array" ref="K37">_xlfn.STDEV.P(IF((dataReaccion[Nivel]=A37)*(dataReaccion[Intento]=B37)*(dataReaccion[Tipo]="Parada")*(dataReaccion[Tiempo reaccion(s)]&gt;0),dataReaccion[Tiempo reaccion(s)]))</f>
        <v>#DIV/0!</v>
      </c>
      <c r="L37">
        <f>COUNTIFS(dataReaccion[Nivel],A37,dataReaccion[Intento],B37,dataReaccion[Tipo],"Ubicacion")</f>
        <v>0</v>
      </c>
      <c r="M37">
        <f>COUNTIFS(dataReaccion[Nivel],A37, dataReaccion[Intento],B37,dataReaccion[Respuesta],"Correcto")</f>
        <v>0</v>
      </c>
      <c r="N37">
        <f>COUNTIFS(dataReaccion[Nivel],A37, dataReaccion[Intento],B37,dataReaccion[Respuesta],"Erroneo")</f>
        <v>0</v>
      </c>
      <c r="O37">
        <f>COUNTIFS(dataReaccion[Nivel],A37, dataReaccion[Intento],B37,dataReaccion[Respuesta],"Correcto",dataReaccion[Tipo],"Dormir")</f>
        <v>0</v>
      </c>
      <c r="P37">
        <f>COUNTIFS(dataReaccion[Nivel],A37, dataReaccion[Intento],B37,dataReaccion[Respuesta],"Erroneo",dataReaccion[Tipo],"Dormir")</f>
        <v>0</v>
      </c>
      <c r="Q37">
        <f>COUNTIFS(dataReaccion[Nivel],A37, dataReaccion[Intento],B37,dataReaccion[Respuesta],"Correcto",dataReaccion[Tipo],"Ubicacion")</f>
        <v>0</v>
      </c>
      <c r="R37">
        <f>COUNTIFS(dataReaccion[Nivel],A37, dataReaccion[Intento],B37,dataReaccion[Respuesta],"Erroneo",dataReaccion[Tipo],"Ubicacion")</f>
        <v>0</v>
      </c>
    </row>
    <row r="38" spans="1:18" x14ac:dyDescent="0.3">
      <c r="A38">
        <v>2</v>
      </c>
      <c r="B38">
        <v>18</v>
      </c>
      <c r="C38">
        <f>COUNTIFS(dataReaccion[Nivel],A38,dataReaccion[Intento],B38)</f>
        <v>1</v>
      </c>
      <c r="D38" t="e">
        <f>AVERAGEIFS(dataReaccion[Tiempo reaccion(s)],dataReaccion[Nivel],A38,dataReaccion[Intento],B38,dataReaccion[Tiempo reaccion(s)],"&lt;&gt;")</f>
        <v>#DIV/0!</v>
      </c>
      <c r="E38" t="e" cm="1">
        <f t="array" ref="E38">_xlfn.STDEV.P(IF((dataReaccion[Nivel]=A38)*(dataReaccion[Intento]=B38)*(dataReaccion[Tiempo reaccion(s)]&gt;0),dataReaccion[Tiempo reaccion(s)]))</f>
        <v>#DIV/0!</v>
      </c>
      <c r="F38">
        <f>COUNTIFS(dataReaccion[Nivel],A38,dataReaccion[Intento],B38,dataReaccion[Tipo],"Dormir")</f>
        <v>0</v>
      </c>
      <c r="G38" t="e">
        <f>AVERAGEIFS(dataReaccion[Tiempo reaccion(s)],dataReaccion[Nivel],A38,dataReaccion[Intento],B38,dataReaccion[Tiempo reaccion(s)],"&lt;&gt;", dataReaccion[Tipo],"Dormir")</f>
        <v>#DIV/0!</v>
      </c>
      <c r="H38" t="e" cm="1">
        <f t="array" ref="H38">_xlfn.STDEV.P(IF((dataReaccion[Nivel]=A38)*(dataReaccion[Intento]=B38)*(dataReaccion[Tipo]="Dormir")*(dataReaccion[Tiempo reaccion(s)]&gt;0),dataReaccion[Tiempo reaccion(s)]))</f>
        <v>#DIV/0!</v>
      </c>
      <c r="I38">
        <f>COUNTIFS(dataReaccion[Nivel],A38,dataReaccion[Intento],B38,dataReaccion[Tipo],"Parada")</f>
        <v>1</v>
      </c>
      <c r="J38" t="e">
        <f>AVERAGEIFS(dataReaccion[Tiempo reaccion(s)],dataReaccion[Nivel],A38,dataReaccion[Intento],B38,dataReaccion[Tiempo reaccion(s)],"&lt;&gt;", dataReaccion[Tipo],"Parada")</f>
        <v>#DIV/0!</v>
      </c>
      <c r="K38" t="e" cm="1">
        <f t="array" ref="K38">_xlfn.STDEV.P(IF((dataReaccion[Nivel]=A38)*(dataReaccion[Intento]=B38)*(dataReaccion[Tipo]="Parada")*(dataReaccion[Tiempo reaccion(s)]&gt;0),dataReaccion[Tiempo reaccion(s)]))</f>
        <v>#DIV/0!</v>
      </c>
      <c r="L38">
        <f>COUNTIFS(dataReaccion[Nivel],A38,dataReaccion[Intento],B38,dataReaccion[Tipo],"Ubicacion")</f>
        <v>0</v>
      </c>
      <c r="M38">
        <f>COUNTIFS(dataReaccion[Nivel],A38, dataReaccion[Intento],B38,dataReaccion[Respuesta],"Correcto")</f>
        <v>0</v>
      </c>
      <c r="N38">
        <f>COUNTIFS(dataReaccion[Nivel],A38, dataReaccion[Intento],B38,dataReaccion[Respuesta],"Erroneo")</f>
        <v>1</v>
      </c>
      <c r="O38">
        <f>COUNTIFS(dataReaccion[Nivel],A38, dataReaccion[Intento],B38,dataReaccion[Respuesta],"Correcto",dataReaccion[Tipo],"Dormir")</f>
        <v>0</v>
      </c>
      <c r="P38">
        <f>COUNTIFS(dataReaccion[Nivel],A38, dataReaccion[Intento],B38,dataReaccion[Respuesta],"Erroneo",dataReaccion[Tipo],"Dormir")</f>
        <v>0</v>
      </c>
      <c r="Q38">
        <f>COUNTIFS(dataReaccion[Nivel],A38, dataReaccion[Intento],B38,dataReaccion[Respuesta],"Correcto",dataReaccion[Tipo],"Ubicacion")</f>
        <v>0</v>
      </c>
      <c r="R38">
        <f>COUNTIFS(dataReaccion[Nivel],A38, dataReaccion[Intento],B38,dataReaccion[Respuesta],"Erroneo",dataReaccion[Tipo],"Ubicacion")</f>
        <v>0</v>
      </c>
    </row>
    <row r="39" spans="1:18" x14ac:dyDescent="0.3">
      <c r="A39">
        <v>2</v>
      </c>
      <c r="B39">
        <v>19</v>
      </c>
      <c r="C39">
        <f>COUNTIFS(dataReaccion[Nivel],A39,dataReaccion[Intento],B39)</f>
        <v>5</v>
      </c>
      <c r="D39">
        <f>AVERAGEIFS(dataReaccion[Tiempo reaccion(s)],dataReaccion[Nivel],A39,dataReaccion[Intento],B39,dataReaccion[Tiempo reaccion(s)],"&lt;&gt;")</f>
        <v>2.9935</v>
      </c>
      <c r="E39" cm="1">
        <f t="array" ref="E39">_xlfn.STDEV.P(IF((dataReaccion[Nivel]=A39)*(dataReaccion[Intento]=B39)*(dataReaccion[Tiempo reaccion(s)]&gt;0),dataReaccion[Tiempo reaccion(s)]))</f>
        <v>1.2011222876959695</v>
      </c>
      <c r="F39">
        <f>COUNTIFS(dataReaccion[Nivel],A39,dataReaccion[Intento],B39,dataReaccion[Tipo],"Dormir")</f>
        <v>1</v>
      </c>
      <c r="G39">
        <f>AVERAGEIFS(dataReaccion[Tiempo reaccion(s)],dataReaccion[Nivel],A39,dataReaccion[Intento],B39,dataReaccion[Tiempo reaccion(s)],"&lt;&gt;", dataReaccion[Tipo],"Dormir")</f>
        <v>2.468</v>
      </c>
      <c r="H39" cm="1">
        <f t="array" ref="H39">_xlfn.STDEV.P(IF((dataReaccion[Nivel]=A39)*(dataReaccion[Intento]=B39)*(dataReaccion[Tipo]="Dormir")*(dataReaccion[Tiempo reaccion(s)]&gt;0),dataReaccion[Tiempo reaccion(s)]))</f>
        <v>0</v>
      </c>
      <c r="I39">
        <f>COUNTIFS(dataReaccion[Nivel],A39,dataReaccion[Intento],B39,dataReaccion[Tipo],"Parada")</f>
        <v>3</v>
      </c>
      <c r="J39">
        <f>AVERAGEIFS(dataReaccion[Tiempo reaccion(s)],dataReaccion[Nivel],A39,dataReaccion[Intento],B39,dataReaccion[Tiempo reaccion(s)],"&lt;&gt;", dataReaccion[Tipo],"Parada")</f>
        <v>3.1686666666666667</v>
      </c>
      <c r="K39" cm="1">
        <f t="array" ref="K39">_xlfn.STDEV.P(IF((dataReaccion[Nivel]=A39)*(dataReaccion[Intento]=B39)*(dataReaccion[Tipo]="Parada")*(dataReaccion[Tiempo reaccion(s)]&gt;0),dataReaccion[Tiempo reaccion(s)]))</f>
        <v>1.3419610857083588</v>
      </c>
      <c r="L39">
        <f>COUNTIFS(dataReaccion[Nivel],A39,dataReaccion[Intento],B39,dataReaccion[Tipo],"Ubicacion")</f>
        <v>1</v>
      </c>
      <c r="M39">
        <f>COUNTIFS(dataReaccion[Nivel],A39, dataReaccion[Intento],B39,dataReaccion[Respuesta],"Correcto")</f>
        <v>1</v>
      </c>
      <c r="N39">
        <f>COUNTIFS(dataReaccion[Nivel],A39, dataReaccion[Intento],B39,dataReaccion[Respuesta],"Erroneo")</f>
        <v>1</v>
      </c>
      <c r="O39">
        <f>COUNTIFS(dataReaccion[Nivel],A39, dataReaccion[Intento],B39,dataReaccion[Respuesta],"Correcto",dataReaccion[Tipo],"Dormir")</f>
        <v>1</v>
      </c>
      <c r="P39">
        <f>COUNTIFS(dataReaccion[Nivel],A39, dataReaccion[Intento],B39,dataReaccion[Respuesta],"Erroneo",dataReaccion[Tipo],"Dormir")</f>
        <v>0</v>
      </c>
      <c r="Q39">
        <f>COUNTIFS(dataReaccion[Nivel],A39, dataReaccion[Intento],B39,dataReaccion[Respuesta],"Correcto",dataReaccion[Tipo],"Ubicacion")</f>
        <v>0</v>
      </c>
      <c r="R39">
        <f>COUNTIFS(dataReaccion[Nivel],A39, dataReaccion[Intento],B39,dataReaccion[Respuesta],"Erroneo",dataReaccion[Tipo],"Ubicacion")</f>
        <v>1</v>
      </c>
    </row>
    <row r="40" spans="1:18" x14ac:dyDescent="0.3">
      <c r="A40">
        <v>2</v>
      </c>
      <c r="B40">
        <v>20</v>
      </c>
      <c r="C40">
        <f>COUNTIFS(dataReaccion[Nivel],A40,dataReaccion[Intento],B40)</f>
        <v>6</v>
      </c>
      <c r="D40">
        <f>AVERAGEIFS(dataReaccion[Tiempo reaccion(s)],dataReaccion[Nivel],A40,dataReaccion[Intento],B40,dataReaccion[Tiempo reaccion(s)],"&lt;&gt;")</f>
        <v>2.1908000000000003</v>
      </c>
      <c r="E40" cm="1">
        <f t="array" ref="E40">_xlfn.STDEV.P(IF((dataReaccion[Nivel]=A40)*(dataReaccion[Intento]=B40)*(dataReaccion[Tiempo reaccion(s)]&gt;0),dataReaccion[Tiempo reaccion(s)]))</f>
        <v>0.86349577879686223</v>
      </c>
      <c r="F40">
        <f>COUNTIFS(dataReaccion[Nivel],A40,dataReaccion[Intento],B40,dataReaccion[Tipo],"Dormir")</f>
        <v>1</v>
      </c>
      <c r="G40">
        <f>AVERAGEIFS(dataReaccion[Tiempo reaccion(s)],dataReaccion[Nivel],A40,dataReaccion[Intento],B40,dataReaccion[Tiempo reaccion(s)],"&lt;&gt;", dataReaccion[Tipo],"Dormir")</f>
        <v>1.784</v>
      </c>
      <c r="H40" cm="1">
        <f t="array" ref="H40">_xlfn.STDEV.P(IF((dataReaccion[Nivel]=A40)*(dataReaccion[Intento]=B40)*(dataReaccion[Tipo]="Dormir")*(dataReaccion[Tiempo reaccion(s)]&gt;0),dataReaccion[Tiempo reaccion(s)]))</f>
        <v>0</v>
      </c>
      <c r="I40">
        <f>COUNTIFS(dataReaccion[Nivel],A40,dataReaccion[Intento],B40,dataReaccion[Tipo],"Parada")</f>
        <v>4</v>
      </c>
      <c r="J40">
        <f>AVERAGEIFS(dataReaccion[Tiempo reaccion(s)],dataReaccion[Nivel],A40,dataReaccion[Intento],B40,dataReaccion[Tiempo reaccion(s)],"&lt;&gt;", dataReaccion[Tipo],"Parada")</f>
        <v>2.2925</v>
      </c>
      <c r="K40" cm="1">
        <f t="array" ref="K40">_xlfn.STDEV.P(IF((dataReaccion[Nivel]=A40)*(dataReaccion[Intento]=B40)*(dataReaccion[Tipo]="Parada")*(dataReaccion[Tiempo reaccion(s)]&gt;0),dataReaccion[Tiempo reaccion(s)]))</f>
        <v>0.93825196509253284</v>
      </c>
      <c r="L40">
        <f>COUNTIFS(dataReaccion[Nivel],A40,dataReaccion[Intento],B40,dataReaccion[Tipo],"Ubicacion")</f>
        <v>1</v>
      </c>
      <c r="M40">
        <f>COUNTIFS(dataReaccion[Nivel],A40, dataReaccion[Intento],B40,dataReaccion[Respuesta],"Correcto")</f>
        <v>2</v>
      </c>
      <c r="N40">
        <f>COUNTIFS(dataReaccion[Nivel],A40, dataReaccion[Intento],B40,dataReaccion[Respuesta],"Erroneo")</f>
        <v>0</v>
      </c>
      <c r="O40">
        <f>COUNTIFS(dataReaccion[Nivel],A40, dataReaccion[Intento],B40,dataReaccion[Respuesta],"Correcto",dataReaccion[Tipo],"Dormir")</f>
        <v>1</v>
      </c>
      <c r="P40">
        <f>COUNTIFS(dataReaccion[Nivel],A40, dataReaccion[Intento],B40,dataReaccion[Respuesta],"Erroneo",dataReaccion[Tipo],"Dormir")</f>
        <v>0</v>
      </c>
      <c r="Q40">
        <f>COUNTIFS(dataReaccion[Nivel],A40, dataReaccion[Intento],B40,dataReaccion[Respuesta],"Correcto",dataReaccion[Tipo],"Ubicacion")</f>
        <v>1</v>
      </c>
      <c r="R40">
        <f>COUNTIFS(dataReaccion[Nivel],A40, dataReaccion[Intento],B40,dataReaccion[Respuesta],"Erroneo",dataReaccion[Tipo],"Ubicacion")</f>
        <v>0</v>
      </c>
    </row>
    <row r="41" spans="1:18" x14ac:dyDescent="0.3">
      <c r="A41">
        <v>2</v>
      </c>
      <c r="B41">
        <v>21</v>
      </c>
      <c r="C41">
        <f>COUNTIFS(dataReaccion[Nivel],A41,dataReaccion[Intento],B41)</f>
        <v>5</v>
      </c>
      <c r="D41">
        <f>AVERAGEIFS(dataReaccion[Tiempo reaccion(s)],dataReaccion[Nivel],A41,dataReaccion[Intento],B41,dataReaccion[Tiempo reaccion(s)],"&lt;&gt;")</f>
        <v>2.2719999999999998</v>
      </c>
      <c r="E41" cm="1">
        <f t="array" ref="E41">_xlfn.STDEV.P(IF((dataReaccion[Nivel]=A41)*(dataReaccion[Intento]=B41)*(dataReaccion[Tiempo reaccion(s)]&gt;0),dataReaccion[Tiempo reaccion(s)]))</f>
        <v>0.34260983640286874</v>
      </c>
      <c r="F41">
        <f>COUNTIFS(dataReaccion[Nivel],A41,dataReaccion[Intento],B41,dataReaccion[Tipo],"Dormir")</f>
        <v>1</v>
      </c>
      <c r="G41">
        <f>AVERAGEIFS(dataReaccion[Tiempo reaccion(s)],dataReaccion[Nivel],A41,dataReaccion[Intento],B41,dataReaccion[Tiempo reaccion(s)],"&lt;&gt;", dataReaccion[Tipo],"Dormir")</f>
        <v>2.5009999999999999</v>
      </c>
      <c r="H41" cm="1">
        <f t="array" ref="H41">_xlfn.STDEV.P(IF((dataReaccion[Nivel]=A41)*(dataReaccion[Intento]=B41)*(dataReaccion[Tipo]="Dormir")*(dataReaccion[Tiempo reaccion(s)]&gt;0),dataReaccion[Tiempo reaccion(s)]))</f>
        <v>0</v>
      </c>
      <c r="I41">
        <f>COUNTIFS(dataReaccion[Nivel],A41,dataReaccion[Intento],B41,dataReaccion[Tipo],"Parada")</f>
        <v>4</v>
      </c>
      <c r="J41">
        <f>AVERAGEIFS(dataReaccion[Tiempo reaccion(s)],dataReaccion[Nivel],A41,dataReaccion[Intento],B41,dataReaccion[Tiempo reaccion(s)],"&lt;&gt;", dataReaccion[Tipo],"Parada")</f>
        <v>2.1956666666666664</v>
      </c>
      <c r="K41" cm="1">
        <f t="array" ref="K41">_xlfn.STDEV.P(IF((dataReaccion[Nivel]=A41)*(dataReaccion[Intento]=B41)*(dataReaccion[Tipo]="Parada")*(dataReaccion[Tiempo reaccion(s)]&gt;0),dataReaccion[Tiempo reaccion(s)]))</f>
        <v>0.36496788290965576</v>
      </c>
      <c r="L41">
        <f>COUNTIFS(dataReaccion[Nivel],A41,dataReaccion[Intento],B41,dataReaccion[Tipo],"Ubicacion")</f>
        <v>0</v>
      </c>
      <c r="M41">
        <f>COUNTIFS(dataReaccion[Nivel],A41, dataReaccion[Intento],B41,dataReaccion[Respuesta],"Correcto")</f>
        <v>1</v>
      </c>
      <c r="N41">
        <f>COUNTIFS(dataReaccion[Nivel],A41, dataReaccion[Intento],B41,dataReaccion[Respuesta],"Erroneo")</f>
        <v>1</v>
      </c>
      <c r="O41">
        <f>COUNTIFS(dataReaccion[Nivel],A41, dataReaccion[Intento],B41,dataReaccion[Respuesta],"Correcto",dataReaccion[Tipo],"Dormir")</f>
        <v>1</v>
      </c>
      <c r="P41">
        <f>COUNTIFS(dataReaccion[Nivel],A41, dataReaccion[Intento],B41,dataReaccion[Respuesta],"Erroneo",dataReaccion[Tipo],"Dormir")</f>
        <v>0</v>
      </c>
      <c r="Q41">
        <f>COUNTIFS(dataReaccion[Nivel],A41, dataReaccion[Intento],B41,dataReaccion[Respuesta],"Correcto",dataReaccion[Tipo],"Ubicacion")</f>
        <v>0</v>
      </c>
      <c r="R41">
        <f>COUNTIFS(dataReaccion[Nivel],A41, dataReaccion[Intento],B41,dataReaccion[Respuesta],"Erroneo",dataReaccion[Tipo],"Ubicacion")</f>
        <v>0</v>
      </c>
    </row>
    <row r="42" spans="1:18" x14ac:dyDescent="0.3">
      <c r="A42">
        <v>3</v>
      </c>
      <c r="B42">
        <v>1</v>
      </c>
      <c r="C42">
        <f>COUNTIFS(dataReaccion[Nivel],A42,dataReaccion[Intento],B42)</f>
        <v>287</v>
      </c>
      <c r="D42">
        <f>AVERAGEIFS(dataReaccion[Tiempo reaccion(s)],dataReaccion[Nivel],A42,dataReaccion[Intento],B42,dataReaccion[Tiempo reaccion(s)],"&lt;&gt;")</f>
        <v>2.4567033492822969</v>
      </c>
      <c r="E42" cm="1">
        <f t="array" ref="E42">_xlfn.STDEV.P(IF((dataReaccion[Nivel]=A42)*(dataReaccion[Intento]=B42)*(dataReaccion[Tiempo reaccion(s)]&gt;0),dataReaccion[Tiempo reaccion(s)]))</f>
        <v>1.4490748931541275</v>
      </c>
      <c r="F42">
        <f>COUNTIFS(dataReaccion[Nivel],A42,dataReaccion[Intento],B42,dataReaccion[Tipo],"Dormir")</f>
        <v>69</v>
      </c>
      <c r="G42">
        <f>AVERAGEIFS(dataReaccion[Tiempo reaccion(s)],dataReaccion[Nivel],A42,dataReaccion[Intento],B42,dataReaccion[Tiempo reaccion(s)],"&lt;&gt;", dataReaccion[Tipo],"Dormir")</f>
        <v>2.3101940298507468</v>
      </c>
      <c r="H42" cm="1">
        <f t="array" ref="H42">_xlfn.STDEV.P(IF((dataReaccion[Nivel]=A42)*(dataReaccion[Intento]=B42)*(dataReaccion[Tipo]="Dormir")*(dataReaccion[Tiempo reaccion(s)]&gt;0),dataReaccion[Tiempo reaccion(s)]))</f>
        <v>1.5367091145206759</v>
      </c>
      <c r="I42">
        <f>COUNTIFS(dataReaccion[Nivel],A42,dataReaccion[Intento],B42,dataReaccion[Tipo],"Parada")</f>
        <v>142</v>
      </c>
      <c r="J42">
        <f>AVERAGEIFS(dataReaccion[Tiempo reaccion(s)],dataReaccion[Nivel],A42,dataReaccion[Intento],B42,dataReaccion[Tiempo reaccion(s)],"&lt;&gt;", dataReaccion[Tipo],"Parada")</f>
        <v>2.5258309859154928</v>
      </c>
      <c r="K42" cm="1">
        <f t="array" ref="K42">_xlfn.STDEV.P(IF((dataReaccion[Nivel]=A42)*(dataReaccion[Intento]=B42)*(dataReaccion[Tipo]="Parada")*(dataReaccion[Tiempo reaccion(s)]&gt;0),dataReaccion[Tiempo reaccion(s)]))</f>
        <v>1.4005191038206619</v>
      </c>
      <c r="L42">
        <f>COUNTIFS(dataReaccion[Nivel],A42,dataReaccion[Intento],B42,dataReaccion[Tipo],"Ubicacion")</f>
        <v>76</v>
      </c>
      <c r="M42">
        <f>COUNTIFS(dataReaccion[Nivel],A42, dataReaccion[Intento],B42,dataReaccion[Respuesta],"Correcto")</f>
        <v>117</v>
      </c>
      <c r="N42">
        <f>COUNTIFS(dataReaccion[Nivel],A42, dataReaccion[Intento],B42,dataReaccion[Respuesta],"Erroneo")</f>
        <v>28</v>
      </c>
      <c r="O42">
        <f>COUNTIFS(dataReaccion[Nivel],A42, dataReaccion[Intento],B42,dataReaccion[Respuesta],"Correcto",dataReaccion[Tipo],"Dormir")</f>
        <v>66</v>
      </c>
      <c r="P42">
        <f>COUNTIFS(dataReaccion[Nivel],A42, dataReaccion[Intento],B42,dataReaccion[Respuesta],"Erroneo",dataReaccion[Tipo],"Dormir")</f>
        <v>3</v>
      </c>
      <c r="Q42">
        <f>COUNTIFS(dataReaccion[Nivel],A42, dataReaccion[Intento],B42,dataReaccion[Respuesta],"Correcto",dataReaccion[Tipo],"Ubicacion")</f>
        <v>51</v>
      </c>
      <c r="R42">
        <f>COUNTIFS(dataReaccion[Nivel],A42, dataReaccion[Intento],B42,dataReaccion[Respuesta],"Erroneo",dataReaccion[Tipo],"Ubicacion")</f>
        <v>25</v>
      </c>
    </row>
    <row r="43" spans="1:18" x14ac:dyDescent="0.3">
      <c r="A43">
        <v>3</v>
      </c>
      <c r="B43">
        <v>2</v>
      </c>
      <c r="C43">
        <f>COUNTIFS(dataReaccion[Nivel],A43,dataReaccion[Intento],B43)</f>
        <v>218</v>
      </c>
      <c r="D43">
        <f>AVERAGEIFS(dataReaccion[Tiempo reaccion(s)],dataReaccion[Nivel],A43,dataReaccion[Intento],B43,dataReaccion[Tiempo reaccion(s)],"&lt;&gt;")</f>
        <v>2.1558873239436616</v>
      </c>
      <c r="E43" cm="1">
        <f t="array" ref="E43">_xlfn.STDEV.P(IF((dataReaccion[Nivel]=A43)*(dataReaccion[Intento]=B43)*(dataReaccion[Tiempo reaccion(s)]&gt;0),dataReaccion[Tiempo reaccion(s)]))</f>
        <v>1.3175602992780586</v>
      </c>
      <c r="F43">
        <f>COUNTIFS(dataReaccion[Nivel],A43,dataReaccion[Intento],B43,dataReaccion[Tipo],"Dormir")</f>
        <v>49</v>
      </c>
      <c r="G43">
        <f>AVERAGEIFS(dataReaccion[Tiempo reaccion(s)],dataReaccion[Nivel],A43,dataReaccion[Intento],B43,dataReaccion[Tiempo reaccion(s)],"&lt;&gt;", dataReaccion[Tipo],"Dormir")</f>
        <v>1.9192857142857147</v>
      </c>
      <c r="H43" cm="1">
        <f t="array" ref="H43">_xlfn.STDEV.P(IF((dataReaccion[Nivel]=A43)*(dataReaccion[Intento]=B43)*(dataReaccion[Tipo]="Dormir")*(dataReaccion[Tiempo reaccion(s)]&gt;0),dataReaccion[Tiempo reaccion(s)]))</f>
        <v>1.1557551820417362</v>
      </c>
      <c r="I43">
        <f>COUNTIFS(dataReaccion[Nivel],A43,dataReaccion[Intento],B43,dataReaccion[Tipo],"Parada")</f>
        <v>94</v>
      </c>
      <c r="J43">
        <f>AVERAGEIFS(dataReaccion[Tiempo reaccion(s)],dataReaccion[Nivel],A43,dataReaccion[Intento],B43,dataReaccion[Tiempo reaccion(s)],"&lt;&gt;", dataReaccion[Tipo],"Parada")</f>
        <v>2.2805483870967738</v>
      </c>
      <c r="K43" cm="1">
        <f t="array" ref="K43">_xlfn.STDEV.P(IF((dataReaccion[Nivel]=A43)*(dataReaccion[Intento]=B43)*(dataReaccion[Tipo]="Parada")*(dataReaccion[Tiempo reaccion(s)]&gt;0),dataReaccion[Tiempo reaccion(s)]))</f>
        <v>1.3790522966537577</v>
      </c>
      <c r="L43">
        <f>COUNTIFS(dataReaccion[Nivel],A43,dataReaccion[Intento],B43,dataReaccion[Tipo],"Ubicacion")</f>
        <v>75</v>
      </c>
      <c r="M43">
        <f>COUNTIFS(dataReaccion[Nivel],A43, dataReaccion[Intento],B43,dataReaccion[Respuesta],"Correcto")</f>
        <v>106</v>
      </c>
      <c r="N43">
        <f>COUNTIFS(dataReaccion[Nivel],A43, dataReaccion[Intento],B43,dataReaccion[Respuesta],"Erroneo")</f>
        <v>19</v>
      </c>
      <c r="O43">
        <f>COUNTIFS(dataReaccion[Nivel],A43, dataReaccion[Intento],B43,dataReaccion[Respuesta],"Correcto",dataReaccion[Tipo],"Dormir")</f>
        <v>49</v>
      </c>
      <c r="P43">
        <f>COUNTIFS(dataReaccion[Nivel],A43, dataReaccion[Intento],B43,dataReaccion[Respuesta],"Erroneo",dataReaccion[Tipo],"Dormir")</f>
        <v>0</v>
      </c>
      <c r="Q43">
        <f>COUNTIFS(dataReaccion[Nivel],A43, dataReaccion[Intento],B43,dataReaccion[Respuesta],"Correcto",dataReaccion[Tipo],"Ubicacion")</f>
        <v>57</v>
      </c>
      <c r="R43">
        <f>COUNTIFS(dataReaccion[Nivel],A43, dataReaccion[Intento],B43,dataReaccion[Respuesta],"Erroneo",dataReaccion[Tipo],"Ubicacion")</f>
        <v>18</v>
      </c>
    </row>
    <row r="44" spans="1:18" x14ac:dyDescent="0.3">
      <c r="A44">
        <v>3</v>
      </c>
      <c r="B44">
        <v>3</v>
      </c>
      <c r="C44">
        <f>COUNTIFS(dataReaccion[Nivel],A44,dataReaccion[Intento],B44)</f>
        <v>96</v>
      </c>
      <c r="D44">
        <f>AVERAGEIFS(dataReaccion[Tiempo reaccion(s)],dataReaccion[Nivel],A44,dataReaccion[Intento],B44,dataReaccion[Tiempo reaccion(s)],"&lt;&gt;")</f>
        <v>2.3882328767123289</v>
      </c>
      <c r="E44" cm="1">
        <f t="array" ref="E44">_xlfn.STDEV.P(IF((dataReaccion[Nivel]=A44)*(dataReaccion[Intento]=B44)*(dataReaccion[Tiempo reaccion(s)]&gt;0),dataReaccion[Tiempo reaccion(s)]))</f>
        <v>1.3091758624872072</v>
      </c>
      <c r="F44">
        <f>COUNTIFS(dataReaccion[Nivel],A44,dataReaccion[Intento],B44,dataReaccion[Tipo],"Dormir")</f>
        <v>22</v>
      </c>
      <c r="G44">
        <f>AVERAGEIFS(dataReaccion[Tiempo reaccion(s)],dataReaccion[Nivel],A44,dataReaccion[Intento],B44,dataReaccion[Tiempo reaccion(s)],"&lt;&gt;", dataReaccion[Tipo],"Dormir")</f>
        <v>2.2275714285714288</v>
      </c>
      <c r="H44" cm="1">
        <f t="array" ref="H44">_xlfn.STDEV.P(IF((dataReaccion[Nivel]=A44)*(dataReaccion[Intento]=B44)*(dataReaccion[Tipo]="Dormir")*(dataReaccion[Tiempo reaccion(s)]&gt;0),dataReaccion[Tiempo reaccion(s)]))</f>
        <v>1.5221060776321162</v>
      </c>
      <c r="I44">
        <f>COUNTIFS(dataReaccion[Nivel],A44,dataReaccion[Intento],B44,dataReaccion[Tipo],"Parada")</f>
        <v>53</v>
      </c>
      <c r="J44">
        <f>AVERAGEIFS(dataReaccion[Tiempo reaccion(s)],dataReaccion[Nivel],A44,dataReaccion[Intento],B44,dataReaccion[Tiempo reaccion(s)],"&lt;&gt;", dataReaccion[Tipo],"Parada")</f>
        <v>2.4531153846153844</v>
      </c>
      <c r="K44" cm="1">
        <f t="array" ref="K44">_xlfn.STDEV.P(IF((dataReaccion[Nivel]=A44)*(dataReaccion[Intento]=B44)*(dataReaccion[Tipo]="Parada")*(dataReaccion[Tiempo reaccion(s)]&gt;0),dataReaccion[Tiempo reaccion(s)]))</f>
        <v>1.2065830593017963</v>
      </c>
      <c r="L44">
        <f>COUNTIFS(dataReaccion[Nivel],A44,dataReaccion[Intento],B44,dataReaccion[Tipo],"Ubicacion")</f>
        <v>21</v>
      </c>
      <c r="M44">
        <f>COUNTIFS(dataReaccion[Nivel],A44, dataReaccion[Intento],B44,dataReaccion[Respuesta],"Correcto")</f>
        <v>35</v>
      </c>
      <c r="N44">
        <f>COUNTIFS(dataReaccion[Nivel],A44, dataReaccion[Intento],B44,dataReaccion[Respuesta],"Erroneo")</f>
        <v>9</v>
      </c>
      <c r="O44">
        <f>COUNTIFS(dataReaccion[Nivel],A44, dataReaccion[Intento],B44,dataReaccion[Respuesta],"Correcto",dataReaccion[Tipo],"Dormir")</f>
        <v>21</v>
      </c>
      <c r="P44">
        <f>COUNTIFS(dataReaccion[Nivel],A44, dataReaccion[Intento],B44,dataReaccion[Respuesta],"Erroneo",dataReaccion[Tipo],"Dormir")</f>
        <v>1</v>
      </c>
      <c r="Q44">
        <f>COUNTIFS(dataReaccion[Nivel],A44, dataReaccion[Intento],B44,dataReaccion[Respuesta],"Correcto",dataReaccion[Tipo],"Ubicacion")</f>
        <v>14</v>
      </c>
      <c r="R44">
        <f>COUNTIFS(dataReaccion[Nivel],A44, dataReaccion[Intento],B44,dataReaccion[Respuesta],"Erroneo",dataReaccion[Tipo],"Ubicacion")</f>
        <v>7</v>
      </c>
    </row>
    <row r="45" spans="1:18" x14ac:dyDescent="0.3">
      <c r="A45">
        <v>3</v>
      </c>
      <c r="B45">
        <v>4</v>
      </c>
      <c r="C45">
        <f>COUNTIFS(dataReaccion[Nivel],A45,dataReaccion[Intento],B45)</f>
        <v>81</v>
      </c>
      <c r="D45">
        <f>AVERAGEIFS(dataReaccion[Tiempo reaccion(s)],dataReaccion[Nivel],A45,dataReaccion[Intento],B45,dataReaccion[Tiempo reaccion(s)],"&lt;&gt;")</f>
        <v>2.2474150943396225</v>
      </c>
      <c r="E45" cm="1">
        <f t="array" ref="E45">_xlfn.STDEV.P(IF((dataReaccion[Nivel]=A45)*(dataReaccion[Intento]=B45)*(dataReaccion[Tiempo reaccion(s)]&gt;0),dataReaccion[Tiempo reaccion(s)]))</f>
        <v>1.0033309699415556</v>
      </c>
      <c r="F45">
        <f>COUNTIFS(dataReaccion[Nivel],A45,dataReaccion[Intento],B45,dataReaccion[Tipo],"Dormir")</f>
        <v>17</v>
      </c>
      <c r="G45">
        <f>AVERAGEIFS(dataReaccion[Tiempo reaccion(s)],dataReaccion[Nivel],A45,dataReaccion[Intento],B45,dataReaccion[Tiempo reaccion(s)],"&lt;&gt;", dataReaccion[Tipo],"Dormir")</f>
        <v>2.2655294117647062</v>
      </c>
      <c r="H45" cm="1">
        <f t="array" ref="H45">_xlfn.STDEV.P(IF((dataReaccion[Nivel]=A45)*(dataReaccion[Intento]=B45)*(dataReaccion[Tipo]="Dormir")*(dataReaccion[Tiempo reaccion(s)]&gt;0),dataReaccion[Tiempo reaccion(s)]))</f>
        <v>1.2523219430861015</v>
      </c>
      <c r="I45">
        <f>COUNTIFS(dataReaccion[Nivel],A45,dataReaccion[Intento],B45,dataReaccion[Tipo],"Parada")</f>
        <v>36</v>
      </c>
      <c r="J45">
        <f>AVERAGEIFS(dataReaccion[Tiempo reaccion(s)],dataReaccion[Nivel],A45,dataReaccion[Intento],B45,dataReaccion[Tiempo reaccion(s)],"&lt;&gt;", dataReaccion[Tipo],"Parada")</f>
        <v>2.2388611111111114</v>
      </c>
      <c r="K45" cm="1">
        <f t="array" ref="K45">_xlfn.STDEV.P(IF((dataReaccion[Nivel]=A45)*(dataReaccion[Intento]=B45)*(dataReaccion[Tipo]="Parada")*(dataReaccion[Tiempo reaccion(s)]&gt;0),dataReaccion[Tiempo reaccion(s)]))</f>
        <v>0.86094560909559592</v>
      </c>
      <c r="L45">
        <f>COUNTIFS(dataReaccion[Nivel],A45,dataReaccion[Intento],B45,dataReaccion[Tipo],"Ubicacion")</f>
        <v>28</v>
      </c>
      <c r="M45">
        <f>COUNTIFS(dataReaccion[Nivel],A45, dataReaccion[Intento],B45,dataReaccion[Respuesta],"Correcto")</f>
        <v>37</v>
      </c>
      <c r="N45">
        <f>COUNTIFS(dataReaccion[Nivel],A45, dataReaccion[Intento],B45,dataReaccion[Respuesta],"Erroneo")</f>
        <v>8</v>
      </c>
      <c r="O45">
        <f>COUNTIFS(dataReaccion[Nivel],A45, dataReaccion[Intento],B45,dataReaccion[Respuesta],"Correcto",dataReaccion[Tipo],"Dormir")</f>
        <v>17</v>
      </c>
      <c r="P45">
        <f>COUNTIFS(dataReaccion[Nivel],A45, dataReaccion[Intento],B45,dataReaccion[Respuesta],"Erroneo",dataReaccion[Tipo],"Dormir")</f>
        <v>0</v>
      </c>
      <c r="Q45">
        <f>COUNTIFS(dataReaccion[Nivel],A45, dataReaccion[Intento],B45,dataReaccion[Respuesta],"Correcto",dataReaccion[Tipo],"Ubicacion")</f>
        <v>20</v>
      </c>
      <c r="R45">
        <f>COUNTIFS(dataReaccion[Nivel],A45, dataReaccion[Intento],B45,dataReaccion[Respuesta],"Erroneo",dataReaccion[Tipo],"Ubicacion")</f>
        <v>8</v>
      </c>
    </row>
    <row r="46" spans="1:18" x14ac:dyDescent="0.3">
      <c r="A46">
        <v>3</v>
      </c>
      <c r="B46">
        <v>5</v>
      </c>
      <c r="C46">
        <f>COUNTIFS(dataReaccion[Nivel],A46,dataReaccion[Intento],B46)</f>
        <v>29</v>
      </c>
      <c r="D46">
        <f>AVERAGEIFS(dataReaccion[Tiempo reaccion(s)],dataReaccion[Nivel],A46,dataReaccion[Intento],B46,dataReaccion[Tiempo reaccion(s)],"&lt;&gt;")</f>
        <v>2.4707272727272724</v>
      </c>
      <c r="E46" cm="1">
        <f t="array" ref="E46">_xlfn.STDEV.P(IF((dataReaccion[Nivel]=A46)*(dataReaccion[Intento]=B46)*(dataReaccion[Tiempo reaccion(s)]&gt;0),dataReaccion[Tiempo reaccion(s)]))</f>
        <v>1.2647960734592822</v>
      </c>
      <c r="F46">
        <f>COUNTIFS(dataReaccion[Nivel],A46,dataReaccion[Intento],B46,dataReaccion[Tipo],"Dormir")</f>
        <v>6</v>
      </c>
      <c r="G46">
        <f>AVERAGEIFS(dataReaccion[Tiempo reaccion(s)],dataReaccion[Nivel],A46,dataReaccion[Intento],B46,dataReaccion[Tiempo reaccion(s)],"&lt;&gt;", dataReaccion[Tipo],"Dormir")</f>
        <v>1.9844999999999999</v>
      </c>
      <c r="H46" cm="1">
        <f t="array" ref="H46">_xlfn.STDEV.P(IF((dataReaccion[Nivel]=A46)*(dataReaccion[Intento]=B46)*(dataReaccion[Tipo]="Dormir")*(dataReaccion[Tiempo reaccion(s)]&gt;0),dataReaccion[Tiempo reaccion(s)]))</f>
        <v>0.78937543877000249</v>
      </c>
      <c r="I46">
        <f>COUNTIFS(dataReaccion[Nivel],A46,dataReaccion[Intento],B46,dataReaccion[Tipo],"Parada")</f>
        <v>16</v>
      </c>
      <c r="J46">
        <f>AVERAGEIFS(dataReaccion[Tiempo reaccion(s)],dataReaccion[Nivel],A46,dataReaccion[Intento],B46,dataReaccion[Tiempo reaccion(s)],"&lt;&gt;", dataReaccion[Tipo],"Parada")</f>
        <v>2.6530624999999999</v>
      </c>
      <c r="K46" cm="1">
        <f t="array" ref="K46">_xlfn.STDEV.P(IF((dataReaccion[Nivel]=A46)*(dataReaccion[Intento]=B46)*(dataReaccion[Tipo]="Parada")*(dataReaccion[Tiempo reaccion(s)]&gt;0),dataReaccion[Tiempo reaccion(s)]))</f>
        <v>1.3579506373921519</v>
      </c>
      <c r="L46">
        <f>COUNTIFS(dataReaccion[Nivel],A46,dataReaccion[Intento],B46,dataReaccion[Tipo],"Ubicacion")</f>
        <v>7</v>
      </c>
      <c r="M46">
        <f>COUNTIFS(dataReaccion[Nivel],A46, dataReaccion[Intento],B46,dataReaccion[Respuesta],"Correcto")</f>
        <v>12</v>
      </c>
      <c r="N46">
        <f>COUNTIFS(dataReaccion[Nivel],A46, dataReaccion[Intento],B46,dataReaccion[Respuesta],"Erroneo")</f>
        <v>1</v>
      </c>
      <c r="O46">
        <f>COUNTIFS(dataReaccion[Nivel],A46, dataReaccion[Intento],B46,dataReaccion[Respuesta],"Correcto",dataReaccion[Tipo],"Dormir")</f>
        <v>6</v>
      </c>
      <c r="P46">
        <f>COUNTIFS(dataReaccion[Nivel],A46, dataReaccion[Intento],B46,dataReaccion[Respuesta],"Erroneo",dataReaccion[Tipo],"Dormir")</f>
        <v>0</v>
      </c>
      <c r="Q46">
        <f>COUNTIFS(dataReaccion[Nivel],A46, dataReaccion[Intento],B46,dataReaccion[Respuesta],"Correcto",dataReaccion[Tipo],"Ubicacion")</f>
        <v>6</v>
      </c>
      <c r="R46">
        <f>COUNTIFS(dataReaccion[Nivel],A46, dataReaccion[Intento],B46,dataReaccion[Respuesta],"Erroneo",dataReaccion[Tipo],"Ubicacion")</f>
        <v>1</v>
      </c>
    </row>
    <row r="47" spans="1:18" x14ac:dyDescent="0.3">
      <c r="A47">
        <v>3</v>
      </c>
      <c r="B47">
        <v>6</v>
      </c>
      <c r="C47">
        <f>COUNTIFS(dataReaccion[Nivel],A47,dataReaccion[Intento],B47)</f>
        <v>43</v>
      </c>
      <c r="D47">
        <f>AVERAGEIFS(dataReaccion[Tiempo reaccion(s)],dataReaccion[Nivel],A47,dataReaccion[Intento],B47,dataReaccion[Tiempo reaccion(s)],"&lt;&gt;")</f>
        <v>2.1247142857142856</v>
      </c>
      <c r="E47" cm="1">
        <f t="array" ref="E47">_xlfn.STDEV.P(IF((dataReaccion[Nivel]=A47)*(dataReaccion[Intento]=B47)*(dataReaccion[Tiempo reaccion(s)]&gt;0),dataReaccion[Tiempo reaccion(s)]))</f>
        <v>1.0988173791185962</v>
      </c>
      <c r="F47">
        <f>COUNTIFS(dataReaccion[Nivel],A47,dataReaccion[Intento],B47,dataReaccion[Tipo],"Dormir")</f>
        <v>9</v>
      </c>
      <c r="G47">
        <f>AVERAGEIFS(dataReaccion[Tiempo reaccion(s)],dataReaccion[Nivel],A47,dataReaccion[Intento],B47,dataReaccion[Tiempo reaccion(s)],"&lt;&gt;", dataReaccion[Tipo],"Dormir")</f>
        <v>1.8342222222222222</v>
      </c>
      <c r="H47" cm="1">
        <f t="array" ref="H47">_xlfn.STDEV.P(IF((dataReaccion[Nivel]=A47)*(dataReaccion[Intento]=B47)*(dataReaccion[Tipo]="Dormir")*(dataReaccion[Tiempo reaccion(s)]&gt;0),dataReaccion[Tiempo reaccion(s)]))</f>
        <v>0.98721795159459025</v>
      </c>
      <c r="I47">
        <f>COUNTIFS(dataReaccion[Nivel],A47,dataReaccion[Intento],B47,dataReaccion[Tipo],"Parada")</f>
        <v>12</v>
      </c>
      <c r="J47">
        <f>AVERAGEIFS(dataReaccion[Tiempo reaccion(s)],dataReaccion[Nivel],A47,dataReaccion[Intento],B47,dataReaccion[Tiempo reaccion(s)],"&lt;&gt;", dataReaccion[Tipo],"Parada")</f>
        <v>2.3425833333333332</v>
      </c>
      <c r="K47" cm="1">
        <f t="array" ref="K47">_xlfn.STDEV.P(IF((dataReaccion[Nivel]=A47)*(dataReaccion[Intento]=B47)*(dataReaccion[Tipo]="Parada")*(dataReaccion[Tiempo reaccion(s)]&gt;0),dataReaccion[Tiempo reaccion(s)]))</f>
        <v>1.127494453669531</v>
      </c>
      <c r="L47">
        <f>COUNTIFS(dataReaccion[Nivel],A47,dataReaccion[Intento],B47,dataReaccion[Tipo],"Ubicacion")</f>
        <v>22</v>
      </c>
      <c r="M47">
        <f>COUNTIFS(dataReaccion[Nivel],A47, dataReaccion[Intento],B47,dataReaccion[Respuesta],"Correcto")</f>
        <v>24</v>
      </c>
      <c r="N47">
        <f>COUNTIFS(dataReaccion[Nivel],A47, dataReaccion[Intento],B47,dataReaccion[Respuesta],"Erroneo")</f>
        <v>7</v>
      </c>
      <c r="O47">
        <f>COUNTIFS(dataReaccion[Nivel],A47, dataReaccion[Intento],B47,dataReaccion[Respuesta],"Correcto",dataReaccion[Tipo],"Dormir")</f>
        <v>9</v>
      </c>
      <c r="P47">
        <f>COUNTIFS(dataReaccion[Nivel],A47, dataReaccion[Intento],B47,dataReaccion[Respuesta],"Erroneo",dataReaccion[Tipo],"Dormir")</f>
        <v>0</v>
      </c>
      <c r="Q47">
        <f>COUNTIFS(dataReaccion[Nivel],A47, dataReaccion[Intento],B47,dataReaccion[Respuesta],"Correcto",dataReaccion[Tipo],"Ubicacion")</f>
        <v>15</v>
      </c>
      <c r="R47">
        <f>COUNTIFS(dataReaccion[Nivel],A47, dataReaccion[Intento],B47,dataReaccion[Respuesta],"Erroneo",dataReaccion[Tipo],"Ubicacion")</f>
        <v>7</v>
      </c>
    </row>
    <row r="48" spans="1:18" x14ac:dyDescent="0.3">
      <c r="A48">
        <v>3</v>
      </c>
      <c r="B48">
        <v>7</v>
      </c>
      <c r="C48">
        <f>COUNTIFS(dataReaccion[Nivel],A48,dataReaccion[Intento],B48)</f>
        <v>17</v>
      </c>
      <c r="D48">
        <f>AVERAGEIFS(dataReaccion[Tiempo reaccion(s)],dataReaccion[Nivel],A48,dataReaccion[Intento],B48,dataReaccion[Tiempo reaccion(s)],"&lt;&gt;")</f>
        <v>2.1941538461538461</v>
      </c>
      <c r="E48" cm="1">
        <f t="array" ref="E48">_xlfn.STDEV.P(IF((dataReaccion[Nivel]=A48)*(dataReaccion[Intento]=B48)*(dataReaccion[Tiempo reaccion(s)]&gt;0),dataReaccion[Tiempo reaccion(s)]))</f>
        <v>1.3542711832826619</v>
      </c>
      <c r="F48">
        <f>COUNTIFS(dataReaccion[Nivel],A48,dataReaccion[Intento],B48,dataReaccion[Tipo],"Dormir")</f>
        <v>4</v>
      </c>
      <c r="G48">
        <f>AVERAGEIFS(dataReaccion[Tiempo reaccion(s)],dataReaccion[Nivel],A48,dataReaccion[Intento],B48,dataReaccion[Tiempo reaccion(s)],"&lt;&gt;", dataReaccion[Tipo],"Dormir")</f>
        <v>1.9515000000000002</v>
      </c>
      <c r="H48" cm="1">
        <f t="array" ref="H48">_xlfn.STDEV.P(IF((dataReaccion[Nivel]=A48)*(dataReaccion[Intento]=B48)*(dataReaccion[Tipo]="Dormir")*(dataReaccion[Tiempo reaccion(s)]&gt;0),dataReaccion[Tiempo reaccion(s)]))</f>
        <v>1.1769877866825975</v>
      </c>
      <c r="I48">
        <f>COUNTIFS(dataReaccion[Nivel],A48,dataReaccion[Intento],B48,dataReaccion[Tipo],"Parada")</f>
        <v>9</v>
      </c>
      <c r="J48">
        <f>AVERAGEIFS(dataReaccion[Tiempo reaccion(s)],dataReaccion[Nivel],A48,dataReaccion[Intento],B48,dataReaccion[Tiempo reaccion(s)],"&lt;&gt;", dataReaccion[Tipo],"Parada")</f>
        <v>2.3020000000000005</v>
      </c>
      <c r="K48" cm="1">
        <f t="array" ref="K48">_xlfn.STDEV.P(IF((dataReaccion[Nivel]=A48)*(dataReaccion[Intento]=B48)*(dataReaccion[Tipo]="Parada")*(dataReaccion[Tiempo reaccion(s)]&gt;0),dataReaccion[Tiempo reaccion(s)]))</f>
        <v>1.4126906557661116</v>
      </c>
      <c r="L48">
        <f>COUNTIFS(dataReaccion[Nivel],A48,dataReaccion[Intento],B48,dataReaccion[Tipo],"Ubicacion")</f>
        <v>4</v>
      </c>
      <c r="M48">
        <f>COUNTIFS(dataReaccion[Nivel],A48, dataReaccion[Intento],B48,dataReaccion[Respuesta],"Correcto")</f>
        <v>7</v>
      </c>
      <c r="N48">
        <f>COUNTIFS(dataReaccion[Nivel],A48, dataReaccion[Intento],B48,dataReaccion[Respuesta],"Erroneo")</f>
        <v>1</v>
      </c>
      <c r="O48">
        <f>COUNTIFS(dataReaccion[Nivel],A48, dataReaccion[Intento],B48,dataReaccion[Respuesta],"Correcto",dataReaccion[Tipo],"Dormir")</f>
        <v>4</v>
      </c>
      <c r="P48">
        <f>COUNTIFS(dataReaccion[Nivel],A48, dataReaccion[Intento],B48,dataReaccion[Respuesta],"Erroneo",dataReaccion[Tipo],"Dormir")</f>
        <v>0</v>
      </c>
      <c r="Q48">
        <f>COUNTIFS(dataReaccion[Nivel],A48, dataReaccion[Intento],B48,dataReaccion[Respuesta],"Correcto",dataReaccion[Tipo],"Ubicacion")</f>
        <v>3</v>
      </c>
      <c r="R48">
        <f>COUNTIFS(dataReaccion[Nivel],A48, dataReaccion[Intento],B48,dataReaccion[Respuesta],"Erroneo",dataReaccion[Tipo],"Ubicacion")</f>
        <v>1</v>
      </c>
    </row>
    <row r="49" spans="1:18" x14ac:dyDescent="0.3">
      <c r="A49">
        <v>3</v>
      </c>
      <c r="B49">
        <v>8</v>
      </c>
      <c r="C49">
        <f>COUNTIFS(dataReaccion[Nivel],A49,dataReaccion[Intento],B49)</f>
        <v>1</v>
      </c>
      <c r="D49">
        <f>AVERAGEIFS(dataReaccion[Tiempo reaccion(s)],dataReaccion[Nivel],A49,dataReaccion[Intento],B49,dataReaccion[Tiempo reaccion(s)],"&lt;&gt;")</f>
        <v>1.119</v>
      </c>
      <c r="E49" cm="1">
        <f t="array" ref="E49">_xlfn.STDEV.P(IF((dataReaccion[Nivel]=A49)*(dataReaccion[Intento]=B49)*(dataReaccion[Tiempo reaccion(s)]&gt;0),dataReaccion[Tiempo reaccion(s)]))</f>
        <v>0</v>
      </c>
      <c r="F49">
        <f>COUNTIFS(dataReaccion[Nivel],A49,dataReaccion[Intento],B49,dataReaccion[Tipo],"Dormir")</f>
        <v>0</v>
      </c>
      <c r="G49" t="e">
        <f>AVERAGEIFS(dataReaccion[Tiempo reaccion(s)],dataReaccion[Nivel],A49,dataReaccion[Intento],B49,dataReaccion[Tiempo reaccion(s)],"&lt;&gt;", dataReaccion[Tipo],"Dormir")</f>
        <v>#DIV/0!</v>
      </c>
      <c r="H49" t="e" cm="1">
        <f t="array" ref="H49">_xlfn.STDEV.P(IF((dataReaccion[Nivel]=A49)*(dataReaccion[Intento]=B49)*(dataReaccion[Tipo]="Dormir")*(dataReaccion[Tiempo reaccion(s)]&gt;0),dataReaccion[Tiempo reaccion(s)]))</f>
        <v>#DIV/0!</v>
      </c>
      <c r="I49">
        <f>COUNTIFS(dataReaccion[Nivel],A49,dataReaccion[Intento],B49,dataReaccion[Tipo],"Parada")</f>
        <v>1</v>
      </c>
      <c r="J49">
        <f>AVERAGEIFS(dataReaccion[Tiempo reaccion(s)],dataReaccion[Nivel],A49,dataReaccion[Intento],B49,dataReaccion[Tiempo reaccion(s)],"&lt;&gt;", dataReaccion[Tipo],"Parada")</f>
        <v>1.119</v>
      </c>
      <c r="K49" cm="1">
        <f t="array" ref="K49">_xlfn.STDEV.P(IF((dataReaccion[Nivel]=A49)*(dataReaccion[Intento]=B49)*(dataReaccion[Tipo]="Parada")*(dataReaccion[Tiempo reaccion(s)]&gt;0),dataReaccion[Tiempo reaccion(s)]))</f>
        <v>0</v>
      </c>
      <c r="L49">
        <f>COUNTIFS(dataReaccion[Nivel],A49,dataReaccion[Intento],B49,dataReaccion[Tipo],"Ubicacion")</f>
        <v>0</v>
      </c>
      <c r="M49">
        <f>COUNTIFS(dataReaccion[Nivel],A49, dataReaccion[Intento],B49,dataReaccion[Respuesta],"Correcto")</f>
        <v>0</v>
      </c>
      <c r="N49">
        <f>COUNTIFS(dataReaccion[Nivel],A49, dataReaccion[Intento],B49,dataReaccion[Respuesta],"Erroneo")</f>
        <v>0</v>
      </c>
      <c r="O49">
        <f>COUNTIFS(dataReaccion[Nivel],A49, dataReaccion[Intento],B49,dataReaccion[Respuesta],"Correcto",dataReaccion[Tipo],"Dormir")</f>
        <v>0</v>
      </c>
      <c r="P49">
        <f>COUNTIFS(dataReaccion[Nivel],A49, dataReaccion[Intento],B49,dataReaccion[Respuesta],"Erroneo",dataReaccion[Tipo],"Dormir")</f>
        <v>0</v>
      </c>
      <c r="Q49">
        <f>COUNTIFS(dataReaccion[Nivel],A49, dataReaccion[Intento],B49,dataReaccion[Respuesta],"Correcto",dataReaccion[Tipo],"Ubicacion")</f>
        <v>0</v>
      </c>
      <c r="R49">
        <f>COUNTIFS(dataReaccion[Nivel],A49, dataReaccion[Intento],B49,dataReaccion[Respuesta],"Erroneo",dataReaccion[Tipo],"Ubicacion")</f>
        <v>0</v>
      </c>
    </row>
    <row r="50" spans="1:18" x14ac:dyDescent="0.3">
      <c r="A50">
        <v>3</v>
      </c>
      <c r="B50">
        <v>9</v>
      </c>
      <c r="C50">
        <f>COUNTIFS(dataReaccion[Nivel],A50,dataReaccion[Intento],B50)</f>
        <v>1</v>
      </c>
      <c r="D50">
        <f>AVERAGEIFS(dataReaccion[Tiempo reaccion(s)],dataReaccion[Nivel],A50,dataReaccion[Intento],B50,dataReaccion[Tiempo reaccion(s)],"&lt;&gt;")</f>
        <v>1.8180000000000001</v>
      </c>
      <c r="E50" cm="1">
        <f t="array" ref="E50">_xlfn.STDEV.P(IF((dataReaccion[Nivel]=A50)*(dataReaccion[Intento]=B50)*(dataReaccion[Tiempo reaccion(s)]&gt;0),dataReaccion[Tiempo reaccion(s)]))</f>
        <v>0</v>
      </c>
      <c r="F50">
        <f>COUNTIFS(dataReaccion[Nivel],A50,dataReaccion[Intento],B50,dataReaccion[Tipo],"Dormir")</f>
        <v>0</v>
      </c>
      <c r="G50" t="e">
        <f>AVERAGEIFS(dataReaccion[Tiempo reaccion(s)],dataReaccion[Nivel],A50,dataReaccion[Intento],B50,dataReaccion[Tiempo reaccion(s)],"&lt;&gt;", dataReaccion[Tipo],"Dormir")</f>
        <v>#DIV/0!</v>
      </c>
      <c r="H50" t="e" cm="1">
        <f t="array" ref="H50">_xlfn.STDEV.P(IF((dataReaccion[Nivel]=A50)*(dataReaccion[Intento]=B50)*(dataReaccion[Tipo]="Dormir")*(dataReaccion[Tiempo reaccion(s)]&gt;0),dataReaccion[Tiempo reaccion(s)]))</f>
        <v>#DIV/0!</v>
      </c>
      <c r="I50">
        <f>COUNTIFS(dataReaccion[Nivel],A50,dataReaccion[Intento],B50,dataReaccion[Tipo],"Parada")</f>
        <v>1</v>
      </c>
      <c r="J50">
        <f>AVERAGEIFS(dataReaccion[Tiempo reaccion(s)],dataReaccion[Nivel],A50,dataReaccion[Intento],B50,dataReaccion[Tiempo reaccion(s)],"&lt;&gt;", dataReaccion[Tipo],"Parada")</f>
        <v>1.8180000000000001</v>
      </c>
      <c r="K50" cm="1">
        <f t="array" ref="K50">_xlfn.STDEV.P(IF((dataReaccion[Nivel]=A50)*(dataReaccion[Intento]=B50)*(dataReaccion[Tipo]="Parada")*(dataReaccion[Tiempo reaccion(s)]&gt;0),dataReaccion[Tiempo reaccion(s)]))</f>
        <v>0</v>
      </c>
      <c r="L50">
        <f>COUNTIFS(dataReaccion[Nivel],A50,dataReaccion[Intento],B50,dataReaccion[Tipo],"Ubicacion")</f>
        <v>0</v>
      </c>
      <c r="M50">
        <f>COUNTIFS(dataReaccion[Nivel],A50, dataReaccion[Intento],B50,dataReaccion[Respuesta],"Correcto")</f>
        <v>0</v>
      </c>
      <c r="N50">
        <f>COUNTIFS(dataReaccion[Nivel],A50, dataReaccion[Intento],B50,dataReaccion[Respuesta],"Erroneo")</f>
        <v>0</v>
      </c>
      <c r="O50">
        <f>COUNTIFS(dataReaccion[Nivel],A50, dataReaccion[Intento],B50,dataReaccion[Respuesta],"Correcto",dataReaccion[Tipo],"Dormir")</f>
        <v>0</v>
      </c>
      <c r="P50">
        <f>COUNTIFS(dataReaccion[Nivel],A50, dataReaccion[Intento],B50,dataReaccion[Respuesta],"Erroneo",dataReaccion[Tipo],"Dormir")</f>
        <v>0</v>
      </c>
      <c r="Q50">
        <f>COUNTIFS(dataReaccion[Nivel],A50, dataReaccion[Intento],B50,dataReaccion[Respuesta],"Correcto",dataReaccion[Tipo],"Ubicacion")</f>
        <v>0</v>
      </c>
      <c r="R50">
        <f>COUNTIFS(dataReaccion[Nivel],A50, dataReaccion[Intento],B50,dataReaccion[Respuesta],"Erroneo",dataReaccion[Tipo],"Ubicacion")</f>
        <v>0</v>
      </c>
    </row>
    <row r="51" spans="1:18" x14ac:dyDescent="0.3">
      <c r="A51">
        <v>3</v>
      </c>
      <c r="B51">
        <v>10</v>
      </c>
      <c r="C51">
        <f>COUNTIFS(dataReaccion[Nivel],A51,dataReaccion[Intento],B51)</f>
        <v>6</v>
      </c>
      <c r="D51">
        <f>AVERAGEIFS(dataReaccion[Tiempo reaccion(s)],dataReaccion[Nivel],A51,dataReaccion[Intento],B51,dataReaccion[Tiempo reaccion(s)],"&lt;&gt;")</f>
        <v>2.6432000000000002</v>
      </c>
      <c r="E51" cm="1">
        <f t="array" ref="E51">_xlfn.STDEV.P(IF((dataReaccion[Nivel]=A51)*(dataReaccion[Intento]=B51)*(dataReaccion[Tiempo reaccion(s)]&gt;0),dataReaccion[Tiempo reaccion(s)]))</f>
        <v>1.7981399723047145</v>
      </c>
      <c r="F51">
        <f>COUNTIFS(dataReaccion[Nivel],A51,dataReaccion[Intento],B51,dataReaccion[Tipo],"Dormir")</f>
        <v>2</v>
      </c>
      <c r="G51">
        <f>AVERAGEIFS(dataReaccion[Tiempo reaccion(s)],dataReaccion[Nivel],A51,dataReaccion[Intento],B51,dataReaccion[Tiempo reaccion(s)],"&lt;&gt;", dataReaccion[Tipo],"Dormir")</f>
        <v>3.2484999999999999</v>
      </c>
      <c r="H51" cm="1">
        <f t="array" ref="H51">_xlfn.STDEV.P(IF((dataReaccion[Nivel]=A51)*(dataReaccion[Intento]=B51)*(dataReaccion[Tipo]="Dormir")*(dataReaccion[Tiempo reaccion(s)]&gt;0),dataReaccion[Tiempo reaccion(s)]))</f>
        <v>2.0195000000000003</v>
      </c>
      <c r="I51">
        <f>COUNTIFS(dataReaccion[Nivel],A51,dataReaccion[Intento],B51,dataReaccion[Tipo],"Parada")</f>
        <v>3</v>
      </c>
      <c r="J51">
        <f>AVERAGEIFS(dataReaccion[Tiempo reaccion(s)],dataReaccion[Nivel],A51,dataReaccion[Intento],B51,dataReaccion[Tiempo reaccion(s)],"&lt;&gt;", dataReaccion[Tipo],"Parada")</f>
        <v>2.2396666666666669</v>
      </c>
      <c r="K51" cm="1">
        <f t="array" ref="K51">_xlfn.STDEV.P(IF((dataReaccion[Nivel]=A51)*(dataReaccion[Intento]=B51)*(dataReaccion[Tipo]="Parada")*(dataReaccion[Tiempo reaccion(s)]&gt;0),dataReaccion[Tiempo reaccion(s)]))</f>
        <v>1.5042697748594021</v>
      </c>
      <c r="L51">
        <f>COUNTIFS(dataReaccion[Nivel],A51,dataReaccion[Intento],B51,dataReaccion[Tipo],"Ubicacion")</f>
        <v>1</v>
      </c>
      <c r="M51">
        <f>COUNTIFS(dataReaccion[Nivel],A51, dataReaccion[Intento],B51,dataReaccion[Respuesta],"Correcto")</f>
        <v>2</v>
      </c>
      <c r="N51">
        <f>COUNTIFS(dataReaccion[Nivel],A51, dataReaccion[Intento],B51,dataReaccion[Respuesta],"Erroneo")</f>
        <v>1</v>
      </c>
      <c r="O51">
        <f>COUNTIFS(dataReaccion[Nivel],A51, dataReaccion[Intento],B51,dataReaccion[Respuesta],"Correcto",dataReaccion[Tipo],"Dormir")</f>
        <v>2</v>
      </c>
      <c r="P51">
        <f>COUNTIFS(dataReaccion[Nivel],A51, dataReaccion[Intento],B51,dataReaccion[Respuesta],"Erroneo",dataReaccion[Tipo],"Dormir")</f>
        <v>0</v>
      </c>
      <c r="Q51">
        <f>COUNTIFS(dataReaccion[Nivel],A51, dataReaccion[Intento],B51,dataReaccion[Respuesta],"Correcto",dataReaccion[Tipo],"Ubicacion")</f>
        <v>0</v>
      </c>
      <c r="R51">
        <f>COUNTIFS(dataReaccion[Nivel],A51, dataReaccion[Intento],B51,dataReaccion[Respuesta],"Erroneo",dataReaccion[Tipo],"Ubicacion")</f>
        <v>1</v>
      </c>
    </row>
    <row r="52" spans="1:18" x14ac:dyDescent="0.3">
      <c r="A52">
        <v>3</v>
      </c>
      <c r="B52">
        <v>11</v>
      </c>
      <c r="C52">
        <f>COUNTIFS(dataReaccion[Nivel],A52,dataReaccion[Intento],B52)</f>
        <v>9</v>
      </c>
      <c r="D52">
        <f>AVERAGEIFS(dataReaccion[Tiempo reaccion(s)],dataReaccion[Nivel],A52,dataReaccion[Intento],B52,dataReaccion[Tiempo reaccion(s)],"&lt;&gt;")</f>
        <v>1.5681666666666665</v>
      </c>
      <c r="E52" cm="1">
        <f t="array" ref="E52">_xlfn.STDEV.P(IF((dataReaccion[Nivel]=A52)*(dataReaccion[Intento]=B52)*(dataReaccion[Tiempo reaccion(s)]&gt;0),dataReaccion[Tiempo reaccion(s)]))</f>
        <v>0.62949170411972555</v>
      </c>
      <c r="F52">
        <f>COUNTIFS(dataReaccion[Nivel],A52,dataReaccion[Intento],B52,dataReaccion[Tipo],"Dormir")</f>
        <v>2</v>
      </c>
      <c r="G52">
        <f>AVERAGEIFS(dataReaccion[Tiempo reaccion(s)],dataReaccion[Nivel],A52,dataReaccion[Intento],B52,dataReaccion[Tiempo reaccion(s)],"&lt;&gt;", dataReaccion[Tipo],"Dormir")</f>
        <v>1.1435</v>
      </c>
      <c r="H52" cm="1">
        <f t="array" ref="H52">_xlfn.STDEV.P(IF((dataReaccion[Nivel]=A52)*(dataReaccion[Intento]=B52)*(dataReaccion[Tipo]="Dormir")*(dataReaccion[Tiempo reaccion(s)]&gt;0),dataReaccion[Tiempo reaccion(s)]))</f>
        <v>0.10850000000000004</v>
      </c>
      <c r="I52">
        <f>COUNTIFS(dataReaccion[Nivel],A52,dataReaccion[Intento],B52,dataReaccion[Tipo],"Parada")</f>
        <v>4</v>
      </c>
      <c r="J52">
        <f>AVERAGEIFS(dataReaccion[Tiempo reaccion(s)],dataReaccion[Nivel],A52,dataReaccion[Intento],B52,dataReaccion[Tiempo reaccion(s)],"&lt;&gt;", dataReaccion[Tipo],"Parada")</f>
        <v>1.7805</v>
      </c>
      <c r="K52" cm="1">
        <f t="array" ref="K52">_xlfn.STDEV.P(IF((dataReaccion[Nivel]=A52)*(dataReaccion[Intento]=B52)*(dataReaccion[Tipo]="Parada")*(dataReaccion[Tiempo reaccion(s)]&gt;0),dataReaccion[Tiempo reaccion(s)]))</f>
        <v>0.67323639978836558</v>
      </c>
      <c r="L52">
        <f>COUNTIFS(dataReaccion[Nivel],A52,dataReaccion[Intento],B52,dataReaccion[Tipo],"Ubicacion")</f>
        <v>3</v>
      </c>
      <c r="M52">
        <f>COUNTIFS(dataReaccion[Nivel],A52, dataReaccion[Intento],B52,dataReaccion[Respuesta],"Correcto")</f>
        <v>5</v>
      </c>
      <c r="N52">
        <f>COUNTIFS(dataReaccion[Nivel],A52, dataReaccion[Intento],B52,dataReaccion[Respuesta],"Erroneo")</f>
        <v>0</v>
      </c>
      <c r="O52">
        <f>COUNTIFS(dataReaccion[Nivel],A52, dataReaccion[Intento],B52,dataReaccion[Respuesta],"Correcto",dataReaccion[Tipo],"Dormir")</f>
        <v>2</v>
      </c>
      <c r="P52">
        <f>COUNTIFS(dataReaccion[Nivel],A52, dataReaccion[Intento],B52,dataReaccion[Respuesta],"Erroneo",dataReaccion[Tipo],"Dormir")</f>
        <v>0</v>
      </c>
      <c r="Q52">
        <f>COUNTIFS(dataReaccion[Nivel],A52, dataReaccion[Intento],B52,dataReaccion[Respuesta],"Correcto",dataReaccion[Tipo],"Ubicacion")</f>
        <v>3</v>
      </c>
      <c r="R52">
        <f>COUNTIFS(dataReaccion[Nivel],A52, dataReaccion[Intento],B52,dataReaccion[Respuesta],"Erroneo",dataReaccion[Tipo],"Ubicacion")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2026-07-12T18:32:29Z</dcterms:created>
  <dcterms:modified xsi:type="dcterms:W3CDTF">2026-07-22T09:03:01Z</dcterms:modified>
</cp:coreProperties>
</file>